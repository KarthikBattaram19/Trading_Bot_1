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Data\Products\OSS\Official\OSS_1-1-9\"/>
    </mc:Choice>
  </mc:AlternateContent>
  <xr:revisionPtr revIDLastSave="0" documentId="13_ncr:1_{5FA294A5-25EF-4BF1-B94D-2164ACDD267C}" xr6:coauthVersionLast="47" xr6:coauthVersionMax="47" xr10:uidLastSave="{00000000-0000-0000-0000-000000000000}"/>
  <bookViews>
    <workbookView xWindow="28680" yWindow="-120" windowWidth="38640" windowHeight="21120" xr2:uid="{00000000-000D-0000-FFFF-FFFF00000000}"/>
  </bookViews>
  <sheets>
    <sheet name="OSS" sheetId="6" r:id="rId1"/>
    <sheet name="Expirations" sheetId="12" r:id="rId2"/>
    <sheet name="Lists" sheetId="11" r:id="rId3"/>
    <sheet name="Auto X" sheetId="8" r:id="rId4"/>
  </sheet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6" l="1"/>
  <c r="Q14" i="6"/>
  <c r="Q12" i="6"/>
  <c r="Q10" i="6"/>
  <c r="Q8" i="6"/>
  <c r="D16" i="6"/>
  <c r="D14" i="6"/>
  <c r="D12" i="6"/>
  <c r="D10" i="6"/>
  <c r="D8" i="6"/>
  <c r="D24" i="12"/>
  <c r="F24" i="12"/>
  <c r="D25" i="12"/>
  <c r="F25" i="12"/>
  <c r="D26" i="12"/>
  <c r="F26" i="12"/>
  <c r="D27" i="12"/>
  <c r="F27" i="12"/>
  <c r="D28" i="12"/>
  <c r="F28" i="12"/>
  <c r="N26" i="6" l="1"/>
  <c r="N30" i="6"/>
  <c r="N28" i="6"/>
  <c r="N24" i="6"/>
  <c r="N22" i="6"/>
  <c r="C48" i="6" l="1"/>
  <c r="C50" i="6" s="1"/>
  <c r="D19" i="12" l="1"/>
  <c r="F19" i="12"/>
  <c r="D20" i="12"/>
  <c r="F20" i="12"/>
  <c r="D21" i="12"/>
  <c r="F21" i="12"/>
  <c r="D22" i="12"/>
  <c r="F22" i="12"/>
  <c r="D23" i="12"/>
  <c r="F23" i="12"/>
  <c r="D6" i="11"/>
  <c r="D5" i="11"/>
  <c r="D4" i="11"/>
  <c r="V16" i="6" l="1"/>
  <c r="C34" i="11" s="1"/>
  <c r="U16" i="6"/>
  <c r="U14" i="6"/>
  <c r="U12" i="6"/>
  <c r="U10" i="6"/>
  <c r="U8" i="6"/>
  <c r="P32" i="6"/>
  <c r="O32" i="6"/>
  <c r="U18" i="6" l="1"/>
  <c r="B48" i="6"/>
  <c r="F21" i="8" l="1"/>
  <c r="Q6" i="6"/>
  <c r="K14" i="12" l="1"/>
  <c r="K13" i="12"/>
  <c r="K12" i="12"/>
  <c r="K11" i="12"/>
  <c r="K10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K9" i="12"/>
  <c r="K8" i="12"/>
  <c r="K7" i="12"/>
  <c r="K6" i="12"/>
  <c r="K5" i="12"/>
  <c r="V8" i="6" l="1"/>
  <c r="C30" i="11" s="1"/>
  <c r="V14" i="6"/>
  <c r="C33" i="11" s="1"/>
  <c r="V10" i="6"/>
  <c r="C31" i="11" s="1"/>
  <c r="V12" i="6"/>
  <c r="C32" i="11" s="1"/>
  <c r="R16" i="6"/>
  <c r="R14" i="6"/>
  <c r="R12" i="6"/>
  <c r="R10" i="6"/>
  <c r="R8" i="6"/>
  <c r="T16" i="6" l="1"/>
  <c r="T14" i="6"/>
  <c r="T12" i="6"/>
  <c r="T10" i="6"/>
  <c r="H10" i="6" s="1"/>
  <c r="T8" i="6"/>
  <c r="H8" i="6" s="1"/>
  <c r="J16" i="6" l="1"/>
  <c r="H16" i="6"/>
  <c r="H14" i="6"/>
  <c r="H12" i="6"/>
  <c r="DF48" i="6"/>
  <c r="CF48" i="6"/>
  <c r="BF48" i="6"/>
  <c r="H18" i="6" l="1"/>
  <c r="K16" i="6"/>
  <c r="BF241" i="6"/>
  <c r="BF238" i="6"/>
  <c r="BF237" i="6"/>
  <c r="BF242" i="6"/>
  <c r="BF240" i="6"/>
  <c r="BF239" i="6"/>
  <c r="DF241" i="6"/>
  <c r="DF238" i="6"/>
  <c r="DF237" i="6"/>
  <c r="DF242" i="6"/>
  <c r="DF240" i="6"/>
  <c r="DF239" i="6"/>
  <c r="CF241" i="6"/>
  <c r="CF238" i="6"/>
  <c r="CF237" i="6"/>
  <c r="CF242" i="6"/>
  <c r="CF240" i="6"/>
  <c r="CF239" i="6"/>
  <c r="CF234" i="6"/>
  <c r="CF232" i="6"/>
  <c r="CF230" i="6"/>
  <c r="CF228" i="6"/>
  <c r="CF226" i="6"/>
  <c r="CF224" i="6"/>
  <c r="CF235" i="6"/>
  <c r="CF233" i="6"/>
  <c r="CF231" i="6"/>
  <c r="CF229" i="6"/>
  <c r="CF227" i="6"/>
  <c r="CF225" i="6"/>
  <c r="CF223" i="6"/>
  <c r="DF235" i="6"/>
  <c r="DF233" i="6"/>
  <c r="DF231" i="6"/>
  <c r="DF229" i="6"/>
  <c r="DF227" i="6"/>
  <c r="DF225" i="6"/>
  <c r="DF223" i="6"/>
  <c r="DF234" i="6"/>
  <c r="DF232" i="6"/>
  <c r="DF230" i="6"/>
  <c r="DF228" i="6"/>
  <c r="DF226" i="6"/>
  <c r="DF224" i="6"/>
  <c r="BF234" i="6"/>
  <c r="BF232" i="6"/>
  <c r="BF231" i="6"/>
  <c r="BF230" i="6"/>
  <c r="BF229" i="6"/>
  <c r="BF228" i="6"/>
  <c r="BF227" i="6"/>
  <c r="BF226" i="6"/>
  <c r="BF225" i="6"/>
  <c r="BF224" i="6"/>
  <c r="BF235" i="6"/>
  <c r="BF233" i="6"/>
  <c r="BF223" i="6"/>
  <c r="CF220" i="6"/>
  <c r="CF218" i="6"/>
  <c r="CF216" i="6"/>
  <c r="CF214" i="6"/>
  <c r="CF212" i="6"/>
  <c r="CF210" i="6"/>
  <c r="CF207" i="6"/>
  <c r="CF205" i="6"/>
  <c r="CF203" i="6"/>
  <c r="CF201" i="6"/>
  <c r="CF199" i="6"/>
  <c r="CF197" i="6"/>
  <c r="CF195" i="6"/>
  <c r="CF192" i="6"/>
  <c r="CF190" i="6"/>
  <c r="CF188" i="6"/>
  <c r="CF186" i="6"/>
  <c r="CF221" i="6"/>
  <c r="CF219" i="6"/>
  <c r="CF217" i="6"/>
  <c r="CF215" i="6"/>
  <c r="CF213" i="6"/>
  <c r="CF211" i="6"/>
  <c r="CF209" i="6"/>
  <c r="CF206" i="6"/>
  <c r="CF204" i="6"/>
  <c r="CF202" i="6"/>
  <c r="CF200" i="6"/>
  <c r="CF198" i="6"/>
  <c r="CF196" i="6"/>
  <c r="CF193" i="6"/>
  <c r="CF191" i="6"/>
  <c r="CF189" i="6"/>
  <c r="CF187" i="6"/>
  <c r="CF184" i="6"/>
  <c r="CF182" i="6"/>
  <c r="CF185" i="6"/>
  <c r="CF183" i="6"/>
  <c r="CF181" i="6"/>
  <c r="BF221" i="6"/>
  <c r="BF219" i="6"/>
  <c r="BF217" i="6"/>
  <c r="BF215" i="6"/>
  <c r="BF213" i="6"/>
  <c r="BF211" i="6"/>
  <c r="BF209" i="6"/>
  <c r="BF206" i="6"/>
  <c r="BF204" i="6"/>
  <c r="BF202" i="6"/>
  <c r="BF200" i="6"/>
  <c r="BF198" i="6"/>
  <c r="BF196" i="6"/>
  <c r="BF193" i="6"/>
  <c r="BF191" i="6"/>
  <c r="BF189" i="6"/>
  <c r="BF187" i="6"/>
  <c r="BF220" i="6"/>
  <c r="BF218" i="6"/>
  <c r="BF216" i="6"/>
  <c r="BF214" i="6"/>
  <c r="BF212" i="6"/>
  <c r="BF210" i="6"/>
  <c r="BF207" i="6"/>
  <c r="BF205" i="6"/>
  <c r="BF203" i="6"/>
  <c r="BF201" i="6"/>
  <c r="BF199" i="6"/>
  <c r="BF197" i="6"/>
  <c r="BF195" i="6"/>
  <c r="BF192" i="6"/>
  <c r="BF190" i="6"/>
  <c r="BF188" i="6"/>
  <c r="BF186" i="6"/>
  <c r="BF185" i="6"/>
  <c r="BF183" i="6"/>
  <c r="BF181" i="6"/>
  <c r="BF184" i="6"/>
  <c r="BF182" i="6"/>
  <c r="DF221" i="6"/>
  <c r="DF219" i="6"/>
  <c r="DF217" i="6"/>
  <c r="DF215" i="6"/>
  <c r="DF213" i="6"/>
  <c r="DF211" i="6"/>
  <c r="DF209" i="6"/>
  <c r="DF206" i="6"/>
  <c r="DF204" i="6"/>
  <c r="DF202" i="6"/>
  <c r="DF200" i="6"/>
  <c r="DF198" i="6"/>
  <c r="DF196" i="6"/>
  <c r="DF193" i="6"/>
  <c r="DF191" i="6"/>
  <c r="DF189" i="6"/>
  <c r="DF187" i="6"/>
  <c r="DF220" i="6"/>
  <c r="DF218" i="6"/>
  <c r="DF216" i="6"/>
  <c r="DF214" i="6"/>
  <c r="DF212" i="6"/>
  <c r="DF210" i="6"/>
  <c r="DF207" i="6"/>
  <c r="DF205" i="6"/>
  <c r="DF203" i="6"/>
  <c r="DF201" i="6"/>
  <c r="DF199" i="6"/>
  <c r="DF197" i="6"/>
  <c r="DF195" i="6"/>
  <c r="DF192" i="6"/>
  <c r="DF190" i="6"/>
  <c r="DF188" i="6"/>
  <c r="DF186" i="6"/>
  <c r="DF185" i="6"/>
  <c r="DF183" i="6"/>
  <c r="DF181" i="6"/>
  <c r="DF184" i="6"/>
  <c r="DF182" i="6"/>
  <c r="BF179" i="6"/>
  <c r="BF177" i="6"/>
  <c r="BF175" i="6"/>
  <c r="BF173" i="6"/>
  <c r="BF171" i="6"/>
  <c r="BF169" i="6"/>
  <c r="BF167" i="6"/>
  <c r="BF178" i="6"/>
  <c r="BF176" i="6"/>
  <c r="BF174" i="6"/>
  <c r="BF172" i="6"/>
  <c r="BF170" i="6"/>
  <c r="BF168" i="6"/>
  <c r="BF164" i="6"/>
  <c r="BF162" i="6"/>
  <c r="BF160" i="6"/>
  <c r="BF158" i="6"/>
  <c r="BF156" i="6"/>
  <c r="BF154" i="6"/>
  <c r="BF149" i="6"/>
  <c r="BF147" i="6"/>
  <c r="BF145" i="6"/>
  <c r="BF143" i="6"/>
  <c r="BF141" i="6"/>
  <c r="BF165" i="6"/>
  <c r="BF163" i="6"/>
  <c r="BF161" i="6"/>
  <c r="BF159" i="6"/>
  <c r="BF157" i="6"/>
  <c r="BF155" i="6"/>
  <c r="BF153" i="6"/>
  <c r="BF150" i="6"/>
  <c r="BF148" i="6"/>
  <c r="BF146" i="6"/>
  <c r="BF144" i="6"/>
  <c r="BF142" i="6"/>
  <c r="BF140" i="6"/>
  <c r="BF138" i="6"/>
  <c r="BF136" i="6"/>
  <c r="BF134" i="6"/>
  <c r="BF132" i="6"/>
  <c r="BF139" i="6"/>
  <c r="BF135" i="6"/>
  <c r="BF131" i="6"/>
  <c r="BF129" i="6"/>
  <c r="BF127" i="6"/>
  <c r="BF125" i="6"/>
  <c r="BF123" i="6"/>
  <c r="BF121" i="6"/>
  <c r="BF119" i="6"/>
  <c r="BF117" i="6"/>
  <c r="BF115" i="6"/>
  <c r="BF113" i="6"/>
  <c r="BF111" i="6"/>
  <c r="BF109" i="6"/>
  <c r="BF107" i="6"/>
  <c r="BF105" i="6"/>
  <c r="BF103" i="6"/>
  <c r="BF101" i="6"/>
  <c r="BF99" i="6"/>
  <c r="BF97" i="6"/>
  <c r="BF95" i="6"/>
  <c r="BF93" i="6"/>
  <c r="BF91" i="6"/>
  <c r="BF89" i="6"/>
  <c r="BF87" i="6"/>
  <c r="BF85" i="6"/>
  <c r="BF83" i="6"/>
  <c r="BF81" i="6"/>
  <c r="BF79" i="6"/>
  <c r="BF77" i="6"/>
  <c r="BF75" i="6"/>
  <c r="BF73" i="6"/>
  <c r="BF71" i="6"/>
  <c r="BF69" i="6"/>
  <c r="BF67" i="6"/>
  <c r="BF65" i="6"/>
  <c r="BF63" i="6"/>
  <c r="BF61" i="6"/>
  <c r="BF59" i="6"/>
  <c r="BF57" i="6"/>
  <c r="BF55" i="6"/>
  <c r="BF53" i="6"/>
  <c r="BF51" i="6"/>
  <c r="BF137" i="6"/>
  <c r="BF133" i="6"/>
  <c r="BF130" i="6"/>
  <c r="BF128" i="6"/>
  <c r="BF126" i="6"/>
  <c r="BF124" i="6"/>
  <c r="BF122" i="6"/>
  <c r="BF120" i="6"/>
  <c r="BF118" i="6"/>
  <c r="BF116" i="6"/>
  <c r="BF114" i="6"/>
  <c r="BF112" i="6"/>
  <c r="BF110" i="6"/>
  <c r="BF108" i="6"/>
  <c r="BF106" i="6"/>
  <c r="BF104" i="6"/>
  <c r="BF102" i="6"/>
  <c r="BF100" i="6"/>
  <c r="BF98" i="6"/>
  <c r="BF96" i="6"/>
  <c r="BF94" i="6"/>
  <c r="BF92" i="6"/>
  <c r="BF90" i="6"/>
  <c r="BF88" i="6"/>
  <c r="BF86" i="6"/>
  <c r="BF84" i="6"/>
  <c r="BF82" i="6"/>
  <c r="BF80" i="6"/>
  <c r="BF78" i="6"/>
  <c r="BF76" i="6"/>
  <c r="BF74" i="6"/>
  <c r="BF72" i="6"/>
  <c r="BF70" i="6"/>
  <c r="BF68" i="6"/>
  <c r="BF66" i="6"/>
  <c r="BF64" i="6"/>
  <c r="BF62" i="6"/>
  <c r="BF60" i="6"/>
  <c r="BF58" i="6"/>
  <c r="BF56" i="6"/>
  <c r="BF54" i="6"/>
  <c r="BF52" i="6"/>
  <c r="BF50" i="6"/>
  <c r="DF179" i="6"/>
  <c r="DF177" i="6"/>
  <c r="DF175" i="6"/>
  <c r="DF173" i="6"/>
  <c r="DF171" i="6"/>
  <c r="DF169" i="6"/>
  <c r="DF167" i="6"/>
  <c r="DF164" i="6"/>
  <c r="DF162" i="6"/>
  <c r="DF160" i="6"/>
  <c r="DF158" i="6"/>
  <c r="DF156" i="6"/>
  <c r="DF154" i="6"/>
  <c r="DF149" i="6"/>
  <c r="DF147" i="6"/>
  <c r="DF145" i="6"/>
  <c r="DF143" i="6"/>
  <c r="DF141" i="6"/>
  <c r="DF139" i="6"/>
  <c r="DF137" i="6"/>
  <c r="DF135" i="6"/>
  <c r="DF133" i="6"/>
  <c r="DF131" i="6"/>
  <c r="DF129" i="6"/>
  <c r="DF127" i="6"/>
  <c r="DF125" i="6"/>
  <c r="DF123" i="6"/>
  <c r="DF121" i="6"/>
  <c r="DF119" i="6"/>
  <c r="DF117" i="6"/>
  <c r="DF115" i="6"/>
  <c r="DF113" i="6"/>
  <c r="DF111" i="6"/>
  <c r="DF109" i="6"/>
  <c r="DF107" i="6"/>
  <c r="DF105" i="6"/>
  <c r="DF103" i="6"/>
  <c r="DF101" i="6"/>
  <c r="DF99" i="6"/>
  <c r="DF97" i="6"/>
  <c r="DF95" i="6"/>
  <c r="DF93" i="6"/>
  <c r="DF91" i="6"/>
  <c r="DF89" i="6"/>
  <c r="DF87" i="6"/>
  <c r="DF85" i="6"/>
  <c r="DF83" i="6"/>
  <c r="DF81" i="6"/>
  <c r="DF79" i="6"/>
  <c r="DF77" i="6"/>
  <c r="DF75" i="6"/>
  <c r="DF73" i="6"/>
  <c r="DF71" i="6"/>
  <c r="DF69" i="6"/>
  <c r="DF67" i="6"/>
  <c r="DF65" i="6"/>
  <c r="DF178" i="6"/>
  <c r="DF176" i="6"/>
  <c r="DF174" i="6"/>
  <c r="DF172" i="6"/>
  <c r="DF170" i="6"/>
  <c r="DF168" i="6"/>
  <c r="DF165" i="6"/>
  <c r="DF163" i="6"/>
  <c r="DF161" i="6"/>
  <c r="DF159" i="6"/>
  <c r="DF157" i="6"/>
  <c r="DF155" i="6"/>
  <c r="DF153" i="6"/>
  <c r="DF150" i="6"/>
  <c r="DF148" i="6"/>
  <c r="DF146" i="6"/>
  <c r="DF144" i="6"/>
  <c r="DF142" i="6"/>
  <c r="DF140" i="6"/>
  <c r="DF138" i="6"/>
  <c r="DF136" i="6"/>
  <c r="DF134" i="6"/>
  <c r="DF132" i="6"/>
  <c r="DF130" i="6"/>
  <c r="DF128" i="6"/>
  <c r="DF126" i="6"/>
  <c r="DF124" i="6"/>
  <c r="DF122" i="6"/>
  <c r="DF120" i="6"/>
  <c r="DF118" i="6"/>
  <c r="DF116" i="6"/>
  <c r="DF114" i="6"/>
  <c r="DF112" i="6"/>
  <c r="DF110" i="6"/>
  <c r="DF108" i="6"/>
  <c r="DF106" i="6"/>
  <c r="DF104" i="6"/>
  <c r="DF102" i="6"/>
  <c r="DF100" i="6"/>
  <c r="DF98" i="6"/>
  <c r="DF96" i="6"/>
  <c r="DF94" i="6"/>
  <c r="DF92" i="6"/>
  <c r="DF90" i="6"/>
  <c r="DF88" i="6"/>
  <c r="DF86" i="6"/>
  <c r="DF84" i="6"/>
  <c r="DF82" i="6"/>
  <c r="DF80" i="6"/>
  <c r="DF78" i="6"/>
  <c r="DF76" i="6"/>
  <c r="DF74" i="6"/>
  <c r="DF72" i="6"/>
  <c r="DF70" i="6"/>
  <c r="DF68" i="6"/>
  <c r="DF66" i="6"/>
  <c r="DF64" i="6"/>
  <c r="DF63" i="6"/>
  <c r="DF61" i="6"/>
  <c r="DF59" i="6"/>
  <c r="DF57" i="6"/>
  <c r="DF55" i="6"/>
  <c r="DF53" i="6"/>
  <c r="DF51" i="6"/>
  <c r="DF62" i="6"/>
  <c r="DF60" i="6"/>
  <c r="DF58" i="6"/>
  <c r="DF56" i="6"/>
  <c r="DF54" i="6"/>
  <c r="DF52" i="6"/>
  <c r="DF50" i="6"/>
  <c r="CF178" i="6"/>
  <c r="CF176" i="6"/>
  <c r="CF174" i="6"/>
  <c r="CF172" i="6"/>
  <c r="CF170" i="6"/>
  <c r="CF168" i="6"/>
  <c r="CF179" i="6"/>
  <c r="CF177" i="6"/>
  <c r="CF175" i="6"/>
  <c r="CF173" i="6"/>
  <c r="CF171" i="6"/>
  <c r="CF169" i="6"/>
  <c r="CF167" i="6"/>
  <c r="CF165" i="6"/>
  <c r="CF163" i="6"/>
  <c r="CF161" i="6"/>
  <c r="CF159" i="6"/>
  <c r="CF157" i="6"/>
  <c r="CF155" i="6"/>
  <c r="CF153" i="6"/>
  <c r="CF150" i="6"/>
  <c r="CF148" i="6"/>
  <c r="CF146" i="6"/>
  <c r="CF144" i="6"/>
  <c r="CF142" i="6"/>
  <c r="CF140" i="6"/>
  <c r="CF138" i="6"/>
  <c r="CF136" i="6"/>
  <c r="CF134" i="6"/>
  <c r="CF132" i="6"/>
  <c r="CF130" i="6"/>
  <c r="CF128" i="6"/>
  <c r="CF126" i="6"/>
  <c r="CF124" i="6"/>
  <c r="CF122" i="6"/>
  <c r="CF120" i="6"/>
  <c r="CF118" i="6"/>
  <c r="CF116" i="6"/>
  <c r="CF114" i="6"/>
  <c r="CF112" i="6"/>
  <c r="CF110" i="6"/>
  <c r="CF108" i="6"/>
  <c r="CF106" i="6"/>
  <c r="CF104" i="6"/>
  <c r="CF102" i="6"/>
  <c r="CF100" i="6"/>
  <c r="CF98" i="6"/>
  <c r="CF96" i="6"/>
  <c r="CF94" i="6"/>
  <c r="CF92" i="6"/>
  <c r="CF90" i="6"/>
  <c r="CF88" i="6"/>
  <c r="CF86" i="6"/>
  <c r="CF84" i="6"/>
  <c r="CF82" i="6"/>
  <c r="CF80" i="6"/>
  <c r="CF78" i="6"/>
  <c r="CF76" i="6"/>
  <c r="CF74" i="6"/>
  <c r="CF72" i="6"/>
  <c r="CF70" i="6"/>
  <c r="CF68" i="6"/>
  <c r="CF66" i="6"/>
  <c r="CF64" i="6"/>
  <c r="CF62" i="6"/>
  <c r="CF60" i="6"/>
  <c r="CF58" i="6"/>
  <c r="CF56" i="6"/>
  <c r="CF54" i="6"/>
  <c r="CF52" i="6"/>
  <c r="CF50" i="6"/>
  <c r="CF164" i="6"/>
  <c r="CF162" i="6"/>
  <c r="CF160" i="6"/>
  <c r="CF158" i="6"/>
  <c r="CF156" i="6"/>
  <c r="CF154" i="6"/>
  <c r="CF149" i="6"/>
  <c r="CF147" i="6"/>
  <c r="CF145" i="6"/>
  <c r="CF143" i="6"/>
  <c r="CF141" i="6"/>
  <c r="CF139" i="6"/>
  <c r="CF137" i="6"/>
  <c r="CF135" i="6"/>
  <c r="CF133" i="6"/>
  <c r="CF131" i="6"/>
  <c r="CF129" i="6"/>
  <c r="CF127" i="6"/>
  <c r="CF125" i="6"/>
  <c r="CF123" i="6"/>
  <c r="CF121" i="6"/>
  <c r="CF119" i="6"/>
  <c r="CF117" i="6"/>
  <c r="CF115" i="6"/>
  <c r="CF113" i="6"/>
  <c r="CF111" i="6"/>
  <c r="CF109" i="6"/>
  <c r="CF107" i="6"/>
  <c r="CF105" i="6"/>
  <c r="CF103" i="6"/>
  <c r="CF101" i="6"/>
  <c r="CF99" i="6"/>
  <c r="CF97" i="6"/>
  <c r="CF95" i="6"/>
  <c r="CF93" i="6"/>
  <c r="CF91" i="6"/>
  <c r="CF89" i="6"/>
  <c r="CF87" i="6"/>
  <c r="CF85" i="6"/>
  <c r="CF83" i="6"/>
  <c r="CF81" i="6"/>
  <c r="CF79" i="6"/>
  <c r="CF77" i="6"/>
  <c r="CF75" i="6"/>
  <c r="CF73" i="6"/>
  <c r="CF71" i="6"/>
  <c r="CF69" i="6"/>
  <c r="CF67" i="6"/>
  <c r="CF65" i="6"/>
  <c r="CF63" i="6"/>
  <c r="CF61" i="6"/>
  <c r="CF59" i="6"/>
  <c r="CF57" i="6"/>
  <c r="CF55" i="6"/>
  <c r="CF53" i="6"/>
  <c r="CF51" i="6"/>
  <c r="AF48" i="6"/>
  <c r="AF241" i="6" l="1"/>
  <c r="AF238" i="6"/>
  <c r="AF237" i="6"/>
  <c r="AF242" i="6"/>
  <c r="AF240" i="6"/>
  <c r="AF239" i="6"/>
  <c r="AF234" i="6"/>
  <c r="AF232" i="6"/>
  <c r="AF230" i="6"/>
  <c r="AF228" i="6"/>
  <c r="AF226" i="6"/>
  <c r="AF224" i="6"/>
  <c r="AF235" i="6"/>
  <c r="AF233" i="6"/>
  <c r="AF231" i="6"/>
  <c r="AF229" i="6"/>
  <c r="AF227" i="6"/>
  <c r="AF225" i="6"/>
  <c r="AF223" i="6"/>
  <c r="AF220" i="6"/>
  <c r="AF218" i="6"/>
  <c r="AF216" i="6"/>
  <c r="AF214" i="6"/>
  <c r="AF212" i="6"/>
  <c r="AF210" i="6"/>
  <c r="AF207" i="6"/>
  <c r="AF205" i="6"/>
  <c r="AF203" i="6"/>
  <c r="AF201" i="6"/>
  <c r="AF199" i="6"/>
  <c r="AF197" i="6"/>
  <c r="AF195" i="6"/>
  <c r="AF192" i="6"/>
  <c r="AF190" i="6"/>
  <c r="AF188" i="6"/>
  <c r="AF186" i="6"/>
  <c r="AF221" i="6"/>
  <c r="AF219" i="6"/>
  <c r="AF217" i="6"/>
  <c r="AF215" i="6"/>
  <c r="AF213" i="6"/>
  <c r="AF211" i="6"/>
  <c r="AF209" i="6"/>
  <c r="AF206" i="6"/>
  <c r="AF204" i="6"/>
  <c r="AF202" i="6"/>
  <c r="AF200" i="6"/>
  <c r="AF198" i="6"/>
  <c r="AF196" i="6"/>
  <c r="AF193" i="6"/>
  <c r="AF191" i="6"/>
  <c r="AF189" i="6"/>
  <c r="AF187" i="6"/>
  <c r="AF184" i="6"/>
  <c r="AF182" i="6"/>
  <c r="AF185" i="6"/>
  <c r="AF183" i="6"/>
  <c r="AF181" i="6"/>
  <c r="AF178" i="6"/>
  <c r="AF176" i="6"/>
  <c r="AF174" i="6"/>
  <c r="AF172" i="6"/>
  <c r="AF170" i="6"/>
  <c r="AF168" i="6"/>
  <c r="AF179" i="6"/>
  <c r="AF177" i="6"/>
  <c r="AF175" i="6"/>
  <c r="AF173" i="6"/>
  <c r="AF171" i="6"/>
  <c r="AF169" i="6"/>
  <c r="AF167" i="6"/>
  <c r="AF165" i="6"/>
  <c r="AF163" i="6"/>
  <c r="AF161" i="6"/>
  <c r="AF159" i="6"/>
  <c r="AF157" i="6"/>
  <c r="AF155" i="6"/>
  <c r="AF153" i="6"/>
  <c r="AF150" i="6"/>
  <c r="AF148" i="6"/>
  <c r="AF146" i="6"/>
  <c r="AF144" i="6"/>
  <c r="AF142" i="6"/>
  <c r="AF140" i="6"/>
  <c r="AF138" i="6"/>
  <c r="AF136" i="6"/>
  <c r="AF134" i="6"/>
  <c r="AF132" i="6"/>
  <c r="AF130" i="6"/>
  <c r="AF128" i="6"/>
  <c r="AF126" i="6"/>
  <c r="AF124" i="6"/>
  <c r="AF122" i="6"/>
  <c r="AF120" i="6"/>
  <c r="AF118" i="6"/>
  <c r="AF116" i="6"/>
  <c r="AF114" i="6"/>
  <c r="AF112" i="6"/>
  <c r="AF110" i="6"/>
  <c r="AF108" i="6"/>
  <c r="AF106" i="6"/>
  <c r="AF104" i="6"/>
  <c r="AF102" i="6"/>
  <c r="AF100" i="6"/>
  <c r="AF98" i="6"/>
  <c r="AF96" i="6"/>
  <c r="AF94" i="6"/>
  <c r="AF92" i="6"/>
  <c r="AF90" i="6"/>
  <c r="AF88" i="6"/>
  <c r="AF86" i="6"/>
  <c r="AF84" i="6"/>
  <c r="AF82" i="6"/>
  <c r="AF80" i="6"/>
  <c r="AF78" i="6"/>
  <c r="AF76" i="6"/>
  <c r="AF74" i="6"/>
  <c r="AF72" i="6"/>
  <c r="AF70" i="6"/>
  <c r="AF68" i="6"/>
  <c r="AF66" i="6"/>
  <c r="AF64" i="6"/>
  <c r="AF62" i="6"/>
  <c r="AF60" i="6"/>
  <c r="AF58" i="6"/>
  <c r="AF56" i="6"/>
  <c r="AF54" i="6"/>
  <c r="AF52" i="6"/>
  <c r="AF50" i="6"/>
  <c r="AF164" i="6"/>
  <c r="AF162" i="6"/>
  <c r="AF160" i="6"/>
  <c r="AF158" i="6"/>
  <c r="AF156" i="6"/>
  <c r="AF154" i="6"/>
  <c r="AF149" i="6"/>
  <c r="AF147" i="6"/>
  <c r="AF145" i="6"/>
  <c r="AF143" i="6"/>
  <c r="AF141" i="6"/>
  <c r="AF139" i="6"/>
  <c r="AF137" i="6"/>
  <c r="AF135" i="6"/>
  <c r="AF133" i="6"/>
  <c r="AF131" i="6"/>
  <c r="AF129" i="6"/>
  <c r="AF127" i="6"/>
  <c r="AF125" i="6"/>
  <c r="AF123" i="6"/>
  <c r="AF121" i="6"/>
  <c r="AF119" i="6"/>
  <c r="AF117" i="6"/>
  <c r="AF115" i="6"/>
  <c r="AF113" i="6"/>
  <c r="AF111" i="6"/>
  <c r="AF109" i="6"/>
  <c r="AF107" i="6"/>
  <c r="AF105" i="6"/>
  <c r="AF103" i="6"/>
  <c r="AF101" i="6"/>
  <c r="AF99" i="6"/>
  <c r="AF97" i="6"/>
  <c r="AF95" i="6"/>
  <c r="AF93" i="6"/>
  <c r="AF91" i="6"/>
  <c r="AF89" i="6"/>
  <c r="AF87" i="6"/>
  <c r="AF85" i="6"/>
  <c r="AF83" i="6"/>
  <c r="AF81" i="6"/>
  <c r="AF79" i="6"/>
  <c r="AF77" i="6"/>
  <c r="AF75" i="6"/>
  <c r="AF73" i="6"/>
  <c r="AF71" i="6"/>
  <c r="AF69" i="6"/>
  <c r="AF67" i="6"/>
  <c r="AF65" i="6"/>
  <c r="AF63" i="6"/>
  <c r="AF61" i="6"/>
  <c r="AF59" i="6"/>
  <c r="AF57" i="6"/>
  <c r="AF55" i="6"/>
  <c r="AF53" i="6"/>
  <c r="AF51" i="6"/>
  <c r="F48" i="6"/>
  <c r="E48" i="6"/>
  <c r="D48" i="6"/>
  <c r="A48" i="6"/>
  <c r="F239" i="6" l="1"/>
  <c r="F237" i="6"/>
  <c r="F242" i="6"/>
  <c r="F241" i="6"/>
  <c r="F240" i="6"/>
  <c r="F238" i="6"/>
  <c r="F235" i="6"/>
  <c r="F233" i="6"/>
  <c r="F231" i="6"/>
  <c r="F229" i="6"/>
  <c r="F227" i="6"/>
  <c r="F225" i="6"/>
  <c r="F223" i="6"/>
  <c r="F234" i="6"/>
  <c r="F232" i="6"/>
  <c r="F230" i="6"/>
  <c r="F228" i="6"/>
  <c r="F226" i="6"/>
  <c r="F224" i="6"/>
  <c r="F221" i="6"/>
  <c r="F219" i="6"/>
  <c r="F217" i="6"/>
  <c r="F215" i="6"/>
  <c r="F213" i="6"/>
  <c r="F211" i="6"/>
  <c r="F209" i="6"/>
  <c r="F206" i="6"/>
  <c r="F204" i="6"/>
  <c r="F202" i="6"/>
  <c r="F200" i="6"/>
  <c r="F198" i="6"/>
  <c r="F196" i="6"/>
  <c r="F193" i="6"/>
  <c r="F191" i="6"/>
  <c r="F189" i="6"/>
  <c r="F187" i="6"/>
  <c r="F220" i="6"/>
  <c r="F218" i="6"/>
  <c r="F216" i="6"/>
  <c r="F214" i="6"/>
  <c r="F212" i="6"/>
  <c r="F210" i="6"/>
  <c r="F207" i="6"/>
  <c r="F205" i="6"/>
  <c r="F203" i="6"/>
  <c r="F201" i="6"/>
  <c r="F199" i="6"/>
  <c r="F197" i="6"/>
  <c r="F195" i="6"/>
  <c r="F192" i="6"/>
  <c r="F190" i="6"/>
  <c r="F188" i="6"/>
  <c r="F186" i="6"/>
  <c r="F185" i="6"/>
  <c r="F183" i="6"/>
  <c r="F181" i="6"/>
  <c r="F184" i="6"/>
  <c r="F182" i="6"/>
  <c r="F179" i="6"/>
  <c r="F177" i="6"/>
  <c r="F175" i="6"/>
  <c r="F173" i="6"/>
  <c r="F171" i="6"/>
  <c r="F169" i="6"/>
  <c r="F167" i="6"/>
  <c r="F178" i="6"/>
  <c r="F176" i="6"/>
  <c r="F174" i="6"/>
  <c r="F172" i="6"/>
  <c r="F170" i="6"/>
  <c r="F168" i="6"/>
  <c r="F164" i="6"/>
  <c r="F162" i="6"/>
  <c r="F160" i="6"/>
  <c r="F158" i="6"/>
  <c r="F156" i="6"/>
  <c r="F154" i="6"/>
  <c r="F149" i="6"/>
  <c r="F147" i="6"/>
  <c r="F145" i="6"/>
  <c r="F143" i="6"/>
  <c r="F141" i="6"/>
  <c r="F139" i="6"/>
  <c r="F137" i="6"/>
  <c r="F135" i="6"/>
  <c r="F133" i="6"/>
  <c r="F131" i="6"/>
  <c r="F129" i="6"/>
  <c r="F127" i="6"/>
  <c r="F125" i="6"/>
  <c r="F123" i="6"/>
  <c r="F121" i="6"/>
  <c r="F119" i="6"/>
  <c r="F117" i="6"/>
  <c r="F115" i="6"/>
  <c r="F113" i="6"/>
  <c r="F111" i="6"/>
  <c r="F109" i="6"/>
  <c r="F107" i="6"/>
  <c r="F105" i="6"/>
  <c r="F103" i="6"/>
  <c r="F101" i="6"/>
  <c r="F99" i="6"/>
  <c r="F97" i="6"/>
  <c r="F95" i="6"/>
  <c r="F93" i="6"/>
  <c r="F91" i="6"/>
  <c r="F89" i="6"/>
  <c r="F87" i="6"/>
  <c r="F85" i="6"/>
  <c r="F83" i="6"/>
  <c r="F81" i="6"/>
  <c r="F79" i="6"/>
  <c r="F77" i="6"/>
  <c r="F75" i="6"/>
  <c r="F73" i="6"/>
  <c r="F71" i="6"/>
  <c r="F69" i="6"/>
  <c r="F67" i="6"/>
  <c r="F65" i="6"/>
  <c r="F63" i="6"/>
  <c r="F61" i="6"/>
  <c r="F59" i="6"/>
  <c r="F57" i="6"/>
  <c r="F55" i="6"/>
  <c r="F53" i="6"/>
  <c r="F51" i="6"/>
  <c r="F165" i="6"/>
  <c r="F163" i="6"/>
  <c r="F161" i="6"/>
  <c r="F159" i="6"/>
  <c r="F157" i="6"/>
  <c r="F155" i="6"/>
  <c r="F153" i="6"/>
  <c r="F150" i="6"/>
  <c r="F148" i="6"/>
  <c r="F146" i="6"/>
  <c r="F144" i="6"/>
  <c r="F142" i="6"/>
  <c r="F140" i="6"/>
  <c r="F138" i="6"/>
  <c r="F136" i="6"/>
  <c r="F134" i="6"/>
  <c r="F132" i="6"/>
  <c r="F130" i="6"/>
  <c r="F128" i="6"/>
  <c r="F126" i="6"/>
  <c r="F124" i="6"/>
  <c r="F122" i="6"/>
  <c r="F120" i="6"/>
  <c r="F118" i="6"/>
  <c r="F116" i="6"/>
  <c r="F114" i="6"/>
  <c r="F112" i="6"/>
  <c r="F110" i="6"/>
  <c r="F108" i="6"/>
  <c r="F106" i="6"/>
  <c r="F104" i="6"/>
  <c r="F102" i="6"/>
  <c r="F100" i="6"/>
  <c r="F98" i="6"/>
  <c r="F96" i="6"/>
  <c r="F94" i="6"/>
  <c r="F92" i="6"/>
  <c r="F90" i="6"/>
  <c r="F88" i="6"/>
  <c r="F86" i="6"/>
  <c r="F84" i="6"/>
  <c r="F82" i="6"/>
  <c r="F80" i="6"/>
  <c r="F78" i="6"/>
  <c r="F76" i="6"/>
  <c r="F74" i="6"/>
  <c r="F72" i="6"/>
  <c r="F70" i="6"/>
  <c r="F68" i="6"/>
  <c r="F66" i="6"/>
  <c r="F64" i="6"/>
  <c r="F62" i="6"/>
  <c r="F60" i="6"/>
  <c r="F58" i="6"/>
  <c r="F56" i="6"/>
  <c r="F54" i="6"/>
  <c r="F52" i="6"/>
  <c r="F50" i="6"/>
  <c r="F12" i="8"/>
  <c r="DJ48" i="6"/>
  <c r="CJ48" i="6"/>
  <c r="BJ48" i="6"/>
  <c r="AJ48" i="6"/>
  <c r="J48" i="6"/>
  <c r="DH48" i="6" l="1"/>
  <c r="DI48" i="6" s="1"/>
  <c r="EA48" i="6" s="1"/>
  <c r="CH48" i="6" l="1"/>
  <c r="CI48" i="6" s="1"/>
  <c r="F19" i="8"/>
  <c r="AH48" i="6"/>
  <c r="AI48" i="6" s="1"/>
  <c r="F15" i="8"/>
  <c r="BH48" i="6"/>
  <c r="BI48" i="6" s="1"/>
  <c r="F17" i="8"/>
  <c r="H48" i="6"/>
  <c r="I48" i="6" s="1"/>
  <c r="F13" i="8"/>
  <c r="BS48" i="6" l="1"/>
  <c r="F24" i="8"/>
  <c r="F22" i="8"/>
  <c r="DU48" i="6"/>
  <c r="DV48" i="6" s="1"/>
  <c r="DS48" i="6"/>
  <c r="BU48" i="6" l="1"/>
  <c r="BV48" i="6" s="1"/>
  <c r="F25" i="8"/>
  <c r="F28" i="8" s="1"/>
  <c r="F23" i="8"/>
  <c r="S48" i="6"/>
  <c r="AS48" i="6"/>
  <c r="U48" i="6"/>
  <c r="V48" i="6" s="1"/>
  <c r="AU48" i="6"/>
  <c r="AV48" i="6" s="1"/>
  <c r="DT48" i="6"/>
  <c r="CU48" i="6"/>
  <c r="CV48" i="6" s="1"/>
  <c r="CS48" i="6"/>
  <c r="BT48" i="6"/>
  <c r="AT48" i="6" l="1"/>
  <c r="T48" i="6"/>
  <c r="F27" i="8"/>
  <c r="F29" i="8" s="1"/>
  <c r="F26" i="8"/>
  <c r="CT48" i="6"/>
  <c r="F31" i="8" l="1"/>
  <c r="F30" i="8"/>
  <c r="G48" i="6" l="1"/>
  <c r="K48" i="6" s="1"/>
  <c r="L48" i="6" l="1"/>
  <c r="BG48" i="6"/>
  <c r="DG48" i="6"/>
  <c r="CG48" i="6"/>
  <c r="AG48" i="6"/>
  <c r="M48" i="6" l="1"/>
  <c r="O48" i="6" s="1"/>
  <c r="Y48" i="6" s="1"/>
  <c r="L8" i="6" s="1"/>
  <c r="CL48" i="6"/>
  <c r="CK48" i="6"/>
  <c r="BL48" i="6"/>
  <c r="BK48" i="6"/>
  <c r="AL48" i="6"/>
  <c r="AK48" i="6"/>
  <c r="DL48" i="6"/>
  <c r="DK48" i="6"/>
  <c r="DM48" i="6" l="1"/>
  <c r="DP48" i="6" s="1"/>
  <c r="W48" i="6"/>
  <c r="Z48" i="6" s="1"/>
  <c r="M8" i="6" s="1"/>
  <c r="N48" i="6"/>
  <c r="Q48" i="6" s="1"/>
  <c r="P48" i="6"/>
  <c r="BM48" i="6"/>
  <c r="BN48" i="6" s="1"/>
  <c r="AM48" i="6"/>
  <c r="CM48" i="6"/>
  <c r="AB48" i="6" l="1"/>
  <c r="O8" i="6" s="1"/>
  <c r="DO48" i="6"/>
  <c r="DN48" i="6"/>
  <c r="DR48" i="6" s="1"/>
  <c r="DW48" i="6"/>
  <c r="R48" i="6"/>
  <c r="AA48" i="6" s="1"/>
  <c r="BP48" i="6"/>
  <c r="BO48" i="6"/>
  <c r="BW48" i="6"/>
  <c r="CW48" i="6"/>
  <c r="CO48" i="6"/>
  <c r="CP48" i="6"/>
  <c r="CN48" i="6"/>
  <c r="BR48" i="6"/>
  <c r="BQ48" i="6"/>
  <c r="AP48" i="6"/>
  <c r="AO48" i="6"/>
  <c r="AY48" i="6" s="1"/>
  <c r="L10" i="6" s="1"/>
  <c r="AN48" i="6"/>
  <c r="AW48" i="6"/>
  <c r="CA48" i="6" l="1"/>
  <c r="N12" i="6" s="1"/>
  <c r="N8" i="6"/>
  <c r="X48" i="6"/>
  <c r="AD48" i="6" s="1"/>
  <c r="DZ48" i="6"/>
  <c r="M16" i="6" s="1"/>
  <c r="EB48" i="6"/>
  <c r="O16" i="6" s="1"/>
  <c r="DY48" i="6"/>
  <c r="L16" i="6" s="1"/>
  <c r="AC48" i="6"/>
  <c r="P8" i="6" s="1"/>
  <c r="DQ48" i="6"/>
  <c r="CC48" i="6"/>
  <c r="P12" i="6" s="1"/>
  <c r="CB48" i="6"/>
  <c r="O12" i="6" s="1"/>
  <c r="BZ48" i="6"/>
  <c r="M12" i="6" s="1"/>
  <c r="BY48" i="6"/>
  <c r="L12" i="6" s="1"/>
  <c r="BX48" i="6"/>
  <c r="CZ48" i="6"/>
  <c r="M14" i="6" s="1"/>
  <c r="DB48" i="6"/>
  <c r="O14" i="6" s="1"/>
  <c r="CY48" i="6"/>
  <c r="L14" i="6" s="1"/>
  <c r="BB48" i="6"/>
  <c r="O10" i="6" s="1"/>
  <c r="AZ48" i="6"/>
  <c r="M10" i="6" s="1"/>
  <c r="AR48" i="6"/>
  <c r="BA48" i="6" s="1"/>
  <c r="AQ48" i="6"/>
  <c r="CR48" i="6"/>
  <c r="CQ48" i="6"/>
  <c r="DA48" i="6" s="1"/>
  <c r="M18" i="6" l="1"/>
  <c r="O18" i="6"/>
  <c r="L18" i="6"/>
  <c r="EC48" i="6"/>
  <c r="P16" i="6" s="1"/>
  <c r="N16" i="6"/>
  <c r="DX48" i="6"/>
  <c r="I8" i="6"/>
  <c r="J8" i="6" s="1"/>
  <c r="I12" i="6"/>
  <c r="J12" i="6" s="1"/>
  <c r="K12" i="6" s="1"/>
  <c r="CD48" i="6"/>
  <c r="DC48" i="6"/>
  <c r="P14" i="6" s="1"/>
  <c r="N14" i="6"/>
  <c r="CX48" i="6"/>
  <c r="BC48" i="6"/>
  <c r="P10" i="6" s="1"/>
  <c r="N10" i="6"/>
  <c r="AX48" i="6"/>
  <c r="BD48" i="6" s="1"/>
  <c r="P18" i="6" l="1"/>
  <c r="N18" i="6"/>
  <c r="K8" i="6"/>
  <c r="ED48" i="6"/>
  <c r="I16" i="6"/>
  <c r="I14" i="6"/>
  <c r="J14" i="6" s="1"/>
  <c r="K14" i="6" s="1"/>
  <c r="DD48" i="6"/>
  <c r="I10" i="6"/>
  <c r="J10" i="6" s="1"/>
  <c r="K10" i="6" s="1"/>
  <c r="K18" i="6" l="1"/>
  <c r="J18" i="6"/>
  <c r="EK8" i="6"/>
  <c r="F32" i="8" l="1"/>
  <c r="F33" i="8" s="1"/>
  <c r="D34" i="8" s="1"/>
  <c r="EK6" i="6" l="1"/>
  <c r="D39" i="8"/>
  <c r="D40" i="8"/>
  <c r="D35" i="8"/>
  <c r="D41" i="8"/>
  <c r="D42" i="8"/>
  <c r="D36" i="8"/>
  <c r="D37" i="8"/>
  <c r="D38" i="8"/>
  <c r="F44" i="8" l="1"/>
  <c r="F45" i="8"/>
  <c r="E6" i="8" s="1"/>
  <c r="F43" i="8"/>
  <c r="EF48" i="6" l="1"/>
  <c r="E8" i="8"/>
  <c r="E7" i="8"/>
  <c r="F47" i="8"/>
  <c r="F46" i="8"/>
  <c r="F48" i="8" l="1"/>
  <c r="F49" i="8"/>
  <c r="F50" i="8" l="1"/>
  <c r="F51" i="8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B51" i="8" l="1"/>
  <c r="D51" i="8" s="1"/>
  <c r="E51" i="8" s="1"/>
  <c r="B52" i="8"/>
  <c r="D52" i="8" s="1"/>
  <c r="E52" i="8" s="1"/>
  <c r="C51" i="8" l="1"/>
  <c r="C52" i="8"/>
  <c r="B53" i="8"/>
  <c r="D53" i="8" s="1"/>
  <c r="E53" i="8" s="1"/>
  <c r="B54" i="8" l="1"/>
  <c r="D54" i="8" s="1"/>
  <c r="E54" i="8" s="1"/>
  <c r="C53" i="8"/>
  <c r="C54" i="8" l="1"/>
  <c r="B55" i="8"/>
  <c r="D55" i="8" s="1"/>
  <c r="E55" i="8" s="1"/>
  <c r="B56" i="8" l="1"/>
  <c r="D56" i="8" s="1"/>
  <c r="E56" i="8" s="1"/>
  <c r="C55" i="8"/>
  <c r="C56" i="8" l="1"/>
  <c r="B57" i="8"/>
  <c r="D57" i="8" s="1"/>
  <c r="E57" i="8" s="1"/>
  <c r="B58" i="8" l="1"/>
  <c r="D58" i="8" s="1"/>
  <c r="E58" i="8" s="1"/>
  <c r="C57" i="8"/>
  <c r="C58" i="8" l="1"/>
  <c r="B59" i="8"/>
  <c r="D59" i="8" s="1"/>
  <c r="E59" i="8" s="1"/>
  <c r="B60" i="8" l="1"/>
  <c r="D60" i="8" s="1"/>
  <c r="E60" i="8" s="1"/>
  <c r="C59" i="8"/>
  <c r="C60" i="8" l="1"/>
  <c r="B61" i="8"/>
  <c r="D61" i="8" s="1"/>
  <c r="E61" i="8" s="1"/>
  <c r="F62" i="8" s="1"/>
  <c r="F63" i="8" s="1"/>
  <c r="D6" i="8" s="1"/>
  <c r="D50" i="6" l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D69" i="6" s="1"/>
  <c r="D70" i="6" s="1"/>
  <c r="D71" i="6" s="1"/>
  <c r="D72" i="6" s="1"/>
  <c r="D73" i="6" s="1"/>
  <c r="D74" i="6" s="1"/>
  <c r="D75" i="6" s="1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D89" i="6" s="1"/>
  <c r="D90" i="6" s="1"/>
  <c r="D91" i="6" s="1"/>
  <c r="D92" i="6" s="1"/>
  <c r="D93" i="6" s="1"/>
  <c r="D94" i="6" s="1"/>
  <c r="D95" i="6" s="1"/>
  <c r="D96" i="6" s="1"/>
  <c r="D97" i="6" s="1"/>
  <c r="D98" i="6" s="1"/>
  <c r="D99" i="6" s="1"/>
  <c r="D100" i="6" s="1"/>
  <c r="D101" i="6" s="1"/>
  <c r="D102" i="6" s="1"/>
  <c r="D103" i="6" s="1"/>
  <c r="D104" i="6" s="1"/>
  <c r="D105" i="6" s="1"/>
  <c r="D106" i="6" s="1"/>
  <c r="D107" i="6" s="1"/>
  <c r="D108" i="6" s="1"/>
  <c r="D109" i="6" s="1"/>
  <c r="D110" i="6" s="1"/>
  <c r="D111" i="6" s="1"/>
  <c r="D112" i="6" s="1"/>
  <c r="D113" i="6" s="1"/>
  <c r="D114" i="6" s="1"/>
  <c r="D115" i="6" s="1"/>
  <c r="D116" i="6" s="1"/>
  <c r="D117" i="6" s="1"/>
  <c r="D118" i="6" s="1"/>
  <c r="D119" i="6" s="1"/>
  <c r="D120" i="6" s="1"/>
  <c r="D121" i="6" s="1"/>
  <c r="D122" i="6" s="1"/>
  <c r="D123" i="6" s="1"/>
  <c r="D124" i="6" s="1"/>
  <c r="D125" i="6" s="1"/>
  <c r="D126" i="6" s="1"/>
  <c r="D127" i="6" s="1"/>
  <c r="D128" i="6" s="1"/>
  <c r="D129" i="6" s="1"/>
  <c r="D130" i="6" s="1"/>
  <c r="D131" i="6" s="1"/>
  <c r="D132" i="6" s="1"/>
  <c r="D133" i="6" s="1"/>
  <c r="D134" i="6" s="1"/>
  <c r="D135" i="6" s="1"/>
  <c r="D136" i="6" s="1"/>
  <c r="D137" i="6" s="1"/>
  <c r="D138" i="6" s="1"/>
  <c r="D139" i="6" s="1"/>
  <c r="D140" i="6" s="1"/>
  <c r="D141" i="6" s="1"/>
  <c r="D142" i="6" s="1"/>
  <c r="D143" i="6" s="1"/>
  <c r="D144" i="6" s="1"/>
  <c r="D145" i="6" s="1"/>
  <c r="D146" i="6" s="1"/>
  <c r="D147" i="6" s="1"/>
  <c r="D148" i="6" s="1"/>
  <c r="D149" i="6" s="1"/>
  <c r="D150" i="6" s="1"/>
  <c r="E50" i="6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E101" i="6" s="1"/>
  <c r="E102" i="6" s="1"/>
  <c r="E103" i="6" s="1"/>
  <c r="E104" i="6" s="1"/>
  <c r="E105" i="6" s="1"/>
  <c r="E106" i="6" s="1"/>
  <c r="E107" i="6" s="1"/>
  <c r="E108" i="6" s="1"/>
  <c r="E109" i="6" s="1"/>
  <c r="E110" i="6" s="1"/>
  <c r="E111" i="6" s="1"/>
  <c r="E112" i="6" s="1"/>
  <c r="E113" i="6" s="1"/>
  <c r="E114" i="6" s="1"/>
  <c r="E115" i="6" s="1"/>
  <c r="E116" i="6" s="1"/>
  <c r="E117" i="6" s="1"/>
  <c r="E118" i="6" s="1"/>
  <c r="E119" i="6" s="1"/>
  <c r="E120" i="6" s="1"/>
  <c r="E121" i="6" s="1"/>
  <c r="E122" i="6" s="1"/>
  <c r="E123" i="6" s="1"/>
  <c r="E124" i="6" s="1"/>
  <c r="E125" i="6" s="1"/>
  <c r="E126" i="6" s="1"/>
  <c r="E127" i="6" s="1"/>
  <c r="E128" i="6" s="1"/>
  <c r="E129" i="6" s="1"/>
  <c r="E130" i="6" s="1"/>
  <c r="E131" i="6" s="1"/>
  <c r="E132" i="6" s="1"/>
  <c r="E133" i="6" s="1"/>
  <c r="E134" i="6" s="1"/>
  <c r="E135" i="6" s="1"/>
  <c r="E136" i="6" s="1"/>
  <c r="E137" i="6" s="1"/>
  <c r="E138" i="6" s="1"/>
  <c r="E139" i="6" s="1"/>
  <c r="E140" i="6" s="1"/>
  <c r="E141" i="6" s="1"/>
  <c r="E142" i="6" s="1"/>
  <c r="E143" i="6" s="1"/>
  <c r="E144" i="6" s="1"/>
  <c r="E145" i="6" s="1"/>
  <c r="E146" i="6" s="1"/>
  <c r="E147" i="6" s="1"/>
  <c r="E148" i="6" s="1"/>
  <c r="E149" i="6" s="1"/>
  <c r="E150" i="6" s="1"/>
  <c r="C61" i="8"/>
  <c r="F64" i="8"/>
  <c r="DH50" i="6"/>
  <c r="DI50" i="6" s="1"/>
  <c r="EA50" i="6" s="1"/>
  <c r="BH50" i="6" l="1"/>
  <c r="BI50" i="6" s="1"/>
  <c r="CH50" i="6"/>
  <c r="CI50" i="6" s="1"/>
  <c r="H50" i="6"/>
  <c r="I50" i="6" s="1"/>
  <c r="AH50" i="6"/>
  <c r="AI50" i="6" s="1"/>
  <c r="C49" i="6"/>
  <c r="C51" i="6"/>
  <c r="DH51" i="6" s="1"/>
  <c r="DI51" i="6" s="1"/>
  <c r="EA51" i="6" s="1"/>
  <c r="D49" i="6"/>
  <c r="B50" i="6"/>
  <c r="D8" i="8"/>
  <c r="D7" i="8"/>
  <c r="E49" i="6"/>
  <c r="F6" i="8"/>
  <c r="A50" i="6"/>
  <c r="G50" i="6" l="1"/>
  <c r="CG50" i="6"/>
  <c r="AG50" i="6"/>
  <c r="BG50" i="6"/>
  <c r="DG50" i="6"/>
  <c r="BH51" i="6"/>
  <c r="BI51" i="6" s="1"/>
  <c r="CH51" i="6"/>
  <c r="CI51" i="6" s="1"/>
  <c r="H51" i="6"/>
  <c r="I51" i="6" s="1"/>
  <c r="AH51" i="6"/>
  <c r="AI51" i="6" s="1"/>
  <c r="C52" i="6"/>
  <c r="DH52" i="6" s="1"/>
  <c r="DI52" i="6" s="1"/>
  <c r="EA52" i="6" s="1"/>
  <c r="A49" i="6"/>
  <c r="EF50" i="6"/>
  <c r="EF49" i="6" s="1"/>
  <c r="B49" i="6"/>
  <c r="B51" i="6"/>
  <c r="CS50" i="6"/>
  <c r="AU50" i="6"/>
  <c r="AV50" i="6" s="1"/>
  <c r="S50" i="6"/>
  <c r="A51" i="6"/>
  <c r="DJ50" i="6"/>
  <c r="J50" i="6"/>
  <c r="AJ50" i="6"/>
  <c r="CJ50" i="6"/>
  <c r="BJ50" i="6"/>
  <c r="T50" i="6" l="1"/>
  <c r="CT50" i="6"/>
  <c r="G51" i="6"/>
  <c r="CG51" i="6"/>
  <c r="BG51" i="6"/>
  <c r="AG51" i="6"/>
  <c r="DG51" i="6"/>
  <c r="DK50" i="6"/>
  <c r="BH52" i="6"/>
  <c r="BI52" i="6" s="1"/>
  <c r="CH52" i="6"/>
  <c r="CI52" i="6" s="1"/>
  <c r="H52" i="6"/>
  <c r="I52" i="6" s="1"/>
  <c r="AH52" i="6"/>
  <c r="AI52" i="6" s="1"/>
  <c r="EF51" i="6"/>
  <c r="BK50" i="6"/>
  <c r="K50" i="6"/>
  <c r="BS50" i="6"/>
  <c r="C53" i="6"/>
  <c r="DH53" i="6" s="1"/>
  <c r="DI53" i="6" s="1"/>
  <c r="EA53" i="6" s="1"/>
  <c r="AS50" i="6"/>
  <c r="AK50" i="6"/>
  <c r="DS50" i="6"/>
  <c r="DT50" i="6" s="1"/>
  <c r="CK50" i="6"/>
  <c r="BU50" i="6"/>
  <c r="BV50" i="6" s="1"/>
  <c r="DU50" i="6"/>
  <c r="DV50" i="6" s="1"/>
  <c r="DL50" i="6"/>
  <c r="BL50" i="6"/>
  <c r="AL50" i="6"/>
  <c r="U50" i="6"/>
  <c r="V50" i="6" s="1"/>
  <c r="L50" i="6"/>
  <c r="CU50" i="6"/>
  <c r="CV50" i="6" s="1"/>
  <c r="BS51" i="6"/>
  <c r="AU51" i="6"/>
  <c r="AV51" i="6" s="1"/>
  <c r="CS51" i="6"/>
  <c r="DS51" i="6"/>
  <c r="DT51" i="6" s="1"/>
  <c r="U51" i="6"/>
  <c r="V51" i="6" s="1"/>
  <c r="CL50" i="6"/>
  <c r="B52" i="6"/>
  <c r="A52" i="6"/>
  <c r="J51" i="6"/>
  <c r="DJ51" i="6"/>
  <c r="CJ51" i="6"/>
  <c r="BJ51" i="6"/>
  <c r="AJ51" i="6"/>
  <c r="AT50" i="6" l="1"/>
  <c r="BT50" i="6"/>
  <c r="CT51" i="6"/>
  <c r="BT51" i="6"/>
  <c r="DL51" i="6"/>
  <c r="G52" i="6"/>
  <c r="CG52" i="6"/>
  <c r="BG52" i="6"/>
  <c r="AG52" i="6"/>
  <c r="DG52" i="6"/>
  <c r="DM50" i="6"/>
  <c r="DW50" i="6" s="1"/>
  <c r="EF52" i="6"/>
  <c r="BM50" i="6"/>
  <c r="BW50" i="6" s="1"/>
  <c r="M50" i="6"/>
  <c r="P50" i="6" s="1"/>
  <c r="BH53" i="6"/>
  <c r="BI53" i="6" s="1"/>
  <c r="CH53" i="6"/>
  <c r="CI53" i="6" s="1"/>
  <c r="H53" i="6"/>
  <c r="I53" i="6" s="1"/>
  <c r="AH53" i="6"/>
  <c r="AI53" i="6" s="1"/>
  <c r="S51" i="6"/>
  <c r="CM50" i="6"/>
  <c r="CN50" i="6" s="1"/>
  <c r="CR50" i="6" s="1"/>
  <c r="AM50" i="6"/>
  <c r="AP50" i="6" s="1"/>
  <c r="C54" i="6"/>
  <c r="DH54" i="6" s="1"/>
  <c r="DI54" i="6" s="1"/>
  <c r="EA54" i="6" s="1"/>
  <c r="AK51" i="6"/>
  <c r="AS51" i="6"/>
  <c r="AL51" i="6"/>
  <c r="K51" i="6"/>
  <c r="CL51" i="6"/>
  <c r="CK51" i="6"/>
  <c r="L51" i="6"/>
  <c r="DU51" i="6"/>
  <c r="DV51" i="6" s="1"/>
  <c r="BS52" i="6"/>
  <c r="AU52" i="6"/>
  <c r="AV52" i="6" s="1"/>
  <c r="CS52" i="6"/>
  <c r="U52" i="6"/>
  <c r="V52" i="6" s="1"/>
  <c r="DS52" i="6"/>
  <c r="DT52" i="6" s="1"/>
  <c r="DK51" i="6"/>
  <c r="BL51" i="6"/>
  <c r="BK51" i="6"/>
  <c r="B53" i="6"/>
  <c r="CU51" i="6"/>
  <c r="CV51" i="6" s="1"/>
  <c r="BU51" i="6"/>
  <c r="BV51" i="6" s="1"/>
  <c r="A53" i="6"/>
  <c r="J52" i="6"/>
  <c r="DJ52" i="6"/>
  <c r="BJ52" i="6"/>
  <c r="AJ52" i="6"/>
  <c r="CJ52" i="6"/>
  <c r="T51" i="6" l="1"/>
  <c r="BT52" i="6"/>
  <c r="AT51" i="6"/>
  <c r="CT52" i="6"/>
  <c r="DM51" i="6"/>
  <c r="DW51" i="6" s="1"/>
  <c r="DZ50" i="6"/>
  <c r="EB50" i="6"/>
  <c r="G53" i="6"/>
  <c r="CG53" i="6"/>
  <c r="BG53" i="6"/>
  <c r="AG53" i="6"/>
  <c r="DG53" i="6"/>
  <c r="DO50" i="6"/>
  <c r="CB50" i="6"/>
  <c r="BZ50" i="6"/>
  <c r="DN50" i="6"/>
  <c r="DR50" i="6" s="1"/>
  <c r="DP50" i="6"/>
  <c r="AW50" i="6"/>
  <c r="BB50" i="6" s="1"/>
  <c r="BN50" i="6"/>
  <c r="BR50" i="6" s="1"/>
  <c r="BP50" i="6"/>
  <c r="BO50" i="6"/>
  <c r="O50" i="6"/>
  <c r="Y50" i="6" s="1"/>
  <c r="W50" i="6"/>
  <c r="AB50" i="6" s="1"/>
  <c r="N50" i="6"/>
  <c r="R50" i="6" s="1"/>
  <c r="BH54" i="6"/>
  <c r="BI54" i="6" s="1"/>
  <c r="CH54" i="6"/>
  <c r="CI54" i="6" s="1"/>
  <c r="H54" i="6"/>
  <c r="I54" i="6" s="1"/>
  <c r="AH54" i="6"/>
  <c r="AI54" i="6" s="1"/>
  <c r="CO50" i="6"/>
  <c r="CW50" i="6"/>
  <c r="CP50" i="6"/>
  <c r="AN50" i="6"/>
  <c r="AR50" i="6" s="1"/>
  <c r="AO50" i="6"/>
  <c r="AY50" i="6" s="1"/>
  <c r="S52" i="6"/>
  <c r="C55" i="6"/>
  <c r="DH55" i="6" s="1"/>
  <c r="DI55" i="6" s="1"/>
  <c r="EA55" i="6" s="1"/>
  <c r="A54" i="6"/>
  <c r="A55" i="6" s="1"/>
  <c r="EF53" i="6"/>
  <c r="AM51" i="6"/>
  <c r="AP51" i="6" s="1"/>
  <c r="DK52" i="6"/>
  <c r="CQ50" i="6"/>
  <c r="CL52" i="6"/>
  <c r="BL52" i="6"/>
  <c r="DL52" i="6"/>
  <c r="CM51" i="6"/>
  <c r="CO51" i="6" s="1"/>
  <c r="CY51" i="6" s="1"/>
  <c r="M51" i="6"/>
  <c r="O51" i="6" s="1"/>
  <c r="Y51" i="6" s="1"/>
  <c r="AS52" i="6"/>
  <c r="K52" i="6"/>
  <c r="AK52" i="6"/>
  <c r="BM51" i="6"/>
  <c r="BO51" i="6" s="1"/>
  <c r="BY51" i="6" s="1"/>
  <c r="CK52" i="6"/>
  <c r="BK52" i="6"/>
  <c r="L52" i="6"/>
  <c r="AL52" i="6"/>
  <c r="B54" i="6"/>
  <c r="DU52" i="6"/>
  <c r="DV52" i="6" s="1"/>
  <c r="CU52" i="6"/>
  <c r="CV52" i="6" s="1"/>
  <c r="BU52" i="6"/>
  <c r="BV52" i="6" s="1"/>
  <c r="DS53" i="6"/>
  <c r="DT53" i="6" s="1"/>
  <c r="CS53" i="6"/>
  <c r="U53" i="6"/>
  <c r="V53" i="6" s="1"/>
  <c r="BS53" i="6"/>
  <c r="AU53" i="6"/>
  <c r="AV53" i="6" s="1"/>
  <c r="DJ53" i="6"/>
  <c r="CJ53" i="6"/>
  <c r="AJ53" i="6"/>
  <c r="BJ53" i="6"/>
  <c r="J53" i="6"/>
  <c r="BA50" i="6" l="1"/>
  <c r="AA50" i="6"/>
  <c r="DA50" i="6"/>
  <c r="CT53" i="6"/>
  <c r="BT53" i="6"/>
  <c r="AT52" i="6"/>
  <c r="T52" i="6"/>
  <c r="DM52" i="6"/>
  <c r="DN52" i="6" s="1"/>
  <c r="DR52" i="6" s="1"/>
  <c r="AZ50" i="6"/>
  <c r="DO51" i="6"/>
  <c r="DY51" i="6" s="1"/>
  <c r="DN51" i="6"/>
  <c r="DQ51" i="6" s="1"/>
  <c r="DP51" i="6"/>
  <c r="EB51" i="6"/>
  <c r="DZ51" i="6"/>
  <c r="DY50" i="6"/>
  <c r="G54" i="6"/>
  <c r="CG54" i="6"/>
  <c r="BG54" i="6"/>
  <c r="AG54" i="6"/>
  <c r="DG54" i="6"/>
  <c r="DC50" i="6"/>
  <c r="DB50" i="6"/>
  <c r="CZ50" i="6"/>
  <c r="CY50" i="6"/>
  <c r="CX50" i="6"/>
  <c r="DD50" i="6" s="1"/>
  <c r="BY50" i="6"/>
  <c r="BQ50" i="6"/>
  <c r="CA50" i="6" s="1"/>
  <c r="DQ50" i="6"/>
  <c r="DX50" i="6" s="1"/>
  <c r="ED50" i="6" s="1"/>
  <c r="B55" i="6"/>
  <c r="B56" i="6" s="1"/>
  <c r="AJ54" i="6"/>
  <c r="AW51" i="6"/>
  <c r="AZ51" i="6" s="1"/>
  <c r="Z50" i="6"/>
  <c r="AQ50" i="6"/>
  <c r="BC50" i="6" s="1"/>
  <c r="Q50" i="6"/>
  <c r="X50" i="6" s="1"/>
  <c r="AD50" i="6" s="1"/>
  <c r="BH55" i="6"/>
  <c r="BI55" i="6" s="1"/>
  <c r="CH55" i="6"/>
  <c r="CI55" i="6" s="1"/>
  <c r="H55" i="6"/>
  <c r="I55" i="6" s="1"/>
  <c r="AH55" i="6"/>
  <c r="AI55" i="6" s="1"/>
  <c r="J54" i="6"/>
  <c r="DJ54" i="6"/>
  <c r="BJ54" i="6"/>
  <c r="CJ54" i="6"/>
  <c r="C56" i="6"/>
  <c r="DH56" i="6" s="1"/>
  <c r="DI56" i="6" s="1"/>
  <c r="EA56" i="6" s="1"/>
  <c r="EF54" i="6"/>
  <c r="AO51" i="6"/>
  <c r="AY51" i="6" s="1"/>
  <c r="AN51" i="6"/>
  <c r="AR51" i="6" s="1"/>
  <c r="BA51" i="6" s="1"/>
  <c r="P51" i="6"/>
  <c r="CM52" i="6"/>
  <c r="CN52" i="6" s="1"/>
  <c r="CQ52" i="6" s="1"/>
  <c r="W51" i="6"/>
  <c r="Z51" i="6" s="1"/>
  <c r="N51" i="6"/>
  <c r="BM52" i="6"/>
  <c r="BP52" i="6" s="1"/>
  <c r="CW51" i="6"/>
  <c r="BK53" i="6"/>
  <c r="BN51" i="6"/>
  <c r="CN51" i="6"/>
  <c r="M52" i="6"/>
  <c r="P52" i="6" s="1"/>
  <c r="BP51" i="6"/>
  <c r="CP51" i="6"/>
  <c r="BL53" i="6"/>
  <c r="AM52" i="6"/>
  <c r="AN52" i="6" s="1"/>
  <c r="BW51" i="6"/>
  <c r="AS53" i="6"/>
  <c r="S53" i="6"/>
  <c r="K53" i="6"/>
  <c r="BU53" i="6"/>
  <c r="BV53" i="6" s="1"/>
  <c r="CU53" i="6"/>
  <c r="CV53" i="6" s="1"/>
  <c r="DS54" i="6"/>
  <c r="DT54" i="6" s="1"/>
  <c r="U54" i="6"/>
  <c r="V54" i="6" s="1"/>
  <c r="AU54" i="6"/>
  <c r="AV54" i="6" s="1"/>
  <c r="BS54" i="6"/>
  <c r="CS54" i="6"/>
  <c r="AK53" i="6"/>
  <c r="AL53" i="6"/>
  <c r="L53" i="6"/>
  <c r="DU53" i="6"/>
  <c r="DV53" i="6" s="1"/>
  <c r="CL53" i="6"/>
  <c r="CK53" i="6"/>
  <c r="DL53" i="6"/>
  <c r="DK53" i="6"/>
  <c r="CJ55" i="6"/>
  <c r="A56" i="6"/>
  <c r="DJ55" i="6"/>
  <c r="AJ55" i="6"/>
  <c r="BJ55" i="6"/>
  <c r="J55" i="6"/>
  <c r="BT54" i="6" l="1"/>
  <c r="T53" i="6"/>
  <c r="AT53" i="6"/>
  <c r="CT54" i="6"/>
  <c r="DP52" i="6"/>
  <c r="DO52" i="6"/>
  <c r="DY52" i="6" s="1"/>
  <c r="DW52" i="6"/>
  <c r="EB52" i="6" s="1"/>
  <c r="DR51" i="6"/>
  <c r="EC51" i="6" s="1"/>
  <c r="EC50" i="6"/>
  <c r="DZ52" i="6"/>
  <c r="BB51" i="6"/>
  <c r="G56" i="6"/>
  <c r="CG56" i="6"/>
  <c r="BG56" i="6"/>
  <c r="AG56" i="6"/>
  <c r="DG56" i="6"/>
  <c r="G55" i="6"/>
  <c r="CG55" i="6"/>
  <c r="BG55" i="6"/>
  <c r="AG55" i="6"/>
  <c r="DG55" i="6"/>
  <c r="CZ51" i="6"/>
  <c r="DB51" i="6"/>
  <c r="DC52" i="6"/>
  <c r="CB51" i="6"/>
  <c r="BZ51" i="6"/>
  <c r="CC50" i="6"/>
  <c r="BX50" i="6"/>
  <c r="CD50" i="6" s="1"/>
  <c r="AO52" i="6"/>
  <c r="AY52" i="6" s="1"/>
  <c r="EF55" i="6"/>
  <c r="AX50" i="6"/>
  <c r="BD50" i="6" s="1"/>
  <c r="AC50" i="6"/>
  <c r="BH56" i="6"/>
  <c r="BI56" i="6" s="1"/>
  <c r="CH56" i="6"/>
  <c r="CI56" i="6" s="1"/>
  <c r="H56" i="6"/>
  <c r="I56" i="6" s="1"/>
  <c r="AH56" i="6"/>
  <c r="AI56" i="6" s="1"/>
  <c r="EF56" i="6"/>
  <c r="K54" i="6"/>
  <c r="AK54" i="6"/>
  <c r="L54" i="6"/>
  <c r="C57" i="6"/>
  <c r="DH57" i="6" s="1"/>
  <c r="DI57" i="6" s="1"/>
  <c r="EA57" i="6" s="1"/>
  <c r="AQ51" i="6"/>
  <c r="AX51" i="6" s="1"/>
  <c r="DQ52" i="6"/>
  <c r="DX52" i="6" s="1"/>
  <c r="ED52" i="6" s="1"/>
  <c r="AS54" i="6"/>
  <c r="CR52" i="6"/>
  <c r="CP52" i="6"/>
  <c r="CO52" i="6"/>
  <c r="DA52" i="6" s="1"/>
  <c r="BW52" i="6"/>
  <c r="BN52" i="6"/>
  <c r="BR52" i="6" s="1"/>
  <c r="N52" i="6"/>
  <c r="O52" i="6"/>
  <c r="Y52" i="6" s="1"/>
  <c r="AB51" i="6"/>
  <c r="CW52" i="6"/>
  <c r="BO52" i="6"/>
  <c r="BM53" i="6"/>
  <c r="BP53" i="6" s="1"/>
  <c r="R51" i="6"/>
  <c r="AA51" i="6" s="1"/>
  <c r="Q51" i="6"/>
  <c r="W52" i="6"/>
  <c r="AB52" i="6" s="1"/>
  <c r="AW52" i="6"/>
  <c r="BR51" i="6"/>
  <c r="BQ51" i="6"/>
  <c r="CA51" i="6" s="1"/>
  <c r="CR51" i="6"/>
  <c r="CQ51" i="6"/>
  <c r="DA51" i="6" s="1"/>
  <c r="AR52" i="6"/>
  <c r="AQ52" i="6"/>
  <c r="CK54" i="6"/>
  <c r="S54" i="6"/>
  <c r="M53" i="6"/>
  <c r="N53" i="6" s="1"/>
  <c r="AP52" i="6"/>
  <c r="BK54" i="6"/>
  <c r="DM53" i="6"/>
  <c r="DW53" i="6" s="1"/>
  <c r="CM53" i="6"/>
  <c r="CN53" i="6" s="1"/>
  <c r="CR53" i="6" s="1"/>
  <c r="DL54" i="6"/>
  <c r="BL54" i="6"/>
  <c r="AM53" i="6"/>
  <c r="AP53" i="6" s="1"/>
  <c r="B57" i="6"/>
  <c r="DK54" i="6"/>
  <c r="AL54" i="6"/>
  <c r="CL54" i="6"/>
  <c r="BU54" i="6"/>
  <c r="BV54" i="6" s="1"/>
  <c r="DS55" i="6"/>
  <c r="DT55" i="6" s="1"/>
  <c r="S55" i="6"/>
  <c r="BS55" i="6"/>
  <c r="DU54" i="6"/>
  <c r="DV54" i="6" s="1"/>
  <c r="CU54" i="6"/>
  <c r="CV54" i="6" s="1"/>
  <c r="CJ56" i="6"/>
  <c r="AJ56" i="6"/>
  <c r="DJ56" i="6"/>
  <c r="BJ56" i="6"/>
  <c r="J56" i="6"/>
  <c r="BA52" i="6" l="1"/>
  <c r="BT55" i="6"/>
  <c r="T54" i="6"/>
  <c r="T55" i="6"/>
  <c r="AT54" i="6"/>
  <c r="DX51" i="6"/>
  <c r="ED51" i="6" s="1"/>
  <c r="M54" i="6"/>
  <c r="W54" i="6" s="1"/>
  <c r="Z54" i="6" s="1"/>
  <c r="EB53" i="6"/>
  <c r="DZ53" i="6"/>
  <c r="EC52" i="6"/>
  <c r="G57" i="6"/>
  <c r="CG57" i="6"/>
  <c r="AG57" i="6"/>
  <c r="BG57" i="6"/>
  <c r="DG57" i="6"/>
  <c r="BO53" i="6"/>
  <c r="BY53" i="6" s="1"/>
  <c r="W53" i="6"/>
  <c r="Z53" i="6" s="1"/>
  <c r="AK55" i="6"/>
  <c r="DC51" i="6"/>
  <c r="CX51" i="6"/>
  <c r="DB52" i="6"/>
  <c r="CZ52" i="6"/>
  <c r="CY52" i="6"/>
  <c r="CX52" i="6"/>
  <c r="BY52" i="6"/>
  <c r="BZ52" i="6"/>
  <c r="CB52" i="6"/>
  <c r="CC51" i="6"/>
  <c r="BX51" i="6"/>
  <c r="CK55" i="6"/>
  <c r="CO53" i="6"/>
  <c r="AM54" i="6"/>
  <c r="AW54" i="6" s="1"/>
  <c r="BB54" i="6" s="1"/>
  <c r="BH57" i="6"/>
  <c r="BI57" i="6" s="1"/>
  <c r="CH57" i="6"/>
  <c r="CI57" i="6" s="1"/>
  <c r="H57" i="6"/>
  <c r="I57" i="6" s="1"/>
  <c r="AH57" i="6"/>
  <c r="AI57" i="6" s="1"/>
  <c r="CS55" i="6"/>
  <c r="K55" i="6"/>
  <c r="BK55" i="6"/>
  <c r="BC51" i="6"/>
  <c r="BD51" i="6"/>
  <c r="Z52" i="6"/>
  <c r="C58" i="6"/>
  <c r="DH58" i="6" s="1"/>
  <c r="DI58" i="6" s="1"/>
  <c r="EA58" i="6" s="1"/>
  <c r="CM54" i="6"/>
  <c r="CW54" i="6" s="1"/>
  <c r="BC52" i="6"/>
  <c r="BW53" i="6"/>
  <c r="O53" i="6"/>
  <c r="Y53" i="6" s="1"/>
  <c r="BN53" i="6"/>
  <c r="BQ53" i="6" s="1"/>
  <c r="BQ52" i="6"/>
  <c r="Q52" i="6"/>
  <c r="R52" i="6"/>
  <c r="AA52" i="6" s="1"/>
  <c r="AS55" i="6"/>
  <c r="CP53" i="6"/>
  <c r="R53" i="6"/>
  <c r="Q53" i="6"/>
  <c r="AZ52" i="6"/>
  <c r="BB52" i="6"/>
  <c r="X51" i="6"/>
  <c r="AC51" i="6"/>
  <c r="AX52" i="6"/>
  <c r="P53" i="6"/>
  <c r="CW53" i="6"/>
  <c r="CQ53" i="6"/>
  <c r="AO53" i="6"/>
  <c r="AY53" i="6" s="1"/>
  <c r="DK55" i="6"/>
  <c r="DO53" i="6"/>
  <c r="DM54" i="6"/>
  <c r="AW53" i="6"/>
  <c r="DN53" i="6"/>
  <c r="AN53" i="6"/>
  <c r="DP53" i="6"/>
  <c r="B58" i="6"/>
  <c r="BM54" i="6"/>
  <c r="CU55" i="6"/>
  <c r="CV55" i="6" s="1"/>
  <c r="CL55" i="6"/>
  <c r="U55" i="6"/>
  <c r="V55" i="6" s="1"/>
  <c r="L55" i="6"/>
  <c r="DU55" i="6"/>
  <c r="DV55" i="6" s="1"/>
  <c r="DL55" i="6"/>
  <c r="AU55" i="6"/>
  <c r="AV55" i="6" s="1"/>
  <c r="AL55" i="6"/>
  <c r="BU55" i="6"/>
  <c r="BV55" i="6" s="1"/>
  <c r="BL55" i="6"/>
  <c r="S56" i="6"/>
  <c r="AS56" i="6"/>
  <c r="BS56" i="6"/>
  <c r="CK56" i="6"/>
  <c r="DK56" i="6"/>
  <c r="A57" i="6"/>
  <c r="EF57" i="6" s="1"/>
  <c r="AA53" i="6" l="1"/>
  <c r="BT56" i="6"/>
  <c r="BX52" i="6"/>
  <c r="CA52" i="6"/>
  <c r="CT55" i="6"/>
  <c r="AT55" i="6"/>
  <c r="T56" i="6"/>
  <c r="CA53" i="6"/>
  <c r="DA53" i="6"/>
  <c r="AT56" i="6"/>
  <c r="N54" i="6"/>
  <c r="Q54" i="6" s="1"/>
  <c r="O54" i="6"/>
  <c r="Y54" i="6" s="1"/>
  <c r="P54" i="6"/>
  <c r="CD51" i="6"/>
  <c r="DD51" i="6"/>
  <c r="DY53" i="6"/>
  <c r="EG50" i="6"/>
  <c r="EG48" i="6" s="1"/>
  <c r="G58" i="6"/>
  <c r="CG58" i="6"/>
  <c r="AG58" i="6"/>
  <c r="BG58" i="6"/>
  <c r="DG58" i="6"/>
  <c r="AD51" i="6"/>
  <c r="DD52" i="6"/>
  <c r="CM55" i="6"/>
  <c r="CW55" i="6" s="1"/>
  <c r="AN54" i="6"/>
  <c r="AQ54" i="6" s="1"/>
  <c r="AB53" i="6"/>
  <c r="BD52" i="6"/>
  <c r="AM55" i="6"/>
  <c r="AN55" i="6" s="1"/>
  <c r="CZ53" i="6"/>
  <c r="DB53" i="6"/>
  <c r="AC53" i="6"/>
  <c r="DB54" i="6"/>
  <c r="CZ54" i="6"/>
  <c r="DC53" i="6"/>
  <c r="CY53" i="6"/>
  <c r="CX53" i="6"/>
  <c r="CC52" i="6"/>
  <c r="CD52" i="6"/>
  <c r="BZ53" i="6"/>
  <c r="CB53" i="6"/>
  <c r="AO54" i="6"/>
  <c r="AY54" i="6" s="1"/>
  <c r="B59" i="6"/>
  <c r="AP54" i="6"/>
  <c r="BK56" i="6"/>
  <c r="M55" i="6"/>
  <c r="O55" i="6" s="1"/>
  <c r="Y55" i="6" s="1"/>
  <c r="BH58" i="6"/>
  <c r="BI58" i="6" s="1"/>
  <c r="CH58" i="6"/>
  <c r="CI58" i="6" s="1"/>
  <c r="H58" i="6"/>
  <c r="I58" i="6" s="1"/>
  <c r="AH58" i="6"/>
  <c r="AI58" i="6" s="1"/>
  <c r="BM55" i="6"/>
  <c r="BP55" i="6" s="1"/>
  <c r="AB54" i="6"/>
  <c r="CP54" i="6"/>
  <c r="AZ54" i="6"/>
  <c r="CN54" i="6"/>
  <c r="CR54" i="6" s="1"/>
  <c r="C59" i="6"/>
  <c r="DH59" i="6" s="1"/>
  <c r="DI59" i="6" s="1"/>
  <c r="EA59" i="6" s="1"/>
  <c r="CO54" i="6"/>
  <c r="X53" i="6"/>
  <c r="BR53" i="6"/>
  <c r="CC53" i="6" s="1"/>
  <c r="AC52" i="6"/>
  <c r="X52" i="6"/>
  <c r="K56" i="6"/>
  <c r="CS56" i="6"/>
  <c r="DS56" i="6"/>
  <c r="DT56" i="6" s="1"/>
  <c r="DM55" i="6"/>
  <c r="DW55" i="6" s="1"/>
  <c r="AZ53" i="6"/>
  <c r="BB53" i="6"/>
  <c r="AK56" i="6"/>
  <c r="DQ53" i="6"/>
  <c r="DR53" i="6"/>
  <c r="DP54" i="6"/>
  <c r="DN54" i="6"/>
  <c r="DW54" i="6"/>
  <c r="DO54" i="6"/>
  <c r="BW54" i="6"/>
  <c r="BO54" i="6"/>
  <c r="BP54" i="6"/>
  <c r="BN54" i="6"/>
  <c r="AR53" i="6"/>
  <c r="BA53" i="6" s="1"/>
  <c r="AQ53" i="6"/>
  <c r="CU56" i="6"/>
  <c r="CV56" i="6" s="1"/>
  <c r="CL56" i="6"/>
  <c r="CM56" i="6" s="1"/>
  <c r="AU56" i="6"/>
  <c r="AV56" i="6" s="1"/>
  <c r="AL56" i="6"/>
  <c r="U56" i="6"/>
  <c r="V56" i="6" s="1"/>
  <c r="L56" i="6"/>
  <c r="DU56" i="6"/>
  <c r="DV56" i="6" s="1"/>
  <c r="DL56" i="6"/>
  <c r="DM56" i="6" s="1"/>
  <c r="BU56" i="6"/>
  <c r="BV56" i="6" s="1"/>
  <c r="BL56" i="6"/>
  <c r="BS57" i="6"/>
  <c r="AS57" i="6"/>
  <c r="DS57" i="6"/>
  <c r="DT57" i="6" s="1"/>
  <c r="S57" i="6"/>
  <c r="CK57" i="6"/>
  <c r="CJ57" i="6"/>
  <c r="AJ57" i="6"/>
  <c r="DJ57" i="6"/>
  <c r="BJ57" i="6"/>
  <c r="J57" i="6"/>
  <c r="A58" i="6"/>
  <c r="EF58" i="6" s="1"/>
  <c r="AT57" i="6" l="1"/>
  <c r="BT57" i="6"/>
  <c r="CT56" i="6"/>
  <c r="T57" i="6"/>
  <c r="DX53" i="6"/>
  <c r="ED53" i="6" s="1"/>
  <c r="R54" i="6"/>
  <c r="BX53" i="6"/>
  <c r="CD53" i="6" s="1"/>
  <c r="EG51" i="6"/>
  <c r="EH51" i="6" s="1"/>
  <c r="EH50" i="6" s="1"/>
  <c r="DY54" i="6"/>
  <c r="EB54" i="6"/>
  <c r="DZ54" i="6"/>
  <c r="EC53" i="6"/>
  <c r="DZ55" i="6"/>
  <c r="EB55" i="6"/>
  <c r="G59" i="6"/>
  <c r="CG59" i="6"/>
  <c r="BG59" i="6"/>
  <c r="AG59" i="6"/>
  <c r="DG59" i="6"/>
  <c r="CO55" i="6"/>
  <c r="CY55" i="6" s="1"/>
  <c r="AD53" i="6"/>
  <c r="CN55" i="6"/>
  <c r="CR55" i="6" s="1"/>
  <c r="DD53" i="6"/>
  <c r="CP55" i="6"/>
  <c r="AR54" i="6"/>
  <c r="AO55" i="6"/>
  <c r="AY55" i="6" s="1"/>
  <c r="BM56" i="6"/>
  <c r="BW56" i="6" s="1"/>
  <c r="AW55" i="6"/>
  <c r="AZ55" i="6" s="1"/>
  <c r="AP55" i="6"/>
  <c r="DB55" i="6"/>
  <c r="CZ55" i="6"/>
  <c r="CY54" i="6"/>
  <c r="BY54" i="6"/>
  <c r="BZ54" i="6"/>
  <c r="CB54" i="6"/>
  <c r="AD52" i="6"/>
  <c r="EG52" i="6" s="1"/>
  <c r="N55" i="6"/>
  <c r="Q55" i="6" s="1"/>
  <c r="P55" i="6"/>
  <c r="B60" i="6"/>
  <c r="CQ54" i="6"/>
  <c r="DA54" i="6" s="1"/>
  <c r="W55" i="6"/>
  <c r="AB55" i="6" s="1"/>
  <c r="BH59" i="6"/>
  <c r="BI59" i="6" s="1"/>
  <c r="CH59" i="6"/>
  <c r="CI59" i="6" s="1"/>
  <c r="H59" i="6"/>
  <c r="I59" i="6" s="1"/>
  <c r="AH59" i="6"/>
  <c r="AI59" i="6" s="1"/>
  <c r="BO55" i="6"/>
  <c r="AM56" i="6"/>
  <c r="AN56" i="6" s="1"/>
  <c r="AR56" i="6" s="1"/>
  <c r="BN55" i="6"/>
  <c r="BQ55" i="6" s="1"/>
  <c r="BW55" i="6"/>
  <c r="CS57" i="6"/>
  <c r="C60" i="6"/>
  <c r="DH60" i="6" s="1"/>
  <c r="DI60" i="6" s="1"/>
  <c r="EA60" i="6" s="1"/>
  <c r="DP55" i="6"/>
  <c r="DO55" i="6"/>
  <c r="BK57" i="6"/>
  <c r="M56" i="6"/>
  <c r="P56" i="6" s="1"/>
  <c r="DN55" i="6"/>
  <c r="DR55" i="6" s="1"/>
  <c r="AK57" i="6"/>
  <c r="K57" i="6"/>
  <c r="DK57" i="6"/>
  <c r="DQ54" i="6"/>
  <c r="DR54" i="6"/>
  <c r="AX53" i="6"/>
  <c r="BC53" i="6"/>
  <c r="BR54" i="6"/>
  <c r="BQ54" i="6"/>
  <c r="CA54" i="6" s="1"/>
  <c r="CN56" i="6"/>
  <c r="CP56" i="6"/>
  <c r="CO56" i="6"/>
  <c r="CY56" i="6" s="1"/>
  <c r="CW56" i="6"/>
  <c r="DW56" i="6"/>
  <c r="DO56" i="6"/>
  <c r="DY56" i="6" s="1"/>
  <c r="DP56" i="6"/>
  <c r="DN56" i="6"/>
  <c r="DR56" i="6" s="1"/>
  <c r="CU57" i="6"/>
  <c r="CV57" i="6" s="1"/>
  <c r="CL57" i="6"/>
  <c r="CM57" i="6" s="1"/>
  <c r="DU57" i="6"/>
  <c r="DV57" i="6" s="1"/>
  <c r="DL57" i="6"/>
  <c r="DK58" i="6"/>
  <c r="CK58" i="6"/>
  <c r="S58" i="6"/>
  <c r="BK58" i="6"/>
  <c r="AK58" i="6"/>
  <c r="U57" i="6"/>
  <c r="V57" i="6" s="1"/>
  <c r="L57" i="6"/>
  <c r="AU57" i="6"/>
  <c r="AV57" i="6" s="1"/>
  <c r="AL57" i="6"/>
  <c r="BU57" i="6"/>
  <c r="BV57" i="6" s="1"/>
  <c r="BL57" i="6"/>
  <c r="AR55" i="6"/>
  <c r="AQ55" i="6"/>
  <c r="A59" i="6"/>
  <c r="EF59" i="6" s="1"/>
  <c r="CJ58" i="6"/>
  <c r="BJ58" i="6"/>
  <c r="DJ58" i="6"/>
  <c r="J58" i="6"/>
  <c r="AJ58" i="6"/>
  <c r="BA55" i="6" l="1"/>
  <c r="AC54" i="6"/>
  <c r="AA54" i="6"/>
  <c r="CT57" i="6"/>
  <c r="AX54" i="6"/>
  <c r="BD54" i="6" s="1"/>
  <c r="BA54" i="6"/>
  <c r="T58" i="6"/>
  <c r="CA55" i="6"/>
  <c r="X54" i="6"/>
  <c r="AD54" i="6" s="1"/>
  <c r="CQ55" i="6"/>
  <c r="DY55" i="6"/>
  <c r="DZ56" i="6"/>
  <c r="EB56" i="6"/>
  <c r="EC54" i="6"/>
  <c r="DX54" i="6"/>
  <c r="ED54" i="6" s="1"/>
  <c r="G60" i="6"/>
  <c r="CG60" i="6"/>
  <c r="BG60" i="6"/>
  <c r="AG60" i="6"/>
  <c r="DG60" i="6"/>
  <c r="BC54" i="6"/>
  <c r="BN56" i="6"/>
  <c r="BR56" i="6" s="1"/>
  <c r="BO56" i="6"/>
  <c r="BY56" i="6" s="1"/>
  <c r="BP56" i="6"/>
  <c r="BB55" i="6"/>
  <c r="K58" i="6"/>
  <c r="EH52" i="6"/>
  <c r="DB56" i="6"/>
  <c r="CZ56" i="6"/>
  <c r="DC54" i="6"/>
  <c r="CX54" i="6"/>
  <c r="BY55" i="6"/>
  <c r="BZ56" i="6"/>
  <c r="CB56" i="6"/>
  <c r="CC54" i="6"/>
  <c r="CB55" i="6"/>
  <c r="BZ55" i="6"/>
  <c r="BX54" i="6"/>
  <c r="CD54" i="6" s="1"/>
  <c r="R55" i="6"/>
  <c r="BD53" i="6"/>
  <c r="EG53" i="6" s="1"/>
  <c r="W56" i="6"/>
  <c r="Z56" i="6" s="1"/>
  <c r="B61" i="6"/>
  <c r="Z55" i="6"/>
  <c r="AP56" i="6"/>
  <c r="DQ55" i="6"/>
  <c r="BR55" i="6"/>
  <c r="BH60" i="6"/>
  <c r="BI60" i="6" s="1"/>
  <c r="CH60" i="6"/>
  <c r="CI60" i="6" s="1"/>
  <c r="H60" i="6"/>
  <c r="I60" i="6" s="1"/>
  <c r="AH60" i="6"/>
  <c r="AI60" i="6" s="1"/>
  <c r="M57" i="6"/>
  <c r="O57" i="6" s="1"/>
  <c r="Y57" i="6" s="1"/>
  <c r="AW56" i="6"/>
  <c r="AZ56" i="6" s="1"/>
  <c r="AO56" i="6"/>
  <c r="AY56" i="6" s="1"/>
  <c r="DS58" i="6"/>
  <c r="DT58" i="6" s="1"/>
  <c r="C61" i="6"/>
  <c r="DH61" i="6" s="1"/>
  <c r="DI61" i="6" s="1"/>
  <c r="EA61" i="6" s="1"/>
  <c r="BM57" i="6"/>
  <c r="BW57" i="6" s="1"/>
  <c r="AQ56" i="6"/>
  <c r="DM57" i="6"/>
  <c r="DO57" i="6" s="1"/>
  <c r="DY57" i="6" s="1"/>
  <c r="AS58" i="6"/>
  <c r="N56" i="6"/>
  <c r="R56" i="6" s="1"/>
  <c r="AM57" i="6"/>
  <c r="AN57" i="6" s="1"/>
  <c r="O56" i="6"/>
  <c r="Y56" i="6" s="1"/>
  <c r="DQ56" i="6"/>
  <c r="BS58" i="6"/>
  <c r="CS58" i="6"/>
  <c r="AX55" i="6"/>
  <c r="BC55" i="6"/>
  <c r="CP57" i="6"/>
  <c r="CN57" i="6"/>
  <c r="CR57" i="6" s="1"/>
  <c r="CO57" i="6"/>
  <c r="CY57" i="6" s="1"/>
  <c r="CW57" i="6"/>
  <c r="AU58" i="6"/>
  <c r="AV58" i="6" s="1"/>
  <c r="AL58" i="6"/>
  <c r="AM58" i="6" s="1"/>
  <c r="AW58" i="6" s="1"/>
  <c r="U58" i="6"/>
  <c r="V58" i="6" s="1"/>
  <c r="L58" i="6"/>
  <c r="DU58" i="6"/>
  <c r="DV58" i="6" s="1"/>
  <c r="DL58" i="6"/>
  <c r="DM58" i="6" s="1"/>
  <c r="DN58" i="6" s="1"/>
  <c r="BU58" i="6"/>
  <c r="BV58" i="6" s="1"/>
  <c r="BL58" i="6"/>
  <c r="BM58" i="6" s="1"/>
  <c r="CU58" i="6"/>
  <c r="CV58" i="6" s="1"/>
  <c r="CL58" i="6"/>
  <c r="CM58" i="6" s="1"/>
  <c r="CP58" i="6" s="1"/>
  <c r="DK59" i="6"/>
  <c r="S59" i="6"/>
  <c r="BK59" i="6"/>
  <c r="AS59" i="6"/>
  <c r="CS59" i="6"/>
  <c r="CR56" i="6"/>
  <c r="CQ56" i="6"/>
  <c r="DA56" i="6" s="1"/>
  <c r="A60" i="6"/>
  <c r="EF60" i="6" s="1"/>
  <c r="CJ59" i="6"/>
  <c r="AJ59" i="6"/>
  <c r="DJ59" i="6"/>
  <c r="BJ59" i="6"/>
  <c r="J59" i="6"/>
  <c r="BA56" i="6" l="1"/>
  <c r="DC55" i="6"/>
  <c r="DA55" i="6"/>
  <c r="AC55" i="6"/>
  <c r="AA55" i="6"/>
  <c r="CT58" i="6"/>
  <c r="AA56" i="6"/>
  <c r="CT59" i="6"/>
  <c r="AT59" i="6"/>
  <c r="T59" i="6"/>
  <c r="AT58" i="6"/>
  <c r="BT58" i="6"/>
  <c r="CX55" i="6"/>
  <c r="DD55" i="6" s="1"/>
  <c r="CC55" i="6"/>
  <c r="BX55" i="6"/>
  <c r="CD55" i="6" s="1"/>
  <c r="EC56" i="6"/>
  <c r="EC55" i="6"/>
  <c r="DX55" i="6"/>
  <c r="ED55" i="6" s="1"/>
  <c r="DX56" i="6"/>
  <c r="ED56" i="6" s="1"/>
  <c r="G61" i="6"/>
  <c r="CG61" i="6"/>
  <c r="BG61" i="6"/>
  <c r="AG61" i="6"/>
  <c r="DG61" i="6"/>
  <c r="DD54" i="6"/>
  <c r="EG54" i="6" s="1"/>
  <c r="EH54" i="6" s="1"/>
  <c r="BD55" i="6"/>
  <c r="AB56" i="6"/>
  <c r="BQ56" i="6"/>
  <c r="M58" i="6"/>
  <c r="N58" i="6" s="1"/>
  <c r="Q58" i="6" s="1"/>
  <c r="EH53" i="6"/>
  <c r="X55" i="6"/>
  <c r="AD55" i="6" s="1"/>
  <c r="DC56" i="6"/>
  <c r="DB57" i="6"/>
  <c r="CZ57" i="6"/>
  <c r="CX56" i="6"/>
  <c r="CB57" i="6"/>
  <c r="BZ57" i="6"/>
  <c r="B62" i="6"/>
  <c r="BB56" i="6"/>
  <c r="P57" i="6"/>
  <c r="N57" i="6"/>
  <c r="Q57" i="6" s="1"/>
  <c r="W57" i="6"/>
  <c r="AB57" i="6" s="1"/>
  <c r="BH61" i="6"/>
  <c r="BI61" i="6" s="1"/>
  <c r="CH61" i="6"/>
  <c r="CI61" i="6" s="1"/>
  <c r="H61" i="6"/>
  <c r="I61" i="6" s="1"/>
  <c r="AH61" i="6"/>
  <c r="AI61" i="6" s="1"/>
  <c r="AZ58" i="6"/>
  <c r="DS59" i="6"/>
  <c r="DT59" i="6" s="1"/>
  <c r="BS59" i="6"/>
  <c r="C62" i="6"/>
  <c r="DH62" i="6" s="1"/>
  <c r="DI62" i="6" s="1"/>
  <c r="EA62" i="6" s="1"/>
  <c r="DN57" i="6"/>
  <c r="DR57" i="6" s="1"/>
  <c r="DW57" i="6"/>
  <c r="BP57" i="6"/>
  <c r="BO57" i="6"/>
  <c r="BN57" i="6"/>
  <c r="BQ57" i="6" s="1"/>
  <c r="CO58" i="6"/>
  <c r="CY58" i="6" s="1"/>
  <c r="DO58" i="6"/>
  <c r="DY58" i="6" s="1"/>
  <c r="BC56" i="6"/>
  <c r="AX56" i="6"/>
  <c r="BD56" i="6" s="1"/>
  <c r="DP57" i="6"/>
  <c r="AW57" i="6"/>
  <c r="BB57" i="6" s="1"/>
  <c r="AO57" i="6"/>
  <c r="AY57" i="6" s="1"/>
  <c r="AR57" i="6"/>
  <c r="AQ57" i="6"/>
  <c r="AP57" i="6"/>
  <c r="Q56" i="6"/>
  <c r="CQ57" i="6"/>
  <c r="DA57" i="6" s="1"/>
  <c r="BP58" i="6"/>
  <c r="BO58" i="6"/>
  <c r="BY58" i="6" s="1"/>
  <c r="BN58" i="6"/>
  <c r="BQ58" i="6" s="1"/>
  <c r="BW58" i="6"/>
  <c r="AU59" i="6"/>
  <c r="AV59" i="6" s="1"/>
  <c r="AL59" i="6"/>
  <c r="U59" i="6"/>
  <c r="V59" i="6" s="1"/>
  <c r="L59" i="6"/>
  <c r="K60" i="6"/>
  <c r="DK60" i="6"/>
  <c r="BS60" i="6"/>
  <c r="AS60" i="6"/>
  <c r="CK60" i="6"/>
  <c r="AK59" i="6"/>
  <c r="CU59" i="6"/>
  <c r="CV59" i="6" s="1"/>
  <c r="CL59" i="6"/>
  <c r="BU59" i="6"/>
  <c r="BV59" i="6" s="1"/>
  <c r="BL59" i="6"/>
  <c r="BM59" i="6" s="1"/>
  <c r="DU59" i="6"/>
  <c r="DV59" i="6" s="1"/>
  <c r="DL59" i="6"/>
  <c r="DM59" i="6" s="1"/>
  <c r="CK59" i="6"/>
  <c r="K59" i="6"/>
  <c r="DP58" i="6"/>
  <c r="DW58" i="6"/>
  <c r="CN58" i="6"/>
  <c r="CQ58" i="6" s="1"/>
  <c r="CW58" i="6"/>
  <c r="AO58" i="6"/>
  <c r="AY58" i="6" s="1"/>
  <c r="BB58" i="6"/>
  <c r="AP58" i="6"/>
  <c r="AN58" i="6"/>
  <c r="AQ58" i="6" s="1"/>
  <c r="A61" i="6"/>
  <c r="EF61" i="6" s="1"/>
  <c r="CJ60" i="6"/>
  <c r="DJ60" i="6"/>
  <c r="BJ60" i="6"/>
  <c r="J60" i="6"/>
  <c r="AJ60" i="6"/>
  <c r="DR58" i="6"/>
  <c r="DQ58" i="6"/>
  <c r="DA58" i="6" l="1"/>
  <c r="CA58" i="6"/>
  <c r="CA57" i="6"/>
  <c r="AT60" i="6"/>
  <c r="CC56" i="6"/>
  <c r="CA56" i="6"/>
  <c r="BT60" i="6"/>
  <c r="BT59" i="6"/>
  <c r="BA57" i="6"/>
  <c r="BK60" i="6"/>
  <c r="Z57" i="6"/>
  <c r="EC58" i="6"/>
  <c r="EB58" i="6"/>
  <c r="DZ58" i="6"/>
  <c r="EB57" i="6"/>
  <c r="DZ57" i="6"/>
  <c r="DX58" i="6"/>
  <c r="ED58" i="6" s="1"/>
  <c r="G62" i="6"/>
  <c r="CG62" i="6"/>
  <c r="BG62" i="6"/>
  <c r="AG62" i="6"/>
  <c r="DG62" i="6"/>
  <c r="DD56" i="6"/>
  <c r="BX56" i="6"/>
  <c r="EG55" i="6"/>
  <c r="EH55" i="6" s="1"/>
  <c r="R57" i="6"/>
  <c r="O58" i="6"/>
  <c r="Y58" i="6" s="1"/>
  <c r="R58" i="6"/>
  <c r="DQ57" i="6"/>
  <c r="BR57" i="6"/>
  <c r="CC57" i="6" s="1"/>
  <c r="P58" i="6"/>
  <c r="W58" i="6"/>
  <c r="AB58" i="6" s="1"/>
  <c r="DC58" i="6"/>
  <c r="DC57" i="6"/>
  <c r="CZ58" i="6"/>
  <c r="DB58" i="6"/>
  <c r="CX57" i="6"/>
  <c r="CX58" i="6"/>
  <c r="BZ58" i="6"/>
  <c r="CB58" i="6"/>
  <c r="BY57" i="6"/>
  <c r="B63" i="6"/>
  <c r="BH62" i="6"/>
  <c r="BI62" i="6" s="1"/>
  <c r="CH62" i="6"/>
  <c r="CI62" i="6" s="1"/>
  <c r="H62" i="6"/>
  <c r="I62" i="6" s="1"/>
  <c r="AH62" i="6"/>
  <c r="AI62" i="6" s="1"/>
  <c r="DS60" i="6"/>
  <c r="DT60" i="6" s="1"/>
  <c r="CS60" i="6"/>
  <c r="C63" i="6"/>
  <c r="DH63" i="6" s="1"/>
  <c r="DI63" i="6" s="1"/>
  <c r="EA63" i="6" s="1"/>
  <c r="BC57" i="6"/>
  <c r="AX57" i="6"/>
  <c r="AZ57" i="6"/>
  <c r="BR58" i="6"/>
  <c r="CC58" i="6" s="1"/>
  <c r="AR58" i="6"/>
  <c r="BA58" i="6" s="1"/>
  <c r="X56" i="6"/>
  <c r="AC56" i="6"/>
  <c r="CR58" i="6"/>
  <c r="S60" i="6"/>
  <c r="M59" i="6"/>
  <c r="O59" i="6" s="1"/>
  <c r="Y59" i="6" s="1"/>
  <c r="AM59" i="6"/>
  <c r="DW59" i="6"/>
  <c r="DP59" i="6"/>
  <c r="CM59" i="6"/>
  <c r="CO59" i="6" s="1"/>
  <c r="CY59" i="6" s="1"/>
  <c r="BN59" i="6"/>
  <c r="BQ59" i="6" s="1"/>
  <c r="BP59" i="6"/>
  <c r="BW59" i="6"/>
  <c r="BO59" i="6"/>
  <c r="BY59" i="6" s="1"/>
  <c r="CU60" i="6"/>
  <c r="CV60" i="6" s="1"/>
  <c r="CL60" i="6"/>
  <c r="CM60" i="6" s="1"/>
  <c r="CN60" i="6" s="1"/>
  <c r="BU60" i="6"/>
  <c r="BV60" i="6" s="1"/>
  <c r="BL60" i="6"/>
  <c r="U60" i="6"/>
  <c r="V60" i="6" s="1"/>
  <c r="L60" i="6"/>
  <c r="M60" i="6" s="1"/>
  <c r="AU60" i="6"/>
  <c r="AV60" i="6" s="1"/>
  <c r="AK60" i="6"/>
  <c r="AL60" i="6"/>
  <c r="DU60" i="6"/>
  <c r="DV60" i="6" s="1"/>
  <c r="DL60" i="6"/>
  <c r="DM60" i="6" s="1"/>
  <c r="DS61" i="6"/>
  <c r="DT61" i="6" s="1"/>
  <c r="CK61" i="6"/>
  <c r="S61" i="6"/>
  <c r="BS61" i="6"/>
  <c r="AS61" i="6"/>
  <c r="DN59" i="6"/>
  <c r="DR59" i="6" s="1"/>
  <c r="DO59" i="6"/>
  <c r="DY59" i="6" s="1"/>
  <c r="A62" i="6"/>
  <c r="EF62" i="6" s="1"/>
  <c r="DJ61" i="6"/>
  <c r="CJ61" i="6"/>
  <c r="AJ61" i="6"/>
  <c r="J61" i="6"/>
  <c r="BJ61" i="6"/>
  <c r="BM60" i="6" l="1"/>
  <c r="CA59" i="6"/>
  <c r="T60" i="6"/>
  <c r="T61" i="6"/>
  <c r="AC58" i="6"/>
  <c r="AA58" i="6"/>
  <c r="BT61" i="6"/>
  <c r="AT61" i="6"/>
  <c r="AC57" i="6"/>
  <c r="AA57" i="6"/>
  <c r="CT60" i="6"/>
  <c r="BX57" i="6"/>
  <c r="CD57" i="6" s="1"/>
  <c r="BX58" i="6"/>
  <c r="CD58" i="6" s="1"/>
  <c r="EB59" i="6"/>
  <c r="DZ59" i="6"/>
  <c r="EC57" i="6"/>
  <c r="DX57" i="6"/>
  <c r="ED57" i="6" s="1"/>
  <c r="G63" i="6"/>
  <c r="CG63" i="6"/>
  <c r="BG63" i="6"/>
  <c r="AG63" i="6"/>
  <c r="DG63" i="6"/>
  <c r="DD57" i="6"/>
  <c r="CD56" i="6"/>
  <c r="X57" i="6"/>
  <c r="DD58" i="6"/>
  <c r="BD57" i="6"/>
  <c r="BC58" i="6"/>
  <c r="X58" i="6"/>
  <c r="Z58" i="6"/>
  <c r="AK61" i="6"/>
  <c r="CB59" i="6"/>
  <c r="BZ59" i="6"/>
  <c r="AX58" i="6"/>
  <c r="BD58" i="6" s="1"/>
  <c r="AD56" i="6"/>
  <c r="B64" i="6"/>
  <c r="BH63" i="6"/>
  <c r="BI63" i="6" s="1"/>
  <c r="CH63" i="6"/>
  <c r="CI63" i="6" s="1"/>
  <c r="H63" i="6"/>
  <c r="I63" i="6" s="1"/>
  <c r="AH63" i="6"/>
  <c r="AI63" i="6" s="1"/>
  <c r="C64" i="6"/>
  <c r="DH64" i="6" s="1"/>
  <c r="DI64" i="6" s="1"/>
  <c r="EA64" i="6" s="1"/>
  <c r="N59" i="6"/>
  <c r="R59" i="6" s="1"/>
  <c r="P59" i="6"/>
  <c r="DQ59" i="6"/>
  <c r="W59" i="6"/>
  <c r="Z59" i="6" s="1"/>
  <c r="BR59" i="6"/>
  <c r="CC59" i="6" s="1"/>
  <c r="AO59" i="6"/>
  <c r="AY59" i="6" s="1"/>
  <c r="AN59" i="6"/>
  <c r="AP59" i="6"/>
  <c r="AW59" i="6"/>
  <c r="CP59" i="6"/>
  <c r="P60" i="6"/>
  <c r="W60" i="6"/>
  <c r="AB60" i="6" s="1"/>
  <c r="CN59" i="6"/>
  <c r="BP60" i="6"/>
  <c r="BW60" i="6"/>
  <c r="BN60" i="6"/>
  <c r="BR60" i="6" s="1"/>
  <c r="BO60" i="6"/>
  <c r="BY60" i="6" s="1"/>
  <c r="AM60" i="6"/>
  <c r="AO60" i="6" s="1"/>
  <c r="AY60" i="6" s="1"/>
  <c r="CW59" i="6"/>
  <c r="DO60" i="6"/>
  <c r="DY60" i="6" s="1"/>
  <c r="DP60" i="6"/>
  <c r="DN60" i="6"/>
  <c r="DR60" i="6" s="1"/>
  <c r="DW60" i="6"/>
  <c r="CS61" i="6"/>
  <c r="AU61" i="6"/>
  <c r="AV61" i="6" s="1"/>
  <c r="AL61" i="6"/>
  <c r="U61" i="6"/>
  <c r="V61" i="6" s="1"/>
  <c r="L61" i="6"/>
  <c r="DU61" i="6"/>
  <c r="DV61" i="6" s="1"/>
  <c r="DL61" i="6"/>
  <c r="K61" i="6"/>
  <c r="BU61" i="6"/>
  <c r="BV61" i="6" s="1"/>
  <c r="BL61" i="6"/>
  <c r="CU61" i="6"/>
  <c r="CV61" i="6" s="1"/>
  <c r="CL61" i="6"/>
  <c r="CM61" i="6" s="1"/>
  <c r="CW61" i="6" s="1"/>
  <c r="DS62" i="6"/>
  <c r="DT62" i="6" s="1"/>
  <c r="BK62" i="6"/>
  <c r="S62" i="6"/>
  <c r="CS62" i="6"/>
  <c r="AK62" i="6"/>
  <c r="DK61" i="6"/>
  <c r="BK61" i="6"/>
  <c r="CW60" i="6"/>
  <c r="CO60" i="6"/>
  <c r="CY60" i="6" s="1"/>
  <c r="CP60" i="6"/>
  <c r="O60" i="6"/>
  <c r="Y60" i="6" s="1"/>
  <c r="N60" i="6"/>
  <c r="R60" i="6" s="1"/>
  <c r="A63" i="6"/>
  <c r="EF63" i="6" s="1"/>
  <c r="J62" i="6"/>
  <c r="BJ62" i="6"/>
  <c r="DJ62" i="6"/>
  <c r="AJ62" i="6"/>
  <c r="CJ62" i="6"/>
  <c r="CR60" i="6"/>
  <c r="CQ60" i="6"/>
  <c r="AA60" i="6" l="1"/>
  <c r="DA60" i="6"/>
  <c r="T62" i="6"/>
  <c r="CT62" i="6"/>
  <c r="AA59" i="6"/>
  <c r="CT61" i="6"/>
  <c r="AW60" i="6"/>
  <c r="AZ60" i="6" s="1"/>
  <c r="BX59" i="6"/>
  <c r="CD59" i="6" s="1"/>
  <c r="AB59" i="6"/>
  <c r="M61" i="6"/>
  <c r="N61" i="6" s="1"/>
  <c r="Q61" i="6" s="1"/>
  <c r="EB60" i="6"/>
  <c r="DZ60" i="6"/>
  <c r="EC59" i="6"/>
  <c r="DX59" i="6"/>
  <c r="ED59" i="6" s="1"/>
  <c r="EG56" i="6"/>
  <c r="EH56" i="6" s="1"/>
  <c r="G64" i="6"/>
  <c r="CG64" i="6"/>
  <c r="BG64" i="6"/>
  <c r="AG64" i="6"/>
  <c r="DG64" i="6"/>
  <c r="AD57" i="6"/>
  <c r="EG57" i="6" s="1"/>
  <c r="EH57" i="6" s="1"/>
  <c r="AM61" i="6"/>
  <c r="AN61" i="6" s="1"/>
  <c r="AQ61" i="6" s="1"/>
  <c r="AD58" i="6"/>
  <c r="EG58" i="6" s="1"/>
  <c r="EH58" i="6" s="1"/>
  <c r="DB61" i="6"/>
  <c r="DC60" i="6"/>
  <c r="DB60" i="6"/>
  <c r="CZ60" i="6"/>
  <c r="CZ61" i="6"/>
  <c r="DB59" i="6"/>
  <c r="CZ59" i="6"/>
  <c r="CX60" i="6"/>
  <c r="CB60" i="6"/>
  <c r="BZ60" i="6"/>
  <c r="B65" i="6"/>
  <c r="BH64" i="6"/>
  <c r="BI64" i="6" s="1"/>
  <c r="CH64" i="6"/>
  <c r="CI64" i="6" s="1"/>
  <c r="H64" i="6"/>
  <c r="I64" i="6" s="1"/>
  <c r="AH64" i="6"/>
  <c r="AI64" i="6" s="1"/>
  <c r="BS62" i="6"/>
  <c r="DM61" i="6"/>
  <c r="DW61" i="6" s="1"/>
  <c r="C65" i="6"/>
  <c r="DH65" i="6" s="1"/>
  <c r="DI65" i="6" s="1"/>
  <c r="EA65" i="6" s="1"/>
  <c r="Z60" i="6"/>
  <c r="DQ60" i="6"/>
  <c r="DX60" i="6" s="1"/>
  <c r="ED60" i="6" s="1"/>
  <c r="BQ60" i="6"/>
  <c r="CA60" i="6" s="1"/>
  <c r="Q59" i="6"/>
  <c r="BB59" i="6"/>
  <c r="AZ59" i="6"/>
  <c r="AR59" i="6"/>
  <c r="BA59" i="6" s="1"/>
  <c r="AQ59" i="6"/>
  <c r="DK62" i="6"/>
  <c r="AN60" i="6"/>
  <c r="BM61" i="6"/>
  <c r="BW61" i="6" s="1"/>
  <c r="CQ59" i="6"/>
  <c r="DA59" i="6" s="1"/>
  <c r="CR59" i="6"/>
  <c r="AS62" i="6"/>
  <c r="AP60" i="6"/>
  <c r="AU62" i="6"/>
  <c r="AV62" i="6" s="1"/>
  <c r="AL62" i="6"/>
  <c r="AM62" i="6" s="1"/>
  <c r="AP62" i="6" s="1"/>
  <c r="U62" i="6"/>
  <c r="V62" i="6" s="1"/>
  <c r="L62" i="6"/>
  <c r="K62" i="6"/>
  <c r="DU62" i="6"/>
  <c r="DV62" i="6" s="1"/>
  <c r="DL62" i="6"/>
  <c r="CU62" i="6"/>
  <c r="CV62" i="6" s="1"/>
  <c r="CL62" i="6"/>
  <c r="BU62" i="6"/>
  <c r="BV62" i="6" s="1"/>
  <c r="BL62" i="6"/>
  <c r="BM62" i="6" s="1"/>
  <c r="K63" i="6"/>
  <c r="DS63" i="6"/>
  <c r="DT63" i="6" s="1"/>
  <c r="BS63" i="6"/>
  <c r="AK63" i="6"/>
  <c r="CK63" i="6"/>
  <c r="CK62" i="6"/>
  <c r="CP61" i="6"/>
  <c r="CO61" i="6"/>
  <c r="CY61" i="6" s="1"/>
  <c r="CN61" i="6"/>
  <c r="CR61" i="6" s="1"/>
  <c r="Q60" i="6"/>
  <c r="X60" i="6" s="1"/>
  <c r="A64" i="6"/>
  <c r="EF64" i="6" s="1"/>
  <c r="AJ63" i="6"/>
  <c r="J63" i="6"/>
  <c r="CJ63" i="6"/>
  <c r="DJ63" i="6"/>
  <c r="BJ63" i="6"/>
  <c r="BT63" i="6" l="1"/>
  <c r="AT62" i="6"/>
  <c r="BT62" i="6"/>
  <c r="BB60" i="6"/>
  <c r="O61" i="6"/>
  <c r="Y61" i="6" s="1"/>
  <c r="W61" i="6"/>
  <c r="AB61" i="6" s="1"/>
  <c r="P61" i="6"/>
  <c r="EC60" i="6"/>
  <c r="EB61" i="6"/>
  <c r="DZ61" i="6"/>
  <c r="G65" i="6"/>
  <c r="CG65" i="6"/>
  <c r="AG65" i="6"/>
  <c r="BG65" i="6"/>
  <c r="DG65" i="6"/>
  <c r="AO61" i="6"/>
  <c r="AY61" i="6" s="1"/>
  <c r="AP61" i="6"/>
  <c r="AW61" i="6"/>
  <c r="AZ61" i="6" s="1"/>
  <c r="DD60" i="6"/>
  <c r="DC59" i="6"/>
  <c r="CX59" i="6"/>
  <c r="CB61" i="6"/>
  <c r="BZ61" i="6"/>
  <c r="CC60" i="6"/>
  <c r="BX60" i="6"/>
  <c r="B66" i="6"/>
  <c r="DO61" i="6"/>
  <c r="BH65" i="6"/>
  <c r="BI65" i="6" s="1"/>
  <c r="CH65" i="6"/>
  <c r="CI65" i="6" s="1"/>
  <c r="H65" i="6"/>
  <c r="I65" i="6" s="1"/>
  <c r="AH65" i="6"/>
  <c r="AI65" i="6" s="1"/>
  <c r="DM62" i="6"/>
  <c r="DW62" i="6" s="1"/>
  <c r="DN61" i="6"/>
  <c r="DQ61" i="6" s="1"/>
  <c r="DP61" i="6"/>
  <c r="CS63" i="6"/>
  <c r="C66" i="6"/>
  <c r="DH66" i="6" s="1"/>
  <c r="DI66" i="6" s="1"/>
  <c r="EA66" i="6" s="1"/>
  <c r="R61" i="6"/>
  <c r="AR61" i="6"/>
  <c r="CM62" i="6"/>
  <c r="CP62" i="6" s="1"/>
  <c r="X59" i="6"/>
  <c r="AC59" i="6"/>
  <c r="AX59" i="6"/>
  <c r="BC59" i="6"/>
  <c r="BP61" i="6"/>
  <c r="BN61" i="6"/>
  <c r="AR60" i="6"/>
  <c r="BA60" i="6" s="1"/>
  <c r="AQ60" i="6"/>
  <c r="AS63" i="6"/>
  <c r="BO61" i="6"/>
  <c r="M62" i="6"/>
  <c r="O62" i="6" s="1"/>
  <c r="Y62" i="6" s="1"/>
  <c r="BN62" i="6"/>
  <c r="BP62" i="6"/>
  <c r="BO62" i="6"/>
  <c r="BY62" i="6" s="1"/>
  <c r="BW62" i="6"/>
  <c r="S63" i="6"/>
  <c r="AU63" i="6"/>
  <c r="AV63" i="6" s="1"/>
  <c r="AL63" i="6"/>
  <c r="AM63" i="6" s="1"/>
  <c r="AW63" i="6" s="1"/>
  <c r="DU63" i="6"/>
  <c r="DV63" i="6" s="1"/>
  <c r="DK63" i="6"/>
  <c r="DL63" i="6"/>
  <c r="DS64" i="6"/>
  <c r="DT64" i="6" s="1"/>
  <c r="S64" i="6"/>
  <c r="BS64" i="6"/>
  <c r="AS64" i="6"/>
  <c r="CS64" i="6"/>
  <c r="CU63" i="6"/>
  <c r="CV63" i="6" s="1"/>
  <c r="CL63" i="6"/>
  <c r="CM63" i="6" s="1"/>
  <c r="BU63" i="6"/>
  <c r="BV63" i="6" s="1"/>
  <c r="BL63" i="6"/>
  <c r="BK63" i="6"/>
  <c r="U63" i="6"/>
  <c r="V63" i="6" s="1"/>
  <c r="L63" i="6"/>
  <c r="M63" i="6" s="1"/>
  <c r="N63" i="6" s="1"/>
  <c r="AW62" i="6"/>
  <c r="BB62" i="6" s="1"/>
  <c r="AN62" i="6"/>
  <c r="AR62" i="6" s="1"/>
  <c r="AO62" i="6"/>
  <c r="AY62" i="6" s="1"/>
  <c r="CQ61" i="6"/>
  <c r="DA61" i="6" s="1"/>
  <c r="AC60" i="6"/>
  <c r="A65" i="6"/>
  <c r="EF65" i="6" s="1"/>
  <c r="J64" i="6"/>
  <c r="CJ64" i="6"/>
  <c r="AJ64" i="6"/>
  <c r="BJ64" i="6"/>
  <c r="DJ64" i="6"/>
  <c r="BA62" i="6" l="1"/>
  <c r="AT64" i="6"/>
  <c r="T64" i="6"/>
  <c r="Z61" i="6"/>
  <c r="BC61" i="6"/>
  <c r="BA61" i="6"/>
  <c r="AT63" i="6"/>
  <c r="AC61" i="6"/>
  <c r="AA61" i="6"/>
  <c r="T63" i="6"/>
  <c r="BT64" i="6"/>
  <c r="CT63" i="6"/>
  <c r="CT64" i="6"/>
  <c r="AD60" i="6"/>
  <c r="DY61" i="6"/>
  <c r="DZ62" i="6"/>
  <c r="EB62" i="6"/>
  <c r="AD59" i="6"/>
  <c r="CD60" i="6"/>
  <c r="BB61" i="6"/>
  <c r="AX61" i="6"/>
  <c r="G66" i="6"/>
  <c r="CG66" i="6"/>
  <c r="AG66" i="6"/>
  <c r="BG66" i="6"/>
  <c r="DG66" i="6"/>
  <c r="BD59" i="6"/>
  <c r="DD59" i="6"/>
  <c r="DP62" i="6"/>
  <c r="DC61" i="6"/>
  <c r="CX61" i="6"/>
  <c r="CB62" i="6"/>
  <c r="BZ62" i="6"/>
  <c r="BY61" i="6"/>
  <c r="X61" i="6"/>
  <c r="B67" i="6"/>
  <c r="BH66" i="6"/>
  <c r="BI66" i="6" s="1"/>
  <c r="CH66" i="6"/>
  <c r="CI66" i="6" s="1"/>
  <c r="DR61" i="6"/>
  <c r="H66" i="6"/>
  <c r="I66" i="6" s="1"/>
  <c r="AH66" i="6"/>
  <c r="AI66" i="6" s="1"/>
  <c r="CN62" i="6"/>
  <c r="CQ62" i="6" s="1"/>
  <c r="DO62" i="6"/>
  <c r="DN62" i="6"/>
  <c r="DQ62" i="6" s="1"/>
  <c r="C67" i="6"/>
  <c r="DH67" i="6" s="1"/>
  <c r="DI67" i="6" s="1"/>
  <c r="EA67" i="6" s="1"/>
  <c r="BB63" i="6"/>
  <c r="AO63" i="6"/>
  <c r="AY63" i="6" s="1"/>
  <c r="CW62" i="6"/>
  <c r="CO62" i="6"/>
  <c r="AQ62" i="6"/>
  <c r="AX62" i="6" s="1"/>
  <c r="DM63" i="6"/>
  <c r="DN63" i="6" s="1"/>
  <c r="W62" i="6"/>
  <c r="AX60" i="6"/>
  <c r="BC60" i="6"/>
  <c r="BR61" i="6"/>
  <c r="BQ61" i="6"/>
  <c r="CA61" i="6" s="1"/>
  <c r="AP63" i="6"/>
  <c r="P62" i="6"/>
  <c r="AZ62" i="6"/>
  <c r="BM63" i="6"/>
  <c r="BO63" i="6" s="1"/>
  <c r="BY63" i="6" s="1"/>
  <c r="N62" i="6"/>
  <c r="CW63" i="6"/>
  <c r="CO63" i="6"/>
  <c r="CY63" i="6" s="1"/>
  <c r="CN63" i="6"/>
  <c r="CQ63" i="6" s="1"/>
  <c r="CP63" i="6"/>
  <c r="AU64" i="6"/>
  <c r="AV64" i="6" s="1"/>
  <c r="AK64" i="6"/>
  <c r="AL64" i="6"/>
  <c r="U64" i="6"/>
  <c r="V64" i="6" s="1"/>
  <c r="L64" i="6"/>
  <c r="K64" i="6"/>
  <c r="DK65" i="6"/>
  <c r="AS65" i="6"/>
  <c r="S65" i="6"/>
  <c r="BK65" i="6"/>
  <c r="CS65" i="6"/>
  <c r="CU64" i="6"/>
  <c r="CV64" i="6" s="1"/>
  <c r="CK64" i="6"/>
  <c r="CL64" i="6"/>
  <c r="BU64" i="6"/>
  <c r="BV64" i="6" s="1"/>
  <c r="BL64" i="6"/>
  <c r="BK64" i="6"/>
  <c r="DU64" i="6"/>
  <c r="DV64" i="6" s="1"/>
  <c r="DL64" i="6"/>
  <c r="DK64" i="6"/>
  <c r="BR62" i="6"/>
  <c r="BQ62" i="6"/>
  <c r="CA62" i="6" s="1"/>
  <c r="W63" i="6"/>
  <c r="Z63" i="6" s="1"/>
  <c r="O63" i="6"/>
  <c r="Y63" i="6" s="1"/>
  <c r="P63" i="6"/>
  <c r="AN63" i="6"/>
  <c r="AR63" i="6" s="1"/>
  <c r="AZ63" i="6"/>
  <c r="A66" i="6"/>
  <c r="EF66" i="6" s="1"/>
  <c r="BJ65" i="6"/>
  <c r="CJ65" i="6"/>
  <c r="J65" i="6"/>
  <c r="AJ65" i="6"/>
  <c r="DJ65" i="6"/>
  <c r="Q63" i="6"/>
  <c r="R63" i="6"/>
  <c r="DA63" i="6" l="1"/>
  <c r="BA63" i="6"/>
  <c r="DA62" i="6"/>
  <c r="AA63" i="6"/>
  <c r="AT65" i="6"/>
  <c r="T65" i="6"/>
  <c r="CT65" i="6"/>
  <c r="EC61" i="6"/>
  <c r="DX61" i="6"/>
  <c r="ED61" i="6" s="1"/>
  <c r="DY62" i="6"/>
  <c r="BD61" i="6"/>
  <c r="AD61" i="6"/>
  <c r="DD61" i="6"/>
  <c r="G67" i="6"/>
  <c r="CG67" i="6"/>
  <c r="BG67" i="6"/>
  <c r="AG67" i="6"/>
  <c r="DG67" i="6"/>
  <c r="EG59" i="6"/>
  <c r="EH59" i="6" s="1"/>
  <c r="BD60" i="6"/>
  <c r="EG60" i="6" s="1"/>
  <c r="CY62" i="6"/>
  <c r="CX62" i="6"/>
  <c r="DC63" i="6"/>
  <c r="CZ63" i="6"/>
  <c r="DB63" i="6"/>
  <c r="DB62" i="6"/>
  <c r="CZ62" i="6"/>
  <c r="DC62" i="6"/>
  <c r="CX63" i="6"/>
  <c r="CC62" i="6"/>
  <c r="BX62" i="6"/>
  <c r="CC61" i="6"/>
  <c r="BX61" i="6"/>
  <c r="CD61" i="6" s="1"/>
  <c r="B68" i="6"/>
  <c r="BP63" i="6"/>
  <c r="DR62" i="6"/>
  <c r="EC62" i="6" s="1"/>
  <c r="BH67" i="6"/>
  <c r="BI67" i="6" s="1"/>
  <c r="CH67" i="6"/>
  <c r="CI67" i="6" s="1"/>
  <c r="H67" i="6"/>
  <c r="I67" i="6" s="1"/>
  <c r="AH67" i="6"/>
  <c r="AI67" i="6" s="1"/>
  <c r="DS65" i="6"/>
  <c r="DT65" i="6" s="1"/>
  <c r="CR62" i="6"/>
  <c r="BS65" i="6"/>
  <c r="C68" i="6"/>
  <c r="DH68" i="6" s="1"/>
  <c r="DI68" i="6" s="1"/>
  <c r="EA68" i="6" s="1"/>
  <c r="CR63" i="6"/>
  <c r="DO63" i="6"/>
  <c r="AB63" i="6"/>
  <c r="BC62" i="6"/>
  <c r="DP63" i="6"/>
  <c r="BW63" i="6"/>
  <c r="DR63" i="6"/>
  <c r="DQ63" i="6"/>
  <c r="AM64" i="6"/>
  <c r="AW64" i="6" s="1"/>
  <c r="DW63" i="6"/>
  <c r="BN63" i="6"/>
  <c r="Z62" i="6"/>
  <c r="AB62" i="6"/>
  <c r="CM64" i="6"/>
  <c r="CO64" i="6" s="1"/>
  <c r="CY64" i="6" s="1"/>
  <c r="DM64" i="6"/>
  <c r="DP64" i="6" s="1"/>
  <c r="BM64" i="6"/>
  <c r="BO64" i="6" s="1"/>
  <c r="BY64" i="6" s="1"/>
  <c r="M64" i="6"/>
  <c r="N64" i="6" s="1"/>
  <c r="R62" i="6"/>
  <c r="AA62" i="6" s="1"/>
  <c r="Q62" i="6"/>
  <c r="CU65" i="6"/>
  <c r="CV65" i="6" s="1"/>
  <c r="CK65" i="6"/>
  <c r="CL65" i="6"/>
  <c r="U65" i="6"/>
  <c r="V65" i="6" s="1"/>
  <c r="K65" i="6"/>
  <c r="L65" i="6"/>
  <c r="DU65" i="6"/>
  <c r="DV65" i="6" s="1"/>
  <c r="DL65" i="6"/>
  <c r="DM65" i="6" s="1"/>
  <c r="DW65" i="6" s="1"/>
  <c r="BU65" i="6"/>
  <c r="BV65" i="6" s="1"/>
  <c r="BL65" i="6"/>
  <c r="BM65" i="6" s="1"/>
  <c r="AU65" i="6"/>
  <c r="AV65" i="6" s="1"/>
  <c r="AK65" i="6"/>
  <c r="AL65" i="6"/>
  <c r="DS66" i="6"/>
  <c r="DT66" i="6" s="1"/>
  <c r="CS66" i="6"/>
  <c r="K66" i="6"/>
  <c r="BS66" i="6"/>
  <c r="AS66" i="6"/>
  <c r="AQ63" i="6"/>
  <c r="A67" i="6"/>
  <c r="EF67" i="6" s="1"/>
  <c r="CJ66" i="6"/>
  <c r="BJ66" i="6"/>
  <c r="J66" i="6"/>
  <c r="DJ66" i="6"/>
  <c r="AJ66" i="6"/>
  <c r="AC63" i="6"/>
  <c r="X63" i="6"/>
  <c r="AT66" i="6" l="1"/>
  <c r="BT66" i="6"/>
  <c r="BT65" i="6"/>
  <c r="CT66" i="6"/>
  <c r="BW64" i="6"/>
  <c r="BZ64" i="6" s="1"/>
  <c r="DZ65" i="6"/>
  <c r="DX62" i="6"/>
  <c r="ED62" i="6" s="1"/>
  <c r="BD62" i="6"/>
  <c r="EB65" i="6"/>
  <c r="EB63" i="6"/>
  <c r="DZ63" i="6"/>
  <c r="EC63" i="6"/>
  <c r="DY63" i="6"/>
  <c r="DX63" i="6"/>
  <c r="ED63" i="6" s="1"/>
  <c r="AD63" i="6"/>
  <c r="EG61" i="6"/>
  <c r="EH61" i="6" s="1"/>
  <c r="DD63" i="6"/>
  <c r="G68" i="6"/>
  <c r="CG68" i="6"/>
  <c r="BG68" i="6"/>
  <c r="AG68" i="6"/>
  <c r="DG68" i="6"/>
  <c r="CD62" i="6"/>
  <c r="DD62" i="6"/>
  <c r="EH60" i="6"/>
  <c r="CB63" i="6"/>
  <c r="BZ63" i="6"/>
  <c r="B69" i="6"/>
  <c r="BH68" i="6"/>
  <c r="BI68" i="6" s="1"/>
  <c r="CH68" i="6"/>
  <c r="CI68" i="6" s="1"/>
  <c r="H68" i="6"/>
  <c r="I68" i="6" s="1"/>
  <c r="AH68" i="6"/>
  <c r="AI68" i="6" s="1"/>
  <c r="C69" i="6"/>
  <c r="DH69" i="6" s="1"/>
  <c r="DI69" i="6" s="1"/>
  <c r="EA69" i="6" s="1"/>
  <c r="S66" i="6"/>
  <c r="AP64" i="6"/>
  <c r="CN64" i="6"/>
  <c r="AO64" i="6"/>
  <c r="AY64" i="6" s="1"/>
  <c r="O64" i="6"/>
  <c r="Y64" i="6" s="1"/>
  <c r="DO64" i="6"/>
  <c r="BB64" i="6"/>
  <c r="AZ64" i="6"/>
  <c r="CW64" i="6"/>
  <c r="BP64" i="6"/>
  <c r="AN64" i="6"/>
  <c r="BQ63" i="6"/>
  <c r="CA63" i="6" s="1"/>
  <c r="BR63" i="6"/>
  <c r="M65" i="6"/>
  <c r="W65" i="6" s="1"/>
  <c r="CM65" i="6"/>
  <c r="CP65" i="6" s="1"/>
  <c r="P64" i="6"/>
  <c r="DN64" i="6"/>
  <c r="CP64" i="6"/>
  <c r="BN64" i="6"/>
  <c r="R64" i="6"/>
  <c r="Q64" i="6"/>
  <c r="BO65" i="6"/>
  <c r="BY65" i="6" s="1"/>
  <c r="BP65" i="6"/>
  <c r="BN65" i="6"/>
  <c r="BQ65" i="6" s="1"/>
  <c r="BW65" i="6"/>
  <c r="AM65" i="6"/>
  <c r="AN65" i="6" s="1"/>
  <c r="W64" i="6"/>
  <c r="DW64" i="6"/>
  <c r="X62" i="6"/>
  <c r="AC62" i="6"/>
  <c r="BU66" i="6"/>
  <c r="BV66" i="6" s="1"/>
  <c r="BL66" i="6"/>
  <c r="BK66" i="6"/>
  <c r="CU66" i="6"/>
  <c r="CV66" i="6" s="1"/>
  <c r="CL66" i="6"/>
  <c r="CK66" i="6"/>
  <c r="DK67" i="6"/>
  <c r="K67" i="6"/>
  <c r="BK67" i="6"/>
  <c r="AK67" i="6"/>
  <c r="CS67" i="6"/>
  <c r="AU66" i="6"/>
  <c r="AV66" i="6" s="1"/>
  <c r="AL66" i="6"/>
  <c r="AK66" i="6"/>
  <c r="U66" i="6"/>
  <c r="V66" i="6" s="1"/>
  <c r="L66" i="6"/>
  <c r="M66" i="6" s="1"/>
  <c r="DU66" i="6"/>
  <c r="DV66" i="6" s="1"/>
  <c r="DL66" i="6"/>
  <c r="DK66" i="6"/>
  <c r="DN65" i="6"/>
  <c r="DR65" i="6" s="1"/>
  <c r="DP65" i="6"/>
  <c r="DO65" i="6"/>
  <c r="DY65" i="6" s="1"/>
  <c r="BC63" i="6"/>
  <c r="AX63" i="6"/>
  <c r="A68" i="6"/>
  <c r="EF68" i="6" s="1"/>
  <c r="AJ67" i="6"/>
  <c r="CJ67" i="6"/>
  <c r="BJ67" i="6"/>
  <c r="J67" i="6"/>
  <c r="DJ67" i="6"/>
  <c r="AA64" i="6" l="1"/>
  <c r="CA65" i="6"/>
  <c r="T66" i="6"/>
  <c r="CT67" i="6"/>
  <c r="CB64" i="6"/>
  <c r="CN65" i="6"/>
  <c r="CQ65" i="6" s="1"/>
  <c r="AP65" i="6"/>
  <c r="EB64" i="6"/>
  <c r="DZ64" i="6"/>
  <c r="DY64" i="6"/>
  <c r="G69" i="6"/>
  <c r="CG69" i="6"/>
  <c r="BG69" i="6"/>
  <c r="AG69" i="6"/>
  <c r="DG69" i="6"/>
  <c r="BD63" i="6"/>
  <c r="AD62" i="6"/>
  <c r="EG62" i="6" s="1"/>
  <c r="EH62" i="6" s="1"/>
  <c r="BS67" i="6"/>
  <c r="DB64" i="6"/>
  <c r="CZ64" i="6"/>
  <c r="BZ65" i="6"/>
  <c r="CB65" i="6"/>
  <c r="CC63" i="6"/>
  <c r="BX63" i="6"/>
  <c r="X64" i="6"/>
  <c r="B70" i="6"/>
  <c r="BH69" i="6"/>
  <c r="BI69" i="6" s="1"/>
  <c r="CH69" i="6"/>
  <c r="CI69" i="6" s="1"/>
  <c r="H69" i="6"/>
  <c r="I69" i="6" s="1"/>
  <c r="AH69" i="6"/>
  <c r="AI69" i="6" s="1"/>
  <c r="DS67" i="6"/>
  <c r="DT67" i="6" s="1"/>
  <c r="S67" i="6"/>
  <c r="AS67" i="6"/>
  <c r="C70" i="6"/>
  <c r="DH70" i="6" s="1"/>
  <c r="DI70" i="6" s="1"/>
  <c r="EA70" i="6" s="1"/>
  <c r="BR65" i="6"/>
  <c r="CC65" i="6" s="1"/>
  <c r="P65" i="6"/>
  <c r="O65" i="6"/>
  <c r="Y65" i="6" s="1"/>
  <c r="N65" i="6"/>
  <c r="R65" i="6" s="1"/>
  <c r="AC64" i="6"/>
  <c r="CK67" i="6"/>
  <c r="CQ64" i="6"/>
  <c r="DA64" i="6" s="1"/>
  <c r="CR64" i="6"/>
  <c r="CW65" i="6"/>
  <c r="CO65" i="6"/>
  <c r="AR64" i="6"/>
  <c r="BA64" i="6" s="1"/>
  <c r="AQ64" i="6"/>
  <c r="AW65" i="6"/>
  <c r="DR64" i="6"/>
  <c r="DQ64" i="6"/>
  <c r="CM66" i="6"/>
  <c r="CP66" i="6" s="1"/>
  <c r="BM66" i="6"/>
  <c r="BN66" i="6" s="1"/>
  <c r="BR64" i="6"/>
  <c r="BQ64" i="6"/>
  <c r="CA64" i="6" s="1"/>
  <c r="DM66" i="6"/>
  <c r="DO66" i="6" s="1"/>
  <c r="DY66" i="6" s="1"/>
  <c r="AM66" i="6"/>
  <c r="AP66" i="6" s="1"/>
  <c r="AB65" i="6"/>
  <c r="Z65" i="6"/>
  <c r="AO65" i="6"/>
  <c r="AY65" i="6" s="1"/>
  <c r="Z64" i="6"/>
  <c r="AB64" i="6"/>
  <c r="N66" i="6"/>
  <c r="O66" i="6"/>
  <c r="Y66" i="6" s="1"/>
  <c r="W66" i="6"/>
  <c r="Z66" i="6" s="1"/>
  <c r="P66" i="6"/>
  <c r="CU67" i="6"/>
  <c r="CV67" i="6" s="1"/>
  <c r="CL67" i="6"/>
  <c r="BU67" i="6"/>
  <c r="BV67" i="6" s="1"/>
  <c r="BL67" i="6"/>
  <c r="BM67" i="6" s="1"/>
  <c r="DU67" i="6"/>
  <c r="DV67" i="6" s="1"/>
  <c r="DL67" i="6"/>
  <c r="DM67" i="6" s="1"/>
  <c r="AQ65" i="6"/>
  <c r="AR65" i="6"/>
  <c r="AU67" i="6"/>
  <c r="AV67" i="6" s="1"/>
  <c r="AL67" i="6"/>
  <c r="AM67" i="6" s="1"/>
  <c r="AO67" i="6" s="1"/>
  <c r="U67" i="6"/>
  <c r="V67" i="6" s="1"/>
  <c r="L67" i="6"/>
  <c r="M67" i="6" s="1"/>
  <c r="BS68" i="6"/>
  <c r="DS68" i="6"/>
  <c r="DT68" i="6" s="1"/>
  <c r="K68" i="6"/>
  <c r="AS68" i="6"/>
  <c r="CK68" i="6"/>
  <c r="DQ65" i="6"/>
  <c r="A69" i="6"/>
  <c r="EF69" i="6" s="1"/>
  <c r="DJ68" i="6"/>
  <c r="CJ68" i="6"/>
  <c r="BJ68" i="6"/>
  <c r="AJ68" i="6"/>
  <c r="J68" i="6"/>
  <c r="AA65" i="6" l="1"/>
  <c r="AT67" i="6"/>
  <c r="AT68" i="6"/>
  <c r="T67" i="6"/>
  <c r="BT67" i="6"/>
  <c r="DA65" i="6"/>
  <c r="BT68" i="6"/>
  <c r="BA65" i="6"/>
  <c r="CR65" i="6"/>
  <c r="CN66" i="6"/>
  <c r="CQ66" i="6" s="1"/>
  <c r="AO66" i="6"/>
  <c r="AY66" i="6" s="1"/>
  <c r="BX65" i="6"/>
  <c r="CD65" i="6" s="1"/>
  <c r="EC65" i="6"/>
  <c r="EC64" i="6"/>
  <c r="DX64" i="6"/>
  <c r="ED64" i="6" s="1"/>
  <c r="DX65" i="6"/>
  <c r="ED65" i="6" s="1"/>
  <c r="CD63" i="6"/>
  <c r="EG63" i="6" s="1"/>
  <c r="EH63" i="6" s="1"/>
  <c r="Q65" i="6"/>
  <c r="AC65" i="6" s="1"/>
  <c r="G70" i="6"/>
  <c r="CG70" i="6"/>
  <c r="BG70" i="6"/>
  <c r="AG70" i="6"/>
  <c r="DG70" i="6"/>
  <c r="AD64" i="6"/>
  <c r="CY65" i="6"/>
  <c r="CX65" i="6"/>
  <c r="DC65" i="6"/>
  <c r="CZ65" i="6"/>
  <c r="DB65" i="6"/>
  <c r="DC64" i="6"/>
  <c r="CX64" i="6"/>
  <c r="DD64" i="6" s="1"/>
  <c r="CC64" i="6"/>
  <c r="BX64" i="6"/>
  <c r="B71" i="6"/>
  <c r="BH70" i="6"/>
  <c r="BI70" i="6" s="1"/>
  <c r="CH70" i="6"/>
  <c r="CI70" i="6" s="1"/>
  <c r="H70" i="6"/>
  <c r="I70" i="6" s="1"/>
  <c r="AH70" i="6"/>
  <c r="AI70" i="6" s="1"/>
  <c r="CM67" i="6"/>
  <c r="CO67" i="6" s="1"/>
  <c r="CY67" i="6" s="1"/>
  <c r="C71" i="6"/>
  <c r="DH71" i="6" s="1"/>
  <c r="DI71" i="6" s="1"/>
  <c r="EA71" i="6" s="1"/>
  <c r="CW66" i="6"/>
  <c r="S68" i="6"/>
  <c r="CO66" i="6"/>
  <c r="BO66" i="6"/>
  <c r="AB66" i="6"/>
  <c r="AW66" i="6"/>
  <c r="BP66" i="6"/>
  <c r="DP66" i="6"/>
  <c r="AX64" i="6"/>
  <c r="BC64" i="6"/>
  <c r="BR66" i="6"/>
  <c r="BQ66" i="6"/>
  <c r="AN66" i="6"/>
  <c r="BW66" i="6"/>
  <c r="AZ65" i="6"/>
  <c r="BB65" i="6"/>
  <c r="DW66" i="6"/>
  <c r="AY67" i="6"/>
  <c r="DN66" i="6"/>
  <c r="AX65" i="6"/>
  <c r="BC65" i="6"/>
  <c r="O67" i="6"/>
  <c r="Y67" i="6" s="1"/>
  <c r="W67" i="6"/>
  <c r="Z67" i="6" s="1"/>
  <c r="DP67" i="6"/>
  <c r="DW67" i="6"/>
  <c r="DN67" i="6"/>
  <c r="DR67" i="6" s="1"/>
  <c r="DO67" i="6"/>
  <c r="DY67" i="6" s="1"/>
  <c r="BP67" i="6"/>
  <c r="BN67" i="6"/>
  <c r="BQ67" i="6" s="1"/>
  <c r="BO67" i="6"/>
  <c r="BY67" i="6" s="1"/>
  <c r="BW67" i="6"/>
  <c r="CS68" i="6"/>
  <c r="AU68" i="6"/>
  <c r="AV68" i="6" s="1"/>
  <c r="AL68" i="6"/>
  <c r="AK68" i="6"/>
  <c r="DU68" i="6"/>
  <c r="DV68" i="6" s="1"/>
  <c r="DL68" i="6"/>
  <c r="DK68" i="6"/>
  <c r="S69" i="6"/>
  <c r="CS69" i="6"/>
  <c r="DS69" i="6"/>
  <c r="DT69" i="6" s="1"/>
  <c r="BS69" i="6"/>
  <c r="AK69" i="6"/>
  <c r="CU68" i="6"/>
  <c r="CV68" i="6" s="1"/>
  <c r="CL68" i="6"/>
  <c r="CM68" i="6" s="1"/>
  <c r="CW68" i="6" s="1"/>
  <c r="U68" i="6"/>
  <c r="V68" i="6" s="1"/>
  <c r="L68" i="6"/>
  <c r="M68" i="6" s="1"/>
  <c r="BU68" i="6"/>
  <c r="BV68" i="6" s="1"/>
  <c r="BL68" i="6"/>
  <c r="BK68" i="6"/>
  <c r="Q66" i="6"/>
  <c r="R66" i="6"/>
  <c r="AA66" i="6" s="1"/>
  <c r="N67" i="6"/>
  <c r="Q67" i="6" s="1"/>
  <c r="P67" i="6"/>
  <c r="AN67" i="6"/>
  <c r="AW67" i="6"/>
  <c r="AZ67" i="6" s="1"/>
  <c r="AP67" i="6"/>
  <c r="A70" i="6"/>
  <c r="EF70" i="6" s="1"/>
  <c r="AJ69" i="6"/>
  <c r="BJ69" i="6"/>
  <c r="J69" i="6"/>
  <c r="CJ69" i="6"/>
  <c r="DJ69" i="6"/>
  <c r="CA67" i="6" l="1"/>
  <c r="T68" i="6"/>
  <c r="CA66" i="6"/>
  <c r="T69" i="6"/>
  <c r="CT69" i="6"/>
  <c r="CT68" i="6"/>
  <c r="BT69" i="6"/>
  <c r="DC66" i="6"/>
  <c r="DA66" i="6"/>
  <c r="X65" i="6"/>
  <c r="AD65" i="6" s="1"/>
  <c r="CR66" i="6"/>
  <c r="EB66" i="6"/>
  <c r="DZ66" i="6"/>
  <c r="EB67" i="6"/>
  <c r="DZ67" i="6"/>
  <c r="BK69" i="6"/>
  <c r="G71" i="6"/>
  <c r="CG71" i="6"/>
  <c r="BG71" i="6"/>
  <c r="AG71" i="6"/>
  <c r="DG71" i="6"/>
  <c r="CD64" i="6"/>
  <c r="BD64" i="6"/>
  <c r="BD65" i="6"/>
  <c r="DD65" i="6"/>
  <c r="CZ68" i="6"/>
  <c r="DB68" i="6"/>
  <c r="CY66" i="6"/>
  <c r="CX66" i="6"/>
  <c r="DB66" i="6"/>
  <c r="CZ66" i="6"/>
  <c r="CB67" i="6"/>
  <c r="BZ67" i="6"/>
  <c r="CB66" i="6"/>
  <c r="BZ66" i="6"/>
  <c r="CC66" i="6"/>
  <c r="BY66" i="6"/>
  <c r="BX66" i="6"/>
  <c r="B72" i="6"/>
  <c r="BH71" i="6"/>
  <c r="BI71" i="6" s="1"/>
  <c r="CH71" i="6"/>
  <c r="CI71" i="6" s="1"/>
  <c r="H71" i="6"/>
  <c r="I71" i="6" s="1"/>
  <c r="AH71" i="6"/>
  <c r="AI71" i="6" s="1"/>
  <c r="CW67" i="6"/>
  <c r="CN67" i="6"/>
  <c r="CR67" i="6" s="1"/>
  <c r="CP67" i="6"/>
  <c r="AS69" i="6"/>
  <c r="C72" i="6"/>
  <c r="DH72" i="6" s="1"/>
  <c r="DI72" i="6" s="1"/>
  <c r="EA72" i="6" s="1"/>
  <c r="DQ67" i="6"/>
  <c r="BR67" i="6"/>
  <c r="CC67" i="6" s="1"/>
  <c r="AB67" i="6"/>
  <c r="R67" i="6"/>
  <c r="AA67" i="6" s="1"/>
  <c r="BB66" i="6"/>
  <c r="AZ66" i="6"/>
  <c r="AR66" i="6"/>
  <c r="BA66" i="6" s="1"/>
  <c r="AQ66" i="6"/>
  <c r="BM68" i="6"/>
  <c r="BW68" i="6" s="1"/>
  <c r="DM68" i="6"/>
  <c r="AM68" i="6"/>
  <c r="AP68" i="6" s="1"/>
  <c r="X66" i="6"/>
  <c r="AC66" i="6"/>
  <c r="DR66" i="6"/>
  <c r="DQ66" i="6"/>
  <c r="O68" i="6"/>
  <c r="Y68" i="6" s="1"/>
  <c r="P68" i="6"/>
  <c r="W68" i="6"/>
  <c r="Z68" i="6" s="1"/>
  <c r="N68" i="6"/>
  <c r="Q68" i="6" s="1"/>
  <c r="BU69" i="6"/>
  <c r="BV69" i="6" s="1"/>
  <c r="BL69" i="6"/>
  <c r="CU69" i="6"/>
  <c r="CV69" i="6" s="1"/>
  <c r="CL69" i="6"/>
  <c r="DS70" i="6"/>
  <c r="DT70" i="6" s="1"/>
  <c r="BS70" i="6"/>
  <c r="K70" i="6"/>
  <c r="CK70" i="6"/>
  <c r="AS70" i="6"/>
  <c r="AU69" i="6"/>
  <c r="AV69" i="6" s="1"/>
  <c r="AL69" i="6"/>
  <c r="AM69" i="6" s="1"/>
  <c r="DU69" i="6"/>
  <c r="DV69" i="6" s="1"/>
  <c r="DL69" i="6"/>
  <c r="DK69" i="6"/>
  <c r="U69" i="6"/>
  <c r="V69" i="6" s="1"/>
  <c r="L69" i="6"/>
  <c r="K69" i="6"/>
  <c r="CK69" i="6"/>
  <c r="AQ67" i="6"/>
  <c r="AR67" i="6"/>
  <c r="BA67" i="6" s="1"/>
  <c r="BB67" i="6"/>
  <c r="CN68" i="6"/>
  <c r="CR68" i="6" s="1"/>
  <c r="CP68" i="6"/>
  <c r="CO68" i="6"/>
  <c r="CY68" i="6" s="1"/>
  <c r="A71" i="6"/>
  <c r="EF71" i="6" s="1"/>
  <c r="DJ70" i="6"/>
  <c r="AJ70" i="6"/>
  <c r="BJ70" i="6"/>
  <c r="J70" i="6"/>
  <c r="CJ70" i="6"/>
  <c r="BT70" i="6" l="1"/>
  <c r="AT69" i="6"/>
  <c r="AT70" i="6"/>
  <c r="BN68" i="6"/>
  <c r="BR68" i="6" s="1"/>
  <c r="BX67" i="6"/>
  <c r="CD67" i="6" s="1"/>
  <c r="EC67" i="6"/>
  <c r="DX67" i="6"/>
  <c r="ED67" i="6" s="1"/>
  <c r="EC66" i="6"/>
  <c r="DX66" i="6"/>
  <c r="ED66" i="6" s="1"/>
  <c r="BM69" i="6"/>
  <c r="BW69" i="6" s="1"/>
  <c r="CB69" i="6" s="1"/>
  <c r="G72" i="6"/>
  <c r="CG72" i="6"/>
  <c r="BG72" i="6"/>
  <c r="AG72" i="6"/>
  <c r="DG72" i="6"/>
  <c r="AC67" i="6"/>
  <c r="EG64" i="6"/>
  <c r="EH64" i="6" s="1"/>
  <c r="AD66" i="6"/>
  <c r="CD66" i="6"/>
  <c r="EG65" i="6"/>
  <c r="EH65" i="6" s="1"/>
  <c r="DD66" i="6"/>
  <c r="X67" i="6"/>
  <c r="CZ67" i="6"/>
  <c r="DB67" i="6"/>
  <c r="BZ68" i="6"/>
  <c r="CB68" i="6"/>
  <c r="B73" i="6"/>
  <c r="CQ67" i="6"/>
  <c r="DA67" i="6" s="1"/>
  <c r="BH72" i="6"/>
  <c r="BI72" i="6" s="1"/>
  <c r="CH72" i="6"/>
  <c r="CI72" i="6" s="1"/>
  <c r="H72" i="6"/>
  <c r="I72" i="6" s="1"/>
  <c r="AH72" i="6"/>
  <c r="AI72" i="6" s="1"/>
  <c r="CM69" i="6"/>
  <c r="CO69" i="6" s="1"/>
  <c r="CY69" i="6" s="1"/>
  <c r="S70" i="6"/>
  <c r="C73" i="6"/>
  <c r="DH73" i="6" s="1"/>
  <c r="DI73" i="6" s="1"/>
  <c r="EA73" i="6" s="1"/>
  <c r="AK70" i="6"/>
  <c r="R68" i="6"/>
  <c r="AA68" i="6" s="1"/>
  <c r="AB68" i="6"/>
  <c r="AO68" i="6"/>
  <c r="AY68" i="6" s="1"/>
  <c r="CQ68" i="6"/>
  <c r="DA68" i="6" s="1"/>
  <c r="CS70" i="6"/>
  <c r="AW68" i="6"/>
  <c r="BP68" i="6"/>
  <c r="AX66" i="6"/>
  <c r="BC66" i="6"/>
  <c r="M69" i="6"/>
  <c r="O69" i="6" s="1"/>
  <c r="DM69" i="6"/>
  <c r="DO69" i="6" s="1"/>
  <c r="DY69" i="6" s="1"/>
  <c r="AN68" i="6"/>
  <c r="BO68" i="6"/>
  <c r="DN68" i="6"/>
  <c r="DO68" i="6"/>
  <c r="DW68" i="6"/>
  <c r="DP68" i="6"/>
  <c r="AP69" i="6"/>
  <c r="AW69" i="6"/>
  <c r="BB69" i="6" s="1"/>
  <c r="AO69" i="6"/>
  <c r="AY69" i="6" s="1"/>
  <c r="CU70" i="6"/>
  <c r="CV70" i="6" s="1"/>
  <c r="CL70" i="6"/>
  <c r="CM70" i="6" s="1"/>
  <c r="CN70" i="6" s="1"/>
  <c r="CQ70" i="6" s="1"/>
  <c r="BU70" i="6"/>
  <c r="BV70" i="6" s="1"/>
  <c r="BL70" i="6"/>
  <c r="BK70" i="6"/>
  <c r="BS71" i="6"/>
  <c r="DS71" i="6"/>
  <c r="DT71" i="6" s="1"/>
  <c r="S71" i="6"/>
  <c r="AS71" i="6"/>
  <c r="CK71" i="6"/>
  <c r="AU70" i="6"/>
  <c r="AV70" i="6" s="1"/>
  <c r="AL70" i="6"/>
  <c r="U70" i="6"/>
  <c r="V70" i="6" s="1"/>
  <c r="L70" i="6"/>
  <c r="M70" i="6" s="1"/>
  <c r="DU70" i="6"/>
  <c r="DV70" i="6" s="1"/>
  <c r="DL70" i="6"/>
  <c r="DK70" i="6"/>
  <c r="AN69" i="6"/>
  <c r="AR69" i="6" s="1"/>
  <c r="BC67" i="6"/>
  <c r="AX67" i="6"/>
  <c r="A72" i="6"/>
  <c r="EF72" i="6" s="1"/>
  <c r="CJ71" i="6"/>
  <c r="BJ71" i="6"/>
  <c r="J71" i="6"/>
  <c r="AJ71" i="6"/>
  <c r="DJ71" i="6"/>
  <c r="BA69" i="6" l="1"/>
  <c r="CT70" i="6"/>
  <c r="AT71" i="6"/>
  <c r="BT71" i="6"/>
  <c r="T71" i="6"/>
  <c r="T70" i="6"/>
  <c r="BQ68" i="6"/>
  <c r="DC70" i="6"/>
  <c r="BN69" i="6"/>
  <c r="BQ69" i="6" s="1"/>
  <c r="BP69" i="6"/>
  <c r="BO69" i="6"/>
  <c r="BY69" i="6" s="1"/>
  <c r="BD67" i="6"/>
  <c r="AD67" i="6"/>
  <c r="K71" i="6"/>
  <c r="DY68" i="6"/>
  <c r="DZ68" i="6"/>
  <c r="EB68" i="6"/>
  <c r="BZ69" i="6"/>
  <c r="G73" i="6"/>
  <c r="CG73" i="6"/>
  <c r="AG73" i="6"/>
  <c r="BG73" i="6"/>
  <c r="DG73" i="6"/>
  <c r="BD66" i="6"/>
  <c r="EG66" i="6" s="1"/>
  <c r="EH66" i="6" s="1"/>
  <c r="AC68" i="6"/>
  <c r="X68" i="6"/>
  <c r="AD68" i="6" s="1"/>
  <c r="DC68" i="6"/>
  <c r="DC67" i="6"/>
  <c r="CX67" i="6"/>
  <c r="CX68" i="6"/>
  <c r="BY68" i="6"/>
  <c r="B74" i="6"/>
  <c r="BH73" i="6"/>
  <c r="BI73" i="6" s="1"/>
  <c r="CH73" i="6"/>
  <c r="CI73" i="6" s="1"/>
  <c r="H73" i="6"/>
  <c r="I73" i="6" s="1"/>
  <c r="AH73" i="6"/>
  <c r="AI73" i="6" s="1"/>
  <c r="AM70" i="6"/>
  <c r="AP70" i="6" s="1"/>
  <c r="CN69" i="6"/>
  <c r="CQ69" i="6" s="1"/>
  <c r="W69" i="6"/>
  <c r="Z69" i="6" s="1"/>
  <c r="CW69" i="6"/>
  <c r="CP69" i="6"/>
  <c r="C74" i="6"/>
  <c r="DH74" i="6" s="1"/>
  <c r="DI74" i="6" s="1"/>
  <c r="EA74" i="6" s="1"/>
  <c r="N69" i="6"/>
  <c r="Q69" i="6" s="1"/>
  <c r="AZ69" i="6"/>
  <c r="DW69" i="6"/>
  <c r="DN69" i="6"/>
  <c r="CS71" i="6"/>
  <c r="DP69" i="6"/>
  <c r="BB68" i="6"/>
  <c r="AZ68" i="6"/>
  <c r="Y69" i="6"/>
  <c r="DQ68" i="6"/>
  <c r="DR68" i="6"/>
  <c r="AR68" i="6"/>
  <c r="BA68" i="6" s="1"/>
  <c r="AQ68" i="6"/>
  <c r="AQ69" i="6"/>
  <c r="BC69" i="6" s="1"/>
  <c r="DM70" i="6"/>
  <c r="DO70" i="6" s="1"/>
  <c r="DY70" i="6" s="1"/>
  <c r="BM70" i="6"/>
  <c r="BW70" i="6" s="1"/>
  <c r="P69" i="6"/>
  <c r="W70" i="6"/>
  <c r="AB70" i="6" s="1"/>
  <c r="N70" i="6"/>
  <c r="R70" i="6" s="1"/>
  <c r="CU71" i="6"/>
  <c r="CV71" i="6" s="1"/>
  <c r="CL71" i="6"/>
  <c r="CM71" i="6" s="1"/>
  <c r="U71" i="6"/>
  <c r="V71" i="6" s="1"/>
  <c r="L71" i="6"/>
  <c r="BU71" i="6"/>
  <c r="BV71" i="6" s="1"/>
  <c r="BK71" i="6"/>
  <c r="BL71" i="6"/>
  <c r="AU71" i="6"/>
  <c r="AV71" i="6" s="1"/>
  <c r="AK71" i="6"/>
  <c r="AL71" i="6"/>
  <c r="DU71" i="6"/>
  <c r="DV71" i="6" s="1"/>
  <c r="DK71" i="6"/>
  <c r="DL71" i="6"/>
  <c r="K72" i="6"/>
  <c r="AK72" i="6"/>
  <c r="BK72" i="6"/>
  <c r="DS72" i="6"/>
  <c r="DT72" i="6" s="1"/>
  <c r="CK72" i="6"/>
  <c r="O70" i="6"/>
  <c r="Y70" i="6" s="1"/>
  <c r="P70" i="6"/>
  <c r="CP70" i="6"/>
  <c r="CW70" i="6"/>
  <c r="CO70" i="6"/>
  <c r="CY70" i="6" s="1"/>
  <c r="CR70" i="6"/>
  <c r="A73" i="6"/>
  <c r="EF73" i="6" s="1"/>
  <c r="DJ72" i="6"/>
  <c r="AJ72" i="6"/>
  <c r="J72" i="6"/>
  <c r="BJ72" i="6"/>
  <c r="CJ72" i="6"/>
  <c r="AA70" i="6" l="1"/>
  <c r="BX68" i="6"/>
  <c r="CA68" i="6"/>
  <c r="DA69" i="6"/>
  <c r="CT71" i="6"/>
  <c r="DA70" i="6"/>
  <c r="CA69" i="6"/>
  <c r="CC68" i="6"/>
  <c r="M71" i="6"/>
  <c r="W71" i="6" s="1"/>
  <c r="AB71" i="6" s="1"/>
  <c r="BR69" i="6"/>
  <c r="EC68" i="6"/>
  <c r="DX68" i="6"/>
  <c r="ED68" i="6" s="1"/>
  <c r="EB69" i="6"/>
  <c r="DZ69" i="6"/>
  <c r="BP70" i="6"/>
  <c r="G74" i="6"/>
  <c r="CG74" i="6"/>
  <c r="AG74" i="6"/>
  <c r="BG74" i="6"/>
  <c r="DG74" i="6"/>
  <c r="DD67" i="6"/>
  <c r="EG67" i="6" s="1"/>
  <c r="EH67" i="6" s="1"/>
  <c r="DD68" i="6"/>
  <c r="CD68" i="6"/>
  <c r="BS72" i="6"/>
  <c r="CS72" i="6"/>
  <c r="CZ70" i="6"/>
  <c r="DB70" i="6"/>
  <c r="CZ69" i="6"/>
  <c r="DB69" i="6"/>
  <c r="DC69" i="6"/>
  <c r="CX70" i="6"/>
  <c r="CX69" i="6"/>
  <c r="BZ70" i="6"/>
  <c r="CB70" i="6"/>
  <c r="B75" i="6"/>
  <c r="BH74" i="6"/>
  <c r="BI74" i="6" s="1"/>
  <c r="CH74" i="6"/>
  <c r="CI74" i="6" s="1"/>
  <c r="H74" i="6"/>
  <c r="I74" i="6" s="1"/>
  <c r="AH74" i="6"/>
  <c r="AI74" i="6" s="1"/>
  <c r="AW70" i="6"/>
  <c r="AZ70" i="6" s="1"/>
  <c r="AN70" i="6"/>
  <c r="AR70" i="6" s="1"/>
  <c r="AO70" i="6"/>
  <c r="AY70" i="6" s="1"/>
  <c r="CR69" i="6"/>
  <c r="AB69" i="6"/>
  <c r="C75" i="6"/>
  <c r="DH75" i="6" s="1"/>
  <c r="DI75" i="6" s="1"/>
  <c r="EA75" i="6" s="1"/>
  <c r="Q70" i="6"/>
  <c r="AS72" i="6"/>
  <c r="R69" i="6"/>
  <c r="Z70" i="6"/>
  <c r="AX69" i="6"/>
  <c r="BO70" i="6"/>
  <c r="DW70" i="6"/>
  <c r="DR69" i="6"/>
  <c r="DQ69" i="6"/>
  <c r="S72" i="6"/>
  <c r="BN70" i="6"/>
  <c r="DP70" i="6"/>
  <c r="DM71" i="6"/>
  <c r="DN71" i="6" s="1"/>
  <c r="DN70" i="6"/>
  <c r="AX68" i="6"/>
  <c r="BC68" i="6"/>
  <c r="AM71" i="6"/>
  <c r="AP71" i="6" s="1"/>
  <c r="BM71" i="6"/>
  <c r="BW71" i="6" s="1"/>
  <c r="CN71" i="6"/>
  <c r="CQ71" i="6" s="1"/>
  <c r="CP71" i="6"/>
  <c r="CW71" i="6"/>
  <c r="CO71" i="6"/>
  <c r="CY71" i="6" s="1"/>
  <c r="DU72" i="6"/>
  <c r="DV72" i="6" s="1"/>
  <c r="DL72" i="6"/>
  <c r="AU72" i="6"/>
  <c r="AV72" i="6" s="1"/>
  <c r="AL72" i="6"/>
  <c r="AM72" i="6" s="1"/>
  <c r="DS73" i="6"/>
  <c r="DT73" i="6" s="1"/>
  <c r="AS73" i="6"/>
  <c r="S73" i="6"/>
  <c r="BS73" i="6"/>
  <c r="CS73" i="6"/>
  <c r="DK72" i="6"/>
  <c r="CU72" i="6"/>
  <c r="CV72" i="6" s="1"/>
  <c r="CL72" i="6"/>
  <c r="CM72" i="6" s="1"/>
  <c r="BU72" i="6"/>
  <c r="BV72" i="6" s="1"/>
  <c r="BL72" i="6"/>
  <c r="BM72" i="6" s="1"/>
  <c r="U72" i="6"/>
  <c r="V72" i="6" s="1"/>
  <c r="L72" i="6"/>
  <c r="M72" i="6" s="1"/>
  <c r="A74" i="6"/>
  <c r="EF74" i="6" s="1"/>
  <c r="DJ73" i="6"/>
  <c r="BJ73" i="6"/>
  <c r="J73" i="6"/>
  <c r="AJ73" i="6"/>
  <c r="CJ73" i="6"/>
  <c r="BA70" i="6" l="1"/>
  <c r="DA71" i="6"/>
  <c r="AC69" i="6"/>
  <c r="AA69" i="6"/>
  <c r="BT72" i="6"/>
  <c r="AT72" i="6"/>
  <c r="T72" i="6"/>
  <c r="BT73" i="6"/>
  <c r="N71" i="6"/>
  <c r="R71" i="6" s="1"/>
  <c r="AA71" i="6" s="1"/>
  <c r="AT73" i="6"/>
  <c r="CT73" i="6"/>
  <c r="T73" i="6"/>
  <c r="CT72" i="6"/>
  <c r="P71" i="6"/>
  <c r="O71" i="6"/>
  <c r="Y71" i="6" s="1"/>
  <c r="BX69" i="6"/>
  <c r="CD69" i="6" s="1"/>
  <c r="CC69" i="6"/>
  <c r="EC69" i="6"/>
  <c r="DX69" i="6"/>
  <c r="ED69" i="6" s="1"/>
  <c r="EB70" i="6"/>
  <c r="DZ70" i="6"/>
  <c r="BO71" i="6"/>
  <c r="BY71" i="6" s="1"/>
  <c r="AO71" i="6"/>
  <c r="AY71" i="6" s="1"/>
  <c r="BD69" i="6"/>
  <c r="G75" i="6"/>
  <c r="CG75" i="6"/>
  <c r="BG75" i="6"/>
  <c r="AG75" i="6"/>
  <c r="DG75" i="6"/>
  <c r="DD70" i="6"/>
  <c r="BD68" i="6"/>
  <c r="EG68" i="6" s="1"/>
  <c r="EH68" i="6" s="1"/>
  <c r="DD69" i="6"/>
  <c r="X69" i="6"/>
  <c r="DB71" i="6"/>
  <c r="CZ71" i="6"/>
  <c r="DC71" i="6"/>
  <c r="CX71" i="6"/>
  <c r="BY70" i="6"/>
  <c r="CB71" i="6"/>
  <c r="BZ71" i="6"/>
  <c r="B76" i="6"/>
  <c r="BH75" i="6"/>
  <c r="BI75" i="6" s="1"/>
  <c r="CH75" i="6"/>
  <c r="CI75" i="6" s="1"/>
  <c r="H75" i="6"/>
  <c r="I75" i="6" s="1"/>
  <c r="AH75" i="6"/>
  <c r="AI75" i="6" s="1"/>
  <c r="X70" i="6"/>
  <c r="BB70" i="6"/>
  <c r="AQ70" i="6"/>
  <c r="AC70" i="6"/>
  <c r="C76" i="6"/>
  <c r="DH76" i="6" s="1"/>
  <c r="DI76" i="6" s="1"/>
  <c r="EA76" i="6" s="1"/>
  <c r="BP71" i="6"/>
  <c r="DP71" i="6"/>
  <c r="DW71" i="6"/>
  <c r="DR71" i="6"/>
  <c r="DQ71" i="6"/>
  <c r="Z71" i="6"/>
  <c r="CR71" i="6"/>
  <c r="BN71" i="6"/>
  <c r="DO71" i="6"/>
  <c r="BR70" i="6"/>
  <c r="BQ70" i="6"/>
  <c r="CA70" i="6" s="1"/>
  <c r="AN71" i="6"/>
  <c r="DR70" i="6"/>
  <c r="DQ70" i="6"/>
  <c r="DM72" i="6"/>
  <c r="DW72" i="6" s="1"/>
  <c r="AW71" i="6"/>
  <c r="CN72" i="6"/>
  <c r="CQ72" i="6" s="1"/>
  <c r="CP72" i="6"/>
  <c r="CO72" i="6"/>
  <c r="CY72" i="6" s="1"/>
  <c r="CW72" i="6"/>
  <c r="AP72" i="6"/>
  <c r="AN72" i="6"/>
  <c r="AQ72" i="6" s="1"/>
  <c r="AW72" i="6"/>
  <c r="BB72" i="6" s="1"/>
  <c r="AO72" i="6"/>
  <c r="AY72" i="6" s="1"/>
  <c r="P72" i="6"/>
  <c r="W72" i="6"/>
  <c r="Z72" i="6" s="1"/>
  <c r="O72" i="6"/>
  <c r="Y72" i="6" s="1"/>
  <c r="N72" i="6"/>
  <c r="Q72" i="6" s="1"/>
  <c r="BN72" i="6"/>
  <c r="BO72" i="6"/>
  <c r="BY72" i="6" s="1"/>
  <c r="BP72" i="6"/>
  <c r="BW72" i="6"/>
  <c r="BU73" i="6"/>
  <c r="BV73" i="6" s="1"/>
  <c r="BL73" i="6"/>
  <c r="BK73" i="6"/>
  <c r="AU73" i="6"/>
  <c r="AV73" i="6" s="1"/>
  <c r="AL73" i="6"/>
  <c r="AK73" i="6"/>
  <c r="K74" i="6"/>
  <c r="CS74" i="6"/>
  <c r="DS74" i="6"/>
  <c r="DT74" i="6" s="1"/>
  <c r="BS74" i="6"/>
  <c r="AS74" i="6"/>
  <c r="CU73" i="6"/>
  <c r="CV73" i="6" s="1"/>
  <c r="CL73" i="6"/>
  <c r="CK73" i="6"/>
  <c r="U73" i="6"/>
  <c r="V73" i="6" s="1"/>
  <c r="L73" i="6"/>
  <c r="K73" i="6"/>
  <c r="DU73" i="6"/>
  <c r="DV73" i="6" s="1"/>
  <c r="DK73" i="6"/>
  <c r="DL73" i="6"/>
  <c r="A75" i="6"/>
  <c r="EF75" i="6" s="1"/>
  <c r="CJ74" i="6"/>
  <c r="J74" i="6"/>
  <c r="AJ74" i="6"/>
  <c r="BJ74" i="6"/>
  <c r="DJ74" i="6"/>
  <c r="DA72" i="6" l="1"/>
  <c r="CT74" i="6"/>
  <c r="AT74" i="6"/>
  <c r="Q71" i="6"/>
  <c r="BT74" i="6"/>
  <c r="DO72" i="6"/>
  <c r="DY72" i="6" s="1"/>
  <c r="AD70" i="6"/>
  <c r="DZ72" i="6"/>
  <c r="EB72" i="6"/>
  <c r="DY71" i="6"/>
  <c r="DX71" i="6"/>
  <c r="ED71" i="6" s="1"/>
  <c r="EC71" i="6"/>
  <c r="DZ71" i="6"/>
  <c r="EB71" i="6"/>
  <c r="EC70" i="6"/>
  <c r="DX70" i="6"/>
  <c r="ED70" i="6" s="1"/>
  <c r="G76" i="6"/>
  <c r="CG76" i="6"/>
  <c r="BG76" i="6"/>
  <c r="AG76" i="6"/>
  <c r="DG76" i="6"/>
  <c r="AD69" i="6"/>
  <c r="EG69" i="6" s="1"/>
  <c r="EH69" i="6" s="1"/>
  <c r="DD71" i="6"/>
  <c r="DC72" i="6"/>
  <c r="CZ72" i="6"/>
  <c r="DB72" i="6"/>
  <c r="CX72" i="6"/>
  <c r="CB72" i="6"/>
  <c r="BZ72" i="6"/>
  <c r="CC70" i="6"/>
  <c r="BX70" i="6"/>
  <c r="CD70" i="6" s="1"/>
  <c r="B77" i="6"/>
  <c r="BH76" i="6"/>
  <c r="BI76" i="6" s="1"/>
  <c r="CH76" i="6"/>
  <c r="CI76" i="6" s="1"/>
  <c r="H76" i="6"/>
  <c r="I76" i="6" s="1"/>
  <c r="AH76" i="6"/>
  <c r="AI76" i="6" s="1"/>
  <c r="AX70" i="6"/>
  <c r="BC70" i="6"/>
  <c r="AZ72" i="6"/>
  <c r="BK74" i="6"/>
  <c r="C77" i="6"/>
  <c r="DH77" i="6" s="1"/>
  <c r="DI77" i="6" s="1"/>
  <c r="EA77" i="6" s="1"/>
  <c r="AB72" i="6"/>
  <c r="R72" i="6"/>
  <c r="AA72" i="6" s="1"/>
  <c r="AR72" i="6"/>
  <c r="CR72" i="6"/>
  <c r="DP72" i="6"/>
  <c r="BR71" i="6"/>
  <c r="BQ71" i="6"/>
  <c r="CA71" i="6" s="1"/>
  <c r="S74" i="6"/>
  <c r="BM73" i="6"/>
  <c r="BP73" i="6" s="1"/>
  <c r="AR71" i="6"/>
  <c r="BA71" i="6" s="1"/>
  <c r="AQ71" i="6"/>
  <c r="DM73" i="6"/>
  <c r="DW73" i="6" s="1"/>
  <c r="CM73" i="6"/>
  <c r="CW73" i="6" s="1"/>
  <c r="DN72" i="6"/>
  <c r="AZ71" i="6"/>
  <c r="BB71" i="6"/>
  <c r="X71" i="6"/>
  <c r="AC71" i="6"/>
  <c r="M73" i="6"/>
  <c r="AU74" i="6"/>
  <c r="AV74" i="6" s="1"/>
  <c r="AL74" i="6"/>
  <c r="AK74" i="6"/>
  <c r="DU74" i="6"/>
  <c r="DV74" i="6" s="1"/>
  <c r="DK74" i="6"/>
  <c r="DL74" i="6"/>
  <c r="U74" i="6"/>
  <c r="V74" i="6" s="1"/>
  <c r="L74" i="6"/>
  <c r="M74" i="6" s="1"/>
  <c r="AM73" i="6"/>
  <c r="BU74" i="6"/>
  <c r="BV74" i="6" s="1"/>
  <c r="BL74" i="6"/>
  <c r="CU74" i="6"/>
  <c r="CV74" i="6" s="1"/>
  <c r="CK74" i="6"/>
  <c r="CL74" i="6"/>
  <c r="K75" i="6"/>
  <c r="AS75" i="6"/>
  <c r="BK75" i="6"/>
  <c r="DS75" i="6"/>
  <c r="DT75" i="6" s="1"/>
  <c r="CS75" i="6"/>
  <c r="BQ72" i="6"/>
  <c r="CA72" i="6" s="1"/>
  <c r="BR72" i="6"/>
  <c r="A76" i="6"/>
  <c r="EF76" i="6" s="1"/>
  <c r="J75" i="6"/>
  <c r="DJ75" i="6"/>
  <c r="BJ75" i="6"/>
  <c r="CJ75" i="6"/>
  <c r="AJ75" i="6"/>
  <c r="BC72" i="6" l="1"/>
  <c r="BA72" i="6"/>
  <c r="CT75" i="6"/>
  <c r="T74" i="6"/>
  <c r="AT75" i="6"/>
  <c r="X72" i="6"/>
  <c r="AD71" i="6"/>
  <c r="EB73" i="6"/>
  <c r="DZ73" i="6"/>
  <c r="BN73" i="6"/>
  <c r="BQ73" i="6" s="1"/>
  <c r="G77" i="6"/>
  <c r="CG77" i="6"/>
  <c r="BG77" i="6"/>
  <c r="AG77" i="6"/>
  <c r="DG77" i="6"/>
  <c r="DD72" i="6"/>
  <c r="AX72" i="6"/>
  <c r="AC72" i="6"/>
  <c r="CZ73" i="6"/>
  <c r="DB73" i="6"/>
  <c r="CC72" i="6"/>
  <c r="CC71" i="6"/>
  <c r="BX71" i="6"/>
  <c r="BX72" i="6"/>
  <c r="BD70" i="6"/>
  <c r="EG70" i="6" s="1"/>
  <c r="B78" i="6"/>
  <c r="BH77" i="6"/>
  <c r="BI77" i="6" s="1"/>
  <c r="CH77" i="6"/>
  <c r="CI77" i="6" s="1"/>
  <c r="H77" i="6"/>
  <c r="I77" i="6" s="1"/>
  <c r="AH77" i="6"/>
  <c r="AI77" i="6" s="1"/>
  <c r="BM74" i="6"/>
  <c r="BP74" i="6" s="1"/>
  <c r="C78" i="6"/>
  <c r="DH78" i="6" s="1"/>
  <c r="DI78" i="6" s="1"/>
  <c r="EA78" i="6" s="1"/>
  <c r="CO73" i="6"/>
  <c r="BO73" i="6"/>
  <c r="CP73" i="6"/>
  <c r="BW73" i="6"/>
  <c r="DP73" i="6"/>
  <c r="DO73" i="6"/>
  <c r="DN73" i="6"/>
  <c r="S75" i="6"/>
  <c r="DM74" i="6"/>
  <c r="DO74" i="6" s="1"/>
  <c r="DY74" i="6" s="1"/>
  <c r="BC71" i="6"/>
  <c r="AX71" i="6"/>
  <c r="BS75" i="6"/>
  <c r="CM74" i="6"/>
  <c r="CP74" i="6" s="1"/>
  <c r="AM74" i="6"/>
  <c r="CN73" i="6"/>
  <c r="DQ72" i="6"/>
  <c r="DR72" i="6"/>
  <c r="W74" i="6"/>
  <c r="P74" i="6"/>
  <c r="O74" i="6"/>
  <c r="Y74" i="6" s="1"/>
  <c r="N74" i="6"/>
  <c r="Q74" i="6" s="1"/>
  <c r="CU75" i="6"/>
  <c r="CV75" i="6" s="1"/>
  <c r="CL75" i="6"/>
  <c r="CK75" i="6"/>
  <c r="BU75" i="6"/>
  <c r="BV75" i="6" s="1"/>
  <c r="BL75" i="6"/>
  <c r="BM75" i="6" s="1"/>
  <c r="BP75" i="6" s="1"/>
  <c r="U75" i="6"/>
  <c r="V75" i="6" s="1"/>
  <c r="L75" i="6"/>
  <c r="M75" i="6" s="1"/>
  <c r="N75" i="6" s="1"/>
  <c r="R75" i="6" s="1"/>
  <c r="AP73" i="6"/>
  <c r="AN73" i="6"/>
  <c r="AO73" i="6"/>
  <c r="AY73" i="6" s="1"/>
  <c r="AW73" i="6"/>
  <c r="W73" i="6"/>
  <c r="P73" i="6"/>
  <c r="O73" i="6"/>
  <c r="N73" i="6"/>
  <c r="DU75" i="6"/>
  <c r="DV75" i="6" s="1"/>
  <c r="DK75" i="6"/>
  <c r="DL75" i="6"/>
  <c r="AU75" i="6"/>
  <c r="AV75" i="6" s="1"/>
  <c r="AL75" i="6"/>
  <c r="K76" i="6"/>
  <c r="AS76" i="6"/>
  <c r="CS76" i="6"/>
  <c r="BK76" i="6"/>
  <c r="DS76" i="6"/>
  <c r="DT76" i="6" s="1"/>
  <c r="AK75" i="6"/>
  <c r="A77" i="6"/>
  <c r="EF77" i="6" s="1"/>
  <c r="CJ76" i="6"/>
  <c r="DJ76" i="6"/>
  <c r="AJ76" i="6"/>
  <c r="J76" i="6"/>
  <c r="BJ76" i="6"/>
  <c r="T75" i="6" l="1"/>
  <c r="CT76" i="6"/>
  <c r="AT76" i="6"/>
  <c r="BT75" i="6"/>
  <c r="CA73" i="6"/>
  <c r="AD72" i="6"/>
  <c r="CD71" i="6"/>
  <c r="CD72" i="6"/>
  <c r="BR73" i="6"/>
  <c r="DY73" i="6"/>
  <c r="EC72" i="6"/>
  <c r="DX72" i="6"/>
  <c r="ED72" i="6" s="1"/>
  <c r="G78" i="6"/>
  <c r="CG78" i="6"/>
  <c r="BG78" i="6"/>
  <c r="AG78" i="6"/>
  <c r="DG78" i="6"/>
  <c r="BD72" i="6"/>
  <c r="EH70" i="6"/>
  <c r="CY73" i="6"/>
  <c r="CB73" i="6"/>
  <c r="BZ73" i="6"/>
  <c r="BY73" i="6"/>
  <c r="BD71" i="6"/>
  <c r="B79" i="6"/>
  <c r="BH78" i="6"/>
  <c r="BI78" i="6" s="1"/>
  <c r="CH78" i="6"/>
  <c r="CI78" i="6" s="1"/>
  <c r="H78" i="6"/>
  <c r="I78" i="6" s="1"/>
  <c r="AH78" i="6"/>
  <c r="AI78" i="6" s="1"/>
  <c r="BN74" i="6"/>
  <c r="BR74" i="6" s="1"/>
  <c r="BO74" i="6"/>
  <c r="DP74" i="6"/>
  <c r="AK76" i="6"/>
  <c r="BW74" i="6"/>
  <c r="BS76" i="6"/>
  <c r="DK76" i="6"/>
  <c r="C79" i="6"/>
  <c r="DH79" i="6" s="1"/>
  <c r="DI79" i="6" s="1"/>
  <c r="EA79" i="6" s="1"/>
  <c r="R74" i="6"/>
  <c r="CN74" i="6"/>
  <c r="CW74" i="6"/>
  <c r="DN74" i="6"/>
  <c r="BW75" i="6"/>
  <c r="DW74" i="6"/>
  <c r="DQ73" i="6"/>
  <c r="DR73" i="6"/>
  <c r="AM75" i="6"/>
  <c r="AO75" i="6" s="1"/>
  <c r="AY75" i="6" s="1"/>
  <c r="CO74" i="6"/>
  <c r="BO75" i="6"/>
  <c r="BY75" i="6" s="1"/>
  <c r="BN75" i="6"/>
  <c r="BR75" i="6" s="1"/>
  <c r="DM75" i="6"/>
  <c r="DP75" i="6" s="1"/>
  <c r="Z73" i="6"/>
  <c r="AB73" i="6"/>
  <c r="CM75" i="6"/>
  <c r="CW75" i="6" s="1"/>
  <c r="CR73" i="6"/>
  <c r="CQ73" i="6"/>
  <c r="DA73" i="6" s="1"/>
  <c r="AZ73" i="6"/>
  <c r="BB73" i="6"/>
  <c r="AB74" i="6"/>
  <c r="Z74" i="6"/>
  <c r="AP74" i="6"/>
  <c r="AO74" i="6"/>
  <c r="AW74" i="6"/>
  <c r="AN74" i="6"/>
  <c r="S76" i="6"/>
  <c r="BU76" i="6"/>
  <c r="BV76" i="6" s="1"/>
  <c r="BL76" i="6"/>
  <c r="BM76" i="6" s="1"/>
  <c r="BO76" i="6" s="1"/>
  <c r="AU76" i="6"/>
  <c r="AV76" i="6" s="1"/>
  <c r="AL76" i="6"/>
  <c r="BS77" i="6"/>
  <c r="K77" i="6"/>
  <c r="DS77" i="6"/>
  <c r="DT77" i="6" s="1"/>
  <c r="CS77" i="6"/>
  <c r="AS77" i="6"/>
  <c r="Q73" i="6"/>
  <c r="R73" i="6"/>
  <c r="AA73" i="6" s="1"/>
  <c r="AQ73" i="6"/>
  <c r="AR73" i="6"/>
  <c r="BA73" i="6" s="1"/>
  <c r="DU76" i="6"/>
  <c r="DV76" i="6" s="1"/>
  <c r="DL76" i="6"/>
  <c r="CU76" i="6"/>
  <c r="CV76" i="6" s="1"/>
  <c r="CL76" i="6"/>
  <c r="U76" i="6"/>
  <c r="V76" i="6" s="1"/>
  <c r="L76" i="6"/>
  <c r="M76" i="6" s="1"/>
  <c r="W76" i="6" s="1"/>
  <c r="Y73" i="6"/>
  <c r="CK76" i="6"/>
  <c r="Q75" i="6"/>
  <c r="AC75" i="6" s="1"/>
  <c r="P75" i="6"/>
  <c r="W75" i="6"/>
  <c r="Z75" i="6" s="1"/>
  <c r="O75" i="6"/>
  <c r="Y75" i="6" s="1"/>
  <c r="A78" i="6"/>
  <c r="EF78" i="6" s="1"/>
  <c r="BJ77" i="6"/>
  <c r="DJ77" i="6"/>
  <c r="AJ77" i="6"/>
  <c r="CJ77" i="6"/>
  <c r="J77" i="6"/>
  <c r="AA75" i="6" l="1"/>
  <c r="AC74" i="6"/>
  <c r="AA74" i="6"/>
  <c r="AT77" i="6"/>
  <c r="T76" i="6"/>
  <c r="BT76" i="6"/>
  <c r="CT77" i="6"/>
  <c r="BT77" i="6"/>
  <c r="AP75" i="6"/>
  <c r="X74" i="6"/>
  <c r="CO75" i="6"/>
  <c r="CY75" i="6" s="1"/>
  <c r="BX73" i="6"/>
  <c r="CD73" i="6" s="1"/>
  <c r="CC73" i="6"/>
  <c r="EG71" i="6"/>
  <c r="EH71" i="6" s="1"/>
  <c r="EG72" i="6"/>
  <c r="EH72" i="6" s="1"/>
  <c r="EC73" i="6"/>
  <c r="EB74" i="6"/>
  <c r="DZ74" i="6"/>
  <c r="DX73" i="6"/>
  <c r="ED73" i="6" s="1"/>
  <c r="CM76" i="6"/>
  <c r="CW76" i="6" s="1"/>
  <c r="G79" i="6"/>
  <c r="CG79" i="6"/>
  <c r="BG79" i="6"/>
  <c r="AG79" i="6"/>
  <c r="DG79" i="6"/>
  <c r="BY76" i="6"/>
  <c r="DC73" i="6"/>
  <c r="CZ75" i="6"/>
  <c r="DB75" i="6"/>
  <c r="CY74" i="6"/>
  <c r="DB74" i="6"/>
  <c r="CZ74" i="6"/>
  <c r="CX73" i="6"/>
  <c r="BY74" i="6"/>
  <c r="BZ75" i="6"/>
  <c r="CB75" i="6"/>
  <c r="BZ74" i="6"/>
  <c r="CB74" i="6"/>
  <c r="X73" i="6"/>
  <c r="B80" i="6"/>
  <c r="BH79" i="6"/>
  <c r="BI79" i="6" s="1"/>
  <c r="CH79" i="6"/>
  <c r="CI79" i="6" s="1"/>
  <c r="H79" i="6"/>
  <c r="I79" i="6" s="1"/>
  <c r="AH79" i="6"/>
  <c r="AI79" i="6" s="1"/>
  <c r="BQ74" i="6"/>
  <c r="CA74" i="6" s="1"/>
  <c r="AM76" i="6"/>
  <c r="AN76" i="6" s="1"/>
  <c r="AR76" i="6" s="1"/>
  <c r="DM76" i="6"/>
  <c r="DN76" i="6" s="1"/>
  <c r="DR76" i="6" s="1"/>
  <c r="C80" i="6"/>
  <c r="DH80" i="6" s="1"/>
  <c r="DI80" i="6" s="1"/>
  <c r="EA80" i="6" s="1"/>
  <c r="S77" i="6"/>
  <c r="CN75" i="6"/>
  <c r="CR75" i="6" s="1"/>
  <c r="BQ75" i="6"/>
  <c r="CP75" i="6"/>
  <c r="DW75" i="6"/>
  <c r="CR74" i="6"/>
  <c r="CQ74" i="6"/>
  <c r="DA74" i="6" s="1"/>
  <c r="AN75" i="6"/>
  <c r="DR74" i="6"/>
  <c r="DQ74" i="6"/>
  <c r="AW75" i="6"/>
  <c r="DN75" i="6"/>
  <c r="Z76" i="6"/>
  <c r="DO75" i="6"/>
  <c r="AQ74" i="6"/>
  <c r="AR74" i="6"/>
  <c r="BA74" i="6" s="1"/>
  <c r="AY74" i="6"/>
  <c r="AX73" i="6"/>
  <c r="BC73" i="6"/>
  <c r="AC73" i="6"/>
  <c r="BB74" i="6"/>
  <c r="AZ74" i="6"/>
  <c r="AU77" i="6"/>
  <c r="AV77" i="6" s="1"/>
  <c r="AK77" i="6"/>
  <c r="AL77" i="6"/>
  <c r="DU77" i="6"/>
  <c r="DV77" i="6" s="1"/>
  <c r="DL77" i="6"/>
  <c r="DK77" i="6"/>
  <c r="BU77" i="6"/>
  <c r="BV77" i="6" s="1"/>
  <c r="BK77" i="6"/>
  <c r="BL77" i="6"/>
  <c r="CU77" i="6"/>
  <c r="CV77" i="6" s="1"/>
  <c r="CL77" i="6"/>
  <c r="CK77" i="6"/>
  <c r="U77" i="6"/>
  <c r="V77" i="6" s="1"/>
  <c r="L77" i="6"/>
  <c r="M77" i="6" s="1"/>
  <c r="DK78" i="6"/>
  <c r="CS78" i="6"/>
  <c r="S78" i="6"/>
  <c r="AK78" i="6"/>
  <c r="BS78" i="6"/>
  <c r="BW76" i="6"/>
  <c r="BP76" i="6"/>
  <c r="BN76" i="6"/>
  <c r="BQ76" i="6" s="1"/>
  <c r="CA76" i="6" s="1"/>
  <c r="X75" i="6"/>
  <c r="AB76" i="6"/>
  <c r="AB75" i="6"/>
  <c r="N76" i="6"/>
  <c r="Q76" i="6" s="1"/>
  <c r="P76" i="6"/>
  <c r="O76" i="6"/>
  <c r="Y76" i="6" s="1"/>
  <c r="A79" i="6"/>
  <c r="EF79" i="6" s="1"/>
  <c r="CJ78" i="6"/>
  <c r="AJ78" i="6"/>
  <c r="J78" i="6"/>
  <c r="DJ78" i="6"/>
  <c r="BJ78" i="6"/>
  <c r="BX75" i="6" l="1"/>
  <c r="CA75" i="6"/>
  <c r="CT78" i="6"/>
  <c r="T78" i="6"/>
  <c r="T77" i="6"/>
  <c r="BT78" i="6"/>
  <c r="AD74" i="6"/>
  <c r="DD73" i="6"/>
  <c r="CN76" i="6"/>
  <c r="CR76" i="6" s="1"/>
  <c r="CP76" i="6"/>
  <c r="DZ75" i="6"/>
  <c r="EB75" i="6"/>
  <c r="DY75" i="6"/>
  <c r="EC74" i="6"/>
  <c r="DX74" i="6"/>
  <c r="ED74" i="6" s="1"/>
  <c r="CO76" i="6"/>
  <c r="CY76" i="6" s="1"/>
  <c r="G80" i="6"/>
  <c r="CG80" i="6"/>
  <c r="BG80" i="6"/>
  <c r="AG80" i="6"/>
  <c r="DG80" i="6"/>
  <c r="AD75" i="6"/>
  <c r="AD73" i="6"/>
  <c r="CZ76" i="6"/>
  <c r="DB76" i="6"/>
  <c r="DC74" i="6"/>
  <c r="CX74" i="6"/>
  <c r="CB76" i="6"/>
  <c r="BZ76" i="6"/>
  <c r="CC75" i="6"/>
  <c r="CC74" i="6"/>
  <c r="BX74" i="6"/>
  <c r="AX74" i="6"/>
  <c r="BD73" i="6"/>
  <c r="B81" i="6"/>
  <c r="AO76" i="6"/>
  <c r="AY76" i="6" s="1"/>
  <c r="BH80" i="6"/>
  <c r="BI80" i="6" s="1"/>
  <c r="CH80" i="6"/>
  <c r="CI80" i="6" s="1"/>
  <c r="H80" i="6"/>
  <c r="I80" i="6" s="1"/>
  <c r="AH80" i="6"/>
  <c r="AI80" i="6" s="1"/>
  <c r="AW76" i="6"/>
  <c r="AZ76" i="6" s="1"/>
  <c r="AP76" i="6"/>
  <c r="DQ76" i="6"/>
  <c r="DS78" i="6"/>
  <c r="DT78" i="6" s="1"/>
  <c r="DW76" i="6"/>
  <c r="DO76" i="6"/>
  <c r="DP76" i="6"/>
  <c r="C81" i="6"/>
  <c r="DH81" i="6" s="1"/>
  <c r="DI81" i="6" s="1"/>
  <c r="EA81" i="6" s="1"/>
  <c r="AQ76" i="6"/>
  <c r="BC76" i="6" s="1"/>
  <c r="BR76" i="6"/>
  <c r="CQ75" i="6"/>
  <c r="DA75" i="6" s="1"/>
  <c r="AS78" i="6"/>
  <c r="AQ75" i="6"/>
  <c r="AR75" i="6"/>
  <c r="BA75" i="6" s="1"/>
  <c r="BB75" i="6"/>
  <c r="AZ75" i="6"/>
  <c r="DQ75" i="6"/>
  <c r="DR75" i="6"/>
  <c r="CM77" i="6"/>
  <c r="CW77" i="6" s="1"/>
  <c r="BM77" i="6"/>
  <c r="BP77" i="6" s="1"/>
  <c r="DM77" i="6"/>
  <c r="DP77" i="6" s="1"/>
  <c r="AM77" i="6"/>
  <c r="AW77" i="6" s="1"/>
  <c r="BC74" i="6"/>
  <c r="O77" i="6"/>
  <c r="Y77" i="6" s="1"/>
  <c r="P77" i="6"/>
  <c r="W77" i="6"/>
  <c r="AB77" i="6" s="1"/>
  <c r="N77" i="6"/>
  <c r="Q77" i="6" s="1"/>
  <c r="BU78" i="6"/>
  <c r="BV78" i="6" s="1"/>
  <c r="BL78" i="6"/>
  <c r="BK78" i="6"/>
  <c r="U78" i="6"/>
  <c r="V78" i="6" s="1"/>
  <c r="L78" i="6"/>
  <c r="K78" i="6"/>
  <c r="DU78" i="6"/>
  <c r="DV78" i="6" s="1"/>
  <c r="DL78" i="6"/>
  <c r="DM78" i="6" s="1"/>
  <c r="DO78" i="6" s="1"/>
  <c r="AU78" i="6"/>
  <c r="AV78" i="6" s="1"/>
  <c r="AL78" i="6"/>
  <c r="AM78" i="6" s="1"/>
  <c r="CU78" i="6"/>
  <c r="CV78" i="6" s="1"/>
  <c r="CK78" i="6"/>
  <c r="CL78" i="6"/>
  <c r="BS79" i="6"/>
  <c r="DS79" i="6"/>
  <c r="DT79" i="6" s="1"/>
  <c r="K79" i="6"/>
  <c r="AS79" i="6"/>
  <c r="CS79" i="6"/>
  <c r="R76" i="6"/>
  <c r="A80" i="6"/>
  <c r="EF80" i="6" s="1"/>
  <c r="BJ79" i="6"/>
  <c r="DJ79" i="6"/>
  <c r="CJ79" i="6"/>
  <c r="AJ79" i="6"/>
  <c r="J79" i="6"/>
  <c r="BA76" i="6" l="1"/>
  <c r="AC76" i="6"/>
  <c r="AA76" i="6"/>
  <c r="AT78" i="6"/>
  <c r="BT79" i="6"/>
  <c r="CT79" i="6"/>
  <c r="AT79" i="6"/>
  <c r="CO77" i="6"/>
  <c r="CY77" i="6" s="1"/>
  <c r="BN77" i="6"/>
  <c r="BQ77" i="6" s="1"/>
  <c r="CQ76" i="6"/>
  <c r="BX76" i="6"/>
  <c r="CD76" i="6" s="1"/>
  <c r="CC76" i="6"/>
  <c r="CD75" i="6"/>
  <c r="DY78" i="6"/>
  <c r="EB76" i="6"/>
  <c r="DZ76" i="6"/>
  <c r="EC76" i="6"/>
  <c r="EC75" i="6"/>
  <c r="DY76" i="6"/>
  <c r="DX76" i="6"/>
  <c r="ED76" i="6" s="1"/>
  <c r="DX75" i="6"/>
  <c r="ED75" i="6" s="1"/>
  <c r="BD74" i="6"/>
  <c r="G81" i="6"/>
  <c r="CG81" i="6"/>
  <c r="AG81" i="6"/>
  <c r="BG81" i="6"/>
  <c r="DG81" i="6"/>
  <c r="EG73" i="6"/>
  <c r="EH73" i="6" s="1"/>
  <c r="DD74" i="6"/>
  <c r="CD74" i="6"/>
  <c r="CZ77" i="6"/>
  <c r="DB77" i="6"/>
  <c r="DC75" i="6"/>
  <c r="CX75" i="6"/>
  <c r="X76" i="6"/>
  <c r="B82" i="6"/>
  <c r="AX76" i="6"/>
  <c r="BH81" i="6"/>
  <c r="BI81" i="6" s="1"/>
  <c r="CH81" i="6"/>
  <c r="CI81" i="6" s="1"/>
  <c r="H81" i="6"/>
  <c r="I81" i="6" s="1"/>
  <c r="AH81" i="6"/>
  <c r="AI81" i="6" s="1"/>
  <c r="BB76" i="6"/>
  <c r="C82" i="6"/>
  <c r="DH82" i="6" s="1"/>
  <c r="DI82" i="6" s="1"/>
  <c r="EA82" i="6" s="1"/>
  <c r="R77" i="6"/>
  <c r="AA77" i="6" s="1"/>
  <c r="M78" i="6"/>
  <c r="W78" i="6" s="1"/>
  <c r="Z77" i="6"/>
  <c r="AO77" i="6"/>
  <c r="AY77" i="6" s="1"/>
  <c r="DW78" i="6"/>
  <c r="AN77" i="6"/>
  <c r="AR77" i="6" s="1"/>
  <c r="BW77" i="6"/>
  <c r="BB77" i="6"/>
  <c r="AZ77" i="6"/>
  <c r="AP77" i="6"/>
  <c r="BO77" i="6"/>
  <c r="AX75" i="6"/>
  <c r="BC75" i="6"/>
  <c r="CM78" i="6"/>
  <c r="CW78" i="6" s="1"/>
  <c r="BM78" i="6"/>
  <c r="BN78" i="6" s="1"/>
  <c r="DN77" i="6"/>
  <c r="DR77" i="6" s="1"/>
  <c r="DW77" i="6"/>
  <c r="CP77" i="6"/>
  <c r="CK79" i="6"/>
  <c r="DO77" i="6"/>
  <c r="CN77" i="6"/>
  <c r="AW78" i="6"/>
  <c r="BB78" i="6" s="1"/>
  <c r="AN78" i="6"/>
  <c r="AR78" i="6" s="1"/>
  <c r="AP78" i="6"/>
  <c r="AO78" i="6"/>
  <c r="AY78" i="6" s="1"/>
  <c r="S79" i="6"/>
  <c r="AU79" i="6"/>
  <c r="AV79" i="6" s="1"/>
  <c r="AK79" i="6"/>
  <c r="AL79" i="6"/>
  <c r="DU79" i="6"/>
  <c r="DV79" i="6" s="1"/>
  <c r="DL79" i="6"/>
  <c r="AS80" i="6"/>
  <c r="K80" i="6"/>
  <c r="BS80" i="6"/>
  <c r="DS80" i="6"/>
  <c r="DT80" i="6" s="1"/>
  <c r="CS80" i="6"/>
  <c r="DK79" i="6"/>
  <c r="CU79" i="6"/>
  <c r="CV79" i="6" s="1"/>
  <c r="CL79" i="6"/>
  <c r="U79" i="6"/>
  <c r="V79" i="6" s="1"/>
  <c r="L79" i="6"/>
  <c r="M79" i="6" s="1"/>
  <c r="BU79" i="6"/>
  <c r="BV79" i="6" s="1"/>
  <c r="BK79" i="6"/>
  <c r="BL79" i="6"/>
  <c r="DN78" i="6"/>
  <c r="DQ78" i="6" s="1"/>
  <c r="DP78" i="6"/>
  <c r="A81" i="6"/>
  <c r="EF81" i="6" s="1"/>
  <c r="AJ80" i="6"/>
  <c r="J80" i="6"/>
  <c r="CJ80" i="6"/>
  <c r="DJ80" i="6"/>
  <c r="BJ80" i="6"/>
  <c r="BA78" i="6" l="1"/>
  <c r="CA77" i="6"/>
  <c r="T79" i="6"/>
  <c r="BT80" i="6"/>
  <c r="CT80" i="6"/>
  <c r="AT80" i="6"/>
  <c r="BA77" i="6"/>
  <c r="DC76" i="6"/>
  <c r="DA76" i="6"/>
  <c r="BP78" i="6"/>
  <c r="CP78" i="6"/>
  <c r="BR77" i="6"/>
  <c r="CC77" i="6" s="1"/>
  <c r="AQ77" i="6"/>
  <c r="BC77" i="6" s="1"/>
  <c r="CX76" i="6"/>
  <c r="DD76" i="6" s="1"/>
  <c r="DD75" i="6"/>
  <c r="EB77" i="6"/>
  <c r="DZ77" i="6"/>
  <c r="DY77" i="6"/>
  <c r="EB78" i="6"/>
  <c r="DZ78" i="6"/>
  <c r="G82" i="6"/>
  <c r="CG82" i="6"/>
  <c r="AG82" i="6"/>
  <c r="BG82" i="6"/>
  <c r="DG82" i="6"/>
  <c r="EG74" i="6"/>
  <c r="EH74" i="6" s="1"/>
  <c r="AD76" i="6"/>
  <c r="BD76" i="6"/>
  <c r="AC77" i="6"/>
  <c r="X77" i="6"/>
  <c r="CM79" i="6"/>
  <c r="CO79" i="6" s="1"/>
  <c r="CY79" i="6" s="1"/>
  <c r="DB78" i="6"/>
  <c r="CZ78" i="6"/>
  <c r="BY77" i="6"/>
  <c r="BX77" i="6"/>
  <c r="CB77" i="6"/>
  <c r="BZ77" i="6"/>
  <c r="BD75" i="6"/>
  <c r="B83" i="6"/>
  <c r="BH82" i="6"/>
  <c r="BI82" i="6" s="1"/>
  <c r="CH82" i="6"/>
  <c r="CI82" i="6" s="1"/>
  <c r="H82" i="6"/>
  <c r="I82" i="6" s="1"/>
  <c r="AH82" i="6"/>
  <c r="AI82" i="6" s="1"/>
  <c r="S80" i="6"/>
  <c r="C83" i="6"/>
  <c r="DH83" i="6" s="1"/>
  <c r="DI83" i="6" s="1"/>
  <c r="EA83" i="6" s="1"/>
  <c r="DQ77" i="6"/>
  <c r="O78" i="6"/>
  <c r="Y78" i="6" s="1"/>
  <c r="P78" i="6"/>
  <c r="Z78" i="6"/>
  <c r="AB78" i="6"/>
  <c r="DR78" i="6"/>
  <c r="AZ78" i="6"/>
  <c r="BO78" i="6"/>
  <c r="N78" i="6"/>
  <c r="CO78" i="6"/>
  <c r="BQ78" i="6"/>
  <c r="BR78" i="6"/>
  <c r="AQ78" i="6"/>
  <c r="BC78" i="6" s="1"/>
  <c r="BW78" i="6"/>
  <c r="CN78" i="6"/>
  <c r="AM79" i="6"/>
  <c r="AO79" i="6" s="1"/>
  <c r="BM79" i="6"/>
  <c r="BO79" i="6" s="1"/>
  <c r="BY79" i="6" s="1"/>
  <c r="DM79" i="6"/>
  <c r="DW79" i="6" s="1"/>
  <c r="CR77" i="6"/>
  <c r="CQ77" i="6"/>
  <c r="DA77" i="6" s="1"/>
  <c r="N79" i="6"/>
  <c r="W79" i="6"/>
  <c r="Z79" i="6" s="1"/>
  <c r="O79" i="6"/>
  <c r="Y79" i="6" s="1"/>
  <c r="DU80" i="6"/>
  <c r="DV80" i="6" s="1"/>
  <c r="DL80" i="6"/>
  <c r="DK80" i="6"/>
  <c r="U80" i="6"/>
  <c r="V80" i="6" s="1"/>
  <c r="L80" i="6"/>
  <c r="M80" i="6" s="1"/>
  <c r="DK81" i="6"/>
  <c r="AK81" i="6"/>
  <c r="K81" i="6"/>
  <c r="BS81" i="6"/>
  <c r="CS81" i="6"/>
  <c r="CU80" i="6"/>
  <c r="CV80" i="6" s="1"/>
  <c r="CL80" i="6"/>
  <c r="CK80" i="6"/>
  <c r="BU80" i="6"/>
  <c r="BV80" i="6" s="1"/>
  <c r="BK80" i="6"/>
  <c r="BL80" i="6"/>
  <c r="AU80" i="6"/>
  <c r="AV80" i="6" s="1"/>
  <c r="AK80" i="6"/>
  <c r="AL80" i="6"/>
  <c r="P79" i="6"/>
  <c r="A82" i="6"/>
  <c r="EF82" i="6" s="1"/>
  <c r="J81" i="6"/>
  <c r="AJ81" i="6"/>
  <c r="BJ81" i="6"/>
  <c r="CJ81" i="6"/>
  <c r="DJ81" i="6"/>
  <c r="CA78" i="6" l="1"/>
  <c r="T80" i="6"/>
  <c r="BT81" i="6"/>
  <c r="CT81" i="6"/>
  <c r="AX77" i="6"/>
  <c r="BD77" i="6" s="1"/>
  <c r="DN79" i="6"/>
  <c r="DR79" i="6" s="1"/>
  <c r="BN79" i="6"/>
  <c r="BQ79" i="6" s="1"/>
  <c r="EC78" i="6"/>
  <c r="DX78" i="6"/>
  <c r="ED78" i="6" s="1"/>
  <c r="EG75" i="6"/>
  <c r="EH75" i="6" s="1"/>
  <c r="AD77" i="6"/>
  <c r="EC77" i="6"/>
  <c r="EB79" i="6"/>
  <c r="DZ79" i="6"/>
  <c r="DX77" i="6"/>
  <c r="ED77" i="6" s="1"/>
  <c r="G83" i="6"/>
  <c r="CG83" i="6"/>
  <c r="BG83" i="6"/>
  <c r="AG83" i="6"/>
  <c r="DG83" i="6"/>
  <c r="CP79" i="6"/>
  <c r="EG76" i="6"/>
  <c r="EH76" i="6" s="1"/>
  <c r="CD77" i="6"/>
  <c r="CN79" i="6"/>
  <c r="CR79" i="6" s="1"/>
  <c r="CW79" i="6"/>
  <c r="CZ79" i="6" s="1"/>
  <c r="CK81" i="6"/>
  <c r="DC77" i="6"/>
  <c r="CX77" i="6"/>
  <c r="CY78" i="6"/>
  <c r="CC78" i="6"/>
  <c r="BZ78" i="6"/>
  <c r="CB78" i="6"/>
  <c r="BY78" i="6"/>
  <c r="BX78" i="6"/>
  <c r="B84" i="6"/>
  <c r="BH83" i="6"/>
  <c r="BI83" i="6" s="1"/>
  <c r="CH83" i="6"/>
  <c r="CI83" i="6" s="1"/>
  <c r="H83" i="6"/>
  <c r="I83" i="6" s="1"/>
  <c r="AH83" i="6"/>
  <c r="AI83" i="6" s="1"/>
  <c r="AN79" i="6"/>
  <c r="AQ79" i="6" s="1"/>
  <c r="DS81" i="6"/>
  <c r="DT81" i="6" s="1"/>
  <c r="AS81" i="6"/>
  <c r="C84" i="6"/>
  <c r="DH84" i="6" s="1"/>
  <c r="DI84" i="6" s="1"/>
  <c r="EA84" i="6" s="1"/>
  <c r="AB79" i="6"/>
  <c r="AX78" i="6"/>
  <c r="Q78" i="6"/>
  <c r="R78" i="6"/>
  <c r="AA78" i="6" s="1"/>
  <c r="AP79" i="6"/>
  <c r="DO79" i="6"/>
  <c r="CR78" i="6"/>
  <c r="CQ78" i="6"/>
  <c r="AY79" i="6"/>
  <c r="S81" i="6"/>
  <c r="AW79" i="6"/>
  <c r="DP79" i="6"/>
  <c r="AM80" i="6"/>
  <c r="AO80" i="6" s="1"/>
  <c r="AY80" i="6" s="1"/>
  <c r="CM80" i="6"/>
  <c r="CO80" i="6" s="1"/>
  <c r="CY80" i="6" s="1"/>
  <c r="BW79" i="6"/>
  <c r="O80" i="6"/>
  <c r="Y80" i="6" s="1"/>
  <c r="P80" i="6"/>
  <c r="W80" i="6"/>
  <c r="AB80" i="6" s="1"/>
  <c r="N80" i="6"/>
  <c r="R80" i="6" s="1"/>
  <c r="BM80" i="6"/>
  <c r="BP80" i="6" s="1"/>
  <c r="DM80" i="6"/>
  <c r="DO80" i="6" s="1"/>
  <c r="DY80" i="6" s="1"/>
  <c r="BP79" i="6"/>
  <c r="CU81" i="6"/>
  <c r="CV81" i="6" s="1"/>
  <c r="CL81" i="6"/>
  <c r="U81" i="6"/>
  <c r="V81" i="6" s="1"/>
  <c r="L81" i="6"/>
  <c r="M81" i="6" s="1"/>
  <c r="DU81" i="6"/>
  <c r="DV81" i="6" s="1"/>
  <c r="DL81" i="6"/>
  <c r="DM81" i="6" s="1"/>
  <c r="DO81" i="6" s="1"/>
  <c r="Q79" i="6"/>
  <c r="R79" i="6"/>
  <c r="AA79" i="6" s="1"/>
  <c r="BU81" i="6"/>
  <c r="BV81" i="6" s="1"/>
  <c r="BL81" i="6"/>
  <c r="BK81" i="6"/>
  <c r="AU81" i="6"/>
  <c r="AV81" i="6" s="1"/>
  <c r="AL81" i="6"/>
  <c r="AM81" i="6" s="1"/>
  <c r="AO81" i="6" s="1"/>
  <c r="BS82" i="6"/>
  <c r="S82" i="6"/>
  <c r="DK82" i="6"/>
  <c r="CK82" i="6"/>
  <c r="AK82" i="6"/>
  <c r="A83" i="6"/>
  <c r="EF83" i="6" s="1"/>
  <c r="BJ82" i="6"/>
  <c r="AJ82" i="6"/>
  <c r="CJ82" i="6"/>
  <c r="J82" i="6"/>
  <c r="DJ82" i="6"/>
  <c r="AA80" i="6" l="1"/>
  <c r="CA79" i="6"/>
  <c r="AT81" i="6"/>
  <c r="T82" i="6"/>
  <c r="CX78" i="6"/>
  <c r="DD78" i="6" s="1"/>
  <c r="DA78" i="6"/>
  <c r="T81" i="6"/>
  <c r="BT82" i="6"/>
  <c r="DQ79" i="6"/>
  <c r="BR79" i="6"/>
  <c r="AN80" i="6"/>
  <c r="AR80" i="6" s="1"/>
  <c r="DY81" i="6"/>
  <c r="DD77" i="6"/>
  <c r="EG77" i="6" s="1"/>
  <c r="EH77" i="6" s="1"/>
  <c r="EC79" i="6"/>
  <c r="DY79" i="6"/>
  <c r="DX79" i="6"/>
  <c r="ED79" i="6" s="1"/>
  <c r="G84" i="6"/>
  <c r="CG84" i="6"/>
  <c r="BG84" i="6"/>
  <c r="AG84" i="6"/>
  <c r="DG84" i="6"/>
  <c r="BD78" i="6"/>
  <c r="CQ79" i="6"/>
  <c r="DA79" i="6" s="1"/>
  <c r="CD78" i="6"/>
  <c r="CM81" i="6"/>
  <c r="CW81" i="6" s="1"/>
  <c r="DB79" i="6"/>
  <c r="DC78" i="6"/>
  <c r="CC79" i="6"/>
  <c r="BX79" i="6"/>
  <c r="CB79" i="6"/>
  <c r="BZ79" i="6"/>
  <c r="B85" i="6"/>
  <c r="BH84" i="6"/>
  <c r="BI84" i="6" s="1"/>
  <c r="CH84" i="6"/>
  <c r="CI84" i="6" s="1"/>
  <c r="H84" i="6"/>
  <c r="I84" i="6" s="1"/>
  <c r="AH84" i="6"/>
  <c r="AI84" i="6" s="1"/>
  <c r="CS82" i="6"/>
  <c r="AR79" i="6"/>
  <c r="C85" i="6"/>
  <c r="DH85" i="6" s="1"/>
  <c r="DI85" i="6" s="1"/>
  <c r="EA85" i="6" s="1"/>
  <c r="DW81" i="6"/>
  <c r="AS82" i="6"/>
  <c r="Q80" i="6"/>
  <c r="X80" i="6" s="1"/>
  <c r="DN80" i="6"/>
  <c r="DQ80" i="6" s="1"/>
  <c r="AN81" i="6"/>
  <c r="AQ81" i="6" s="1"/>
  <c r="DN81" i="6"/>
  <c r="DQ81" i="6" s="1"/>
  <c r="AP80" i="6"/>
  <c r="AC78" i="6"/>
  <c r="X78" i="6"/>
  <c r="Z80" i="6"/>
  <c r="DP81" i="6"/>
  <c r="CW80" i="6"/>
  <c r="BN80" i="6"/>
  <c r="CN80" i="6"/>
  <c r="CR80" i="6" s="1"/>
  <c r="DW80" i="6"/>
  <c r="BO80" i="6"/>
  <c r="CP80" i="6"/>
  <c r="BB79" i="6"/>
  <c r="AZ79" i="6"/>
  <c r="P81" i="6"/>
  <c r="W81" i="6"/>
  <c r="Z81" i="6" s="1"/>
  <c r="O81" i="6"/>
  <c r="Y81" i="6" s="1"/>
  <c r="N81" i="6"/>
  <c r="R81" i="6" s="1"/>
  <c r="DP80" i="6"/>
  <c r="AW80" i="6"/>
  <c r="DS82" i="6"/>
  <c r="DT82" i="6" s="1"/>
  <c r="BW80" i="6"/>
  <c r="X79" i="6"/>
  <c r="AC79" i="6"/>
  <c r="AU82" i="6"/>
  <c r="AV82" i="6" s="1"/>
  <c r="AL82" i="6"/>
  <c r="AM82" i="6" s="1"/>
  <c r="DU82" i="6"/>
  <c r="DV82" i="6" s="1"/>
  <c r="DL82" i="6"/>
  <c r="DM82" i="6" s="1"/>
  <c r="DO82" i="6" s="1"/>
  <c r="BU82" i="6"/>
  <c r="BV82" i="6" s="1"/>
  <c r="BL82" i="6"/>
  <c r="BM81" i="6"/>
  <c r="BK82" i="6"/>
  <c r="CU82" i="6"/>
  <c r="CV82" i="6" s="1"/>
  <c r="CL82" i="6"/>
  <c r="CM82" i="6" s="1"/>
  <c r="CW82" i="6" s="1"/>
  <c r="U82" i="6"/>
  <c r="V82" i="6" s="1"/>
  <c r="L82" i="6"/>
  <c r="K82" i="6"/>
  <c r="DS83" i="6"/>
  <c r="DT83" i="6" s="1"/>
  <c r="S83" i="6"/>
  <c r="BS83" i="6"/>
  <c r="AS83" i="6"/>
  <c r="CS83" i="6"/>
  <c r="AP81" i="6"/>
  <c r="AW81" i="6"/>
  <c r="BB81" i="6" s="1"/>
  <c r="A84" i="6"/>
  <c r="EF84" i="6" s="1"/>
  <c r="AJ83" i="6"/>
  <c r="CJ83" i="6"/>
  <c r="J83" i="6"/>
  <c r="BJ83" i="6"/>
  <c r="DJ83" i="6"/>
  <c r="AY81" i="6"/>
  <c r="AA81" i="6" l="1"/>
  <c r="AT82" i="6"/>
  <c r="CT83" i="6"/>
  <c r="BC79" i="6"/>
  <c r="BA79" i="6"/>
  <c r="CT82" i="6"/>
  <c r="T83" i="6"/>
  <c r="AT83" i="6"/>
  <c r="BA80" i="6"/>
  <c r="BT83" i="6"/>
  <c r="AQ80" i="6"/>
  <c r="BM82" i="6"/>
  <c r="BW82" i="6" s="1"/>
  <c r="DY82" i="6"/>
  <c r="EB80" i="6"/>
  <c r="DZ80" i="6"/>
  <c r="EB81" i="6"/>
  <c r="DZ81" i="6"/>
  <c r="G85" i="6"/>
  <c r="CG85" i="6"/>
  <c r="BG85" i="6"/>
  <c r="AG85" i="6"/>
  <c r="DG85" i="6"/>
  <c r="AD79" i="6"/>
  <c r="DC79" i="6"/>
  <c r="CX79" i="6"/>
  <c r="DD79" i="6" s="1"/>
  <c r="CD79" i="6"/>
  <c r="CN81" i="6"/>
  <c r="CQ81" i="6" s="1"/>
  <c r="CP81" i="6"/>
  <c r="CO81" i="6"/>
  <c r="CY81" i="6" s="1"/>
  <c r="CZ82" i="6"/>
  <c r="CQ80" i="6"/>
  <c r="DB80" i="6"/>
  <c r="CZ80" i="6"/>
  <c r="DB82" i="6"/>
  <c r="DB81" i="6"/>
  <c r="CZ81" i="6"/>
  <c r="BZ80" i="6"/>
  <c r="CB80" i="6"/>
  <c r="BY80" i="6"/>
  <c r="AX79" i="6"/>
  <c r="BD79" i="6" s="1"/>
  <c r="AD78" i="6"/>
  <c r="EG78" i="6" s="1"/>
  <c r="B86" i="6"/>
  <c r="BH85" i="6"/>
  <c r="BI85" i="6" s="1"/>
  <c r="CH85" i="6"/>
  <c r="CI85" i="6" s="1"/>
  <c r="H85" i="6"/>
  <c r="I85" i="6" s="1"/>
  <c r="AH85" i="6"/>
  <c r="AI85" i="6" s="1"/>
  <c r="C86" i="6"/>
  <c r="DH86" i="6" s="1"/>
  <c r="DI86" i="6" s="1"/>
  <c r="EA86" i="6" s="1"/>
  <c r="AR81" i="6"/>
  <c r="Q81" i="6"/>
  <c r="DR80" i="6"/>
  <c r="EC80" i="6" s="1"/>
  <c r="AB81" i="6"/>
  <c r="AC80" i="6"/>
  <c r="DR81" i="6"/>
  <c r="BQ80" i="6"/>
  <c r="CA80" i="6" s="1"/>
  <c r="BR80" i="6"/>
  <c r="CN82" i="6"/>
  <c r="CQ82" i="6" s="1"/>
  <c r="M82" i="6"/>
  <c r="N82" i="6" s="1"/>
  <c r="AZ80" i="6"/>
  <c r="BB80" i="6"/>
  <c r="AN82" i="6"/>
  <c r="AQ82" i="6" s="1"/>
  <c r="AW82" i="6"/>
  <c r="AZ82" i="6" s="1"/>
  <c r="AP82" i="6"/>
  <c r="AO82" i="6"/>
  <c r="AY82" i="6" s="1"/>
  <c r="AX80" i="6"/>
  <c r="BC80" i="6"/>
  <c r="AU83" i="6"/>
  <c r="AV83" i="6" s="1"/>
  <c r="AL83" i="6"/>
  <c r="AK83" i="6"/>
  <c r="U83" i="6"/>
  <c r="V83" i="6" s="1"/>
  <c r="L83" i="6"/>
  <c r="BS84" i="6"/>
  <c r="DK84" i="6"/>
  <c r="S84" i="6"/>
  <c r="AS84" i="6"/>
  <c r="CS84" i="6"/>
  <c r="K83" i="6"/>
  <c r="CU83" i="6"/>
  <c r="CV83" i="6" s="1"/>
  <c r="CL83" i="6"/>
  <c r="BU83" i="6"/>
  <c r="BV83" i="6" s="1"/>
  <c r="BL83" i="6"/>
  <c r="DU83" i="6"/>
  <c r="DV83" i="6" s="1"/>
  <c r="DL83" i="6"/>
  <c r="DK83" i="6"/>
  <c r="CK83" i="6"/>
  <c r="BO81" i="6"/>
  <c r="BN81" i="6"/>
  <c r="BP81" i="6"/>
  <c r="BW81" i="6"/>
  <c r="BK83" i="6"/>
  <c r="AZ81" i="6"/>
  <c r="CP82" i="6"/>
  <c r="CO82" i="6"/>
  <c r="CY82" i="6" s="1"/>
  <c r="DP82" i="6"/>
  <c r="DW82" i="6"/>
  <c r="DN82" i="6"/>
  <c r="DQ82" i="6" s="1"/>
  <c r="A85" i="6"/>
  <c r="EF85" i="6" s="1"/>
  <c r="BJ84" i="6"/>
  <c r="DJ84" i="6"/>
  <c r="J84" i="6"/>
  <c r="AJ84" i="6"/>
  <c r="CJ84" i="6"/>
  <c r="DC80" i="6" l="1"/>
  <c r="DA80" i="6"/>
  <c r="DC81" i="6"/>
  <c r="DA81" i="6"/>
  <c r="DA82" i="6"/>
  <c r="AT84" i="6"/>
  <c r="AX81" i="6"/>
  <c r="BD81" i="6" s="1"/>
  <c r="BA81" i="6"/>
  <c r="CT84" i="6"/>
  <c r="T84" i="6"/>
  <c r="BT84" i="6"/>
  <c r="BN82" i="6"/>
  <c r="BR82" i="6" s="1"/>
  <c r="BO82" i="6"/>
  <c r="BY82" i="6" s="1"/>
  <c r="BP82" i="6"/>
  <c r="CK84" i="6"/>
  <c r="P82" i="6"/>
  <c r="DX81" i="6"/>
  <c r="ED81" i="6" s="1"/>
  <c r="EC81" i="6"/>
  <c r="DX80" i="6"/>
  <c r="ED80" i="6" s="1"/>
  <c r="BX80" i="6"/>
  <c r="AD80" i="6"/>
  <c r="DS84" i="6"/>
  <c r="DT84" i="6" s="1"/>
  <c r="BM83" i="6"/>
  <c r="BN83" i="6" s="1"/>
  <c r="EB82" i="6"/>
  <c r="DZ82" i="6"/>
  <c r="CX81" i="6"/>
  <c r="G86" i="6"/>
  <c r="CG86" i="6"/>
  <c r="BG86" i="6"/>
  <c r="AG86" i="6"/>
  <c r="DG86" i="6"/>
  <c r="BD80" i="6"/>
  <c r="EG79" i="6"/>
  <c r="EH79" i="6" s="1"/>
  <c r="CR81" i="6"/>
  <c r="EH78" i="6"/>
  <c r="CM83" i="6"/>
  <c r="CO83" i="6" s="1"/>
  <c r="CY83" i="6" s="1"/>
  <c r="CX80" i="6"/>
  <c r="BC81" i="6"/>
  <c r="DC82" i="6"/>
  <c r="CX82" i="6"/>
  <c r="BY81" i="6"/>
  <c r="BZ81" i="6"/>
  <c r="CB81" i="6"/>
  <c r="CB82" i="6"/>
  <c r="BZ82" i="6"/>
  <c r="CC80" i="6"/>
  <c r="X81" i="6"/>
  <c r="AD81" i="6" s="1"/>
  <c r="B87" i="6"/>
  <c r="BH86" i="6"/>
  <c r="BI86" i="6" s="1"/>
  <c r="CH86" i="6"/>
  <c r="CI86" i="6" s="1"/>
  <c r="H86" i="6"/>
  <c r="I86" i="6" s="1"/>
  <c r="AH86" i="6"/>
  <c r="AI86" i="6" s="1"/>
  <c r="C87" i="6"/>
  <c r="DH87" i="6" s="1"/>
  <c r="DI87" i="6" s="1"/>
  <c r="EA87" i="6" s="1"/>
  <c r="AC81" i="6"/>
  <c r="BB82" i="6"/>
  <c r="CR82" i="6"/>
  <c r="AR82" i="6"/>
  <c r="BA82" i="6" s="1"/>
  <c r="W82" i="6"/>
  <c r="Q82" i="6"/>
  <c r="R82" i="6"/>
  <c r="O82" i="6"/>
  <c r="Y82" i="6" s="1"/>
  <c r="DM83" i="6"/>
  <c r="DO83" i="6" s="1"/>
  <c r="DY83" i="6" s="1"/>
  <c r="M83" i="6"/>
  <c r="P83" i="6" s="1"/>
  <c r="AM83" i="6"/>
  <c r="AN83" i="6" s="1"/>
  <c r="BR81" i="6"/>
  <c r="BQ81" i="6"/>
  <c r="CA81" i="6" s="1"/>
  <c r="AU84" i="6"/>
  <c r="AV84" i="6" s="1"/>
  <c r="AL84" i="6"/>
  <c r="AK84" i="6"/>
  <c r="DU84" i="6"/>
  <c r="DV84" i="6" s="1"/>
  <c r="DL84" i="6"/>
  <c r="DM84" i="6" s="1"/>
  <c r="DN84" i="6" s="1"/>
  <c r="K85" i="6"/>
  <c r="CK85" i="6"/>
  <c r="DK85" i="6"/>
  <c r="BK85" i="6"/>
  <c r="AS85" i="6"/>
  <c r="CU84" i="6"/>
  <c r="CV84" i="6" s="1"/>
  <c r="CL84" i="6"/>
  <c r="U84" i="6"/>
  <c r="V84" i="6" s="1"/>
  <c r="L84" i="6"/>
  <c r="K84" i="6"/>
  <c r="BU84" i="6"/>
  <c r="BV84" i="6" s="1"/>
  <c r="BK84" i="6"/>
  <c r="BL84" i="6"/>
  <c r="DR82" i="6"/>
  <c r="A86" i="6"/>
  <c r="EF86" i="6" s="1"/>
  <c r="AJ85" i="6"/>
  <c r="CJ85" i="6"/>
  <c r="DJ85" i="6"/>
  <c r="J85" i="6"/>
  <c r="BJ85" i="6"/>
  <c r="BQ82" i="6" l="1"/>
  <c r="CA82" i="6" s="1"/>
  <c r="AA82" i="6"/>
  <c r="AT85" i="6"/>
  <c r="CM84" i="6"/>
  <c r="CO84" i="6" s="1"/>
  <c r="CY84" i="6" s="1"/>
  <c r="EC82" i="6"/>
  <c r="DX82" i="6"/>
  <c r="ED82" i="6" s="1"/>
  <c r="CD80" i="6"/>
  <c r="BP83" i="6"/>
  <c r="BO83" i="6"/>
  <c r="BY83" i="6" s="1"/>
  <c r="BW83" i="6"/>
  <c r="CB83" i="6" s="1"/>
  <c r="DD81" i="6"/>
  <c r="DD82" i="6"/>
  <c r="G87" i="6"/>
  <c r="CG87" i="6"/>
  <c r="BG87" i="6"/>
  <c r="AG87" i="6"/>
  <c r="DG87" i="6"/>
  <c r="DD80" i="6"/>
  <c r="CP83" i="6"/>
  <c r="O83" i="6"/>
  <c r="Y83" i="6" s="1"/>
  <c r="BC82" i="6"/>
  <c r="CW83" i="6"/>
  <c r="DB83" i="6" s="1"/>
  <c r="CN83" i="6"/>
  <c r="CQ83" i="6" s="1"/>
  <c r="AX82" i="6"/>
  <c r="BD82" i="6" s="1"/>
  <c r="AC82" i="6"/>
  <c r="CC81" i="6"/>
  <c r="BX81" i="6"/>
  <c r="CD81" i="6" s="1"/>
  <c r="B88" i="6"/>
  <c r="BH87" i="6"/>
  <c r="BI87" i="6" s="1"/>
  <c r="CH87" i="6"/>
  <c r="CI87" i="6" s="1"/>
  <c r="H87" i="6"/>
  <c r="I87" i="6" s="1"/>
  <c r="AH87" i="6"/>
  <c r="AI87" i="6" s="1"/>
  <c r="CS85" i="6"/>
  <c r="C88" i="6"/>
  <c r="DH88" i="6" s="1"/>
  <c r="DI88" i="6" s="1"/>
  <c r="EA88" i="6" s="1"/>
  <c r="X82" i="6"/>
  <c r="W83" i="6"/>
  <c r="Z83" i="6" s="1"/>
  <c r="AB82" i="6"/>
  <c r="Z82" i="6"/>
  <c r="AO83" i="6"/>
  <c r="AY83" i="6" s="1"/>
  <c r="N83" i="6"/>
  <c r="DS85" i="6"/>
  <c r="DT85" i="6" s="1"/>
  <c r="DP83" i="6"/>
  <c r="AK85" i="6"/>
  <c r="AP83" i="6"/>
  <c r="DN83" i="6"/>
  <c r="AR83" i="6"/>
  <c r="BA83" i="6" s="1"/>
  <c r="AQ83" i="6"/>
  <c r="DW84" i="6"/>
  <c r="S85" i="6"/>
  <c r="AM84" i="6"/>
  <c r="AO84" i="6" s="1"/>
  <c r="AY84" i="6" s="1"/>
  <c r="AW83" i="6"/>
  <c r="DW83" i="6"/>
  <c r="BS85" i="6"/>
  <c r="BM84" i="6"/>
  <c r="BW84" i="6" s="1"/>
  <c r="M84" i="6"/>
  <c r="AU85" i="6"/>
  <c r="AV85" i="6" s="1"/>
  <c r="AL85" i="6"/>
  <c r="DU85" i="6"/>
  <c r="DV85" i="6" s="1"/>
  <c r="DL85" i="6"/>
  <c r="DM85" i="6" s="1"/>
  <c r="DN85" i="6" s="1"/>
  <c r="DR85" i="6" s="1"/>
  <c r="U85" i="6"/>
  <c r="V85" i="6" s="1"/>
  <c r="L85" i="6"/>
  <c r="M85" i="6" s="1"/>
  <c r="N85" i="6" s="1"/>
  <c r="Q85" i="6" s="1"/>
  <c r="BU85" i="6"/>
  <c r="BV85" i="6" s="1"/>
  <c r="BL85" i="6"/>
  <c r="BM85" i="6" s="1"/>
  <c r="BP85" i="6" s="1"/>
  <c r="CU85" i="6"/>
  <c r="CV85" i="6" s="1"/>
  <c r="CL85" i="6"/>
  <c r="CM85" i="6" s="1"/>
  <c r="DS86" i="6"/>
  <c r="DT86" i="6" s="1"/>
  <c r="CS86" i="6"/>
  <c r="S86" i="6"/>
  <c r="AS86" i="6"/>
  <c r="BS86" i="6"/>
  <c r="BR83" i="6"/>
  <c r="BQ83" i="6"/>
  <c r="DO84" i="6"/>
  <c r="DY84" i="6" s="1"/>
  <c r="DP84" i="6"/>
  <c r="A87" i="6"/>
  <c r="EF87" i="6" s="1"/>
  <c r="J86" i="6"/>
  <c r="DJ86" i="6"/>
  <c r="BJ86" i="6"/>
  <c r="CJ86" i="6"/>
  <c r="AJ86" i="6"/>
  <c r="DQ84" i="6"/>
  <c r="DR84" i="6"/>
  <c r="CN84" i="6" l="1"/>
  <c r="CR84" i="6" s="1"/>
  <c r="BX82" i="6"/>
  <c r="CD82" i="6" s="1"/>
  <c r="CC82" i="6"/>
  <c r="DA83" i="6"/>
  <c r="BT85" i="6"/>
  <c r="CT85" i="6"/>
  <c r="BT86" i="6"/>
  <c r="T86" i="6"/>
  <c r="CT86" i="6"/>
  <c r="CA83" i="6"/>
  <c r="T85" i="6"/>
  <c r="AT86" i="6"/>
  <c r="CW84" i="6"/>
  <c r="CZ84" i="6" s="1"/>
  <c r="CP84" i="6"/>
  <c r="BZ83" i="6"/>
  <c r="AM85" i="6"/>
  <c r="AP85" i="6" s="1"/>
  <c r="EG80" i="6"/>
  <c r="EH80" i="6" s="1"/>
  <c r="EG81" i="6"/>
  <c r="EH81" i="6" s="1"/>
  <c r="EC84" i="6"/>
  <c r="EB83" i="6"/>
  <c r="DZ83" i="6"/>
  <c r="EB84" i="6"/>
  <c r="DZ84" i="6"/>
  <c r="DX84" i="6"/>
  <c r="ED84" i="6" s="1"/>
  <c r="G88" i="6"/>
  <c r="CG88" i="6"/>
  <c r="BG88" i="6"/>
  <c r="AG88" i="6"/>
  <c r="DG88" i="6"/>
  <c r="CZ83" i="6"/>
  <c r="CR83" i="6"/>
  <c r="CX83" i="6"/>
  <c r="DC83" i="6"/>
  <c r="CC83" i="6"/>
  <c r="BC83" i="6"/>
  <c r="CB84" i="6"/>
  <c r="BZ84" i="6"/>
  <c r="BX83" i="6"/>
  <c r="AD82" i="6"/>
  <c r="B89" i="6"/>
  <c r="BH88" i="6"/>
  <c r="BI88" i="6" s="1"/>
  <c r="CH88" i="6"/>
  <c r="CI88" i="6" s="1"/>
  <c r="H88" i="6"/>
  <c r="I88" i="6" s="1"/>
  <c r="AH88" i="6"/>
  <c r="AI88" i="6" s="1"/>
  <c r="C89" i="6"/>
  <c r="DH89" i="6" s="1"/>
  <c r="DI89" i="6" s="1"/>
  <c r="EA89" i="6" s="1"/>
  <c r="CQ84" i="6"/>
  <c r="AB83" i="6"/>
  <c r="DO85" i="6"/>
  <c r="DY85" i="6" s="1"/>
  <c r="DW85" i="6"/>
  <c r="BP84" i="6"/>
  <c r="AX83" i="6"/>
  <c r="DP85" i="6"/>
  <c r="AW84" i="6"/>
  <c r="Q83" i="6"/>
  <c r="R83" i="6"/>
  <c r="AA83" i="6" s="1"/>
  <c r="BN84" i="6"/>
  <c r="AN84" i="6"/>
  <c r="DQ83" i="6"/>
  <c r="DR83" i="6"/>
  <c r="BO84" i="6"/>
  <c r="AP84" i="6"/>
  <c r="AZ83" i="6"/>
  <c r="BB83" i="6"/>
  <c r="CO85" i="6"/>
  <c r="CY85" i="6" s="1"/>
  <c r="CN85" i="6"/>
  <c r="CQ85" i="6" s="1"/>
  <c r="CP85" i="6"/>
  <c r="CW85" i="6"/>
  <c r="AU86" i="6"/>
  <c r="AV86" i="6" s="1"/>
  <c r="AL86" i="6"/>
  <c r="AK86" i="6"/>
  <c r="CU86" i="6"/>
  <c r="CV86" i="6" s="1"/>
  <c r="CL86" i="6"/>
  <c r="CK86" i="6"/>
  <c r="BS87" i="6"/>
  <c r="DS87" i="6"/>
  <c r="DT87" i="6" s="1"/>
  <c r="S87" i="6"/>
  <c r="AS87" i="6"/>
  <c r="CK87" i="6"/>
  <c r="BU86" i="6"/>
  <c r="BV86" i="6" s="1"/>
  <c r="BK86" i="6"/>
  <c r="BL86" i="6"/>
  <c r="U86" i="6"/>
  <c r="V86" i="6" s="1"/>
  <c r="L86" i="6"/>
  <c r="K86" i="6"/>
  <c r="DU86" i="6"/>
  <c r="DV86" i="6" s="1"/>
  <c r="DK86" i="6"/>
  <c r="DL86" i="6"/>
  <c r="P84" i="6"/>
  <c r="W84" i="6"/>
  <c r="O84" i="6"/>
  <c r="Y84" i="6" s="1"/>
  <c r="N84" i="6"/>
  <c r="BO85" i="6"/>
  <c r="BY85" i="6" s="1"/>
  <c r="BN85" i="6"/>
  <c r="BQ85" i="6" s="1"/>
  <c r="BW85" i="6"/>
  <c r="P85" i="6"/>
  <c r="W85" i="6"/>
  <c r="Z85" i="6" s="1"/>
  <c r="O85" i="6"/>
  <c r="Y85" i="6" s="1"/>
  <c r="R85" i="6"/>
  <c r="AC85" i="6" s="1"/>
  <c r="DQ85" i="6"/>
  <c r="A88" i="6"/>
  <c r="EF88" i="6" s="1"/>
  <c r="CJ87" i="6"/>
  <c r="J87" i="6"/>
  <c r="DJ87" i="6"/>
  <c r="BJ87" i="6"/>
  <c r="AJ87" i="6"/>
  <c r="CA85" i="6" l="1"/>
  <c r="DA85" i="6"/>
  <c r="AT87" i="6"/>
  <c r="T87" i="6"/>
  <c r="CX84" i="6"/>
  <c r="DA84" i="6"/>
  <c r="DB84" i="6"/>
  <c r="BT87" i="6"/>
  <c r="AA85" i="6"/>
  <c r="AN85" i="6"/>
  <c r="AQ85" i="6" s="1"/>
  <c r="AO85" i="6"/>
  <c r="AY85" i="6" s="1"/>
  <c r="AW85" i="6"/>
  <c r="AZ85" i="6" s="1"/>
  <c r="EG82" i="6"/>
  <c r="EH82" i="6" s="1"/>
  <c r="EC85" i="6"/>
  <c r="DZ85" i="6"/>
  <c r="EB85" i="6"/>
  <c r="EC83" i="6"/>
  <c r="DX83" i="6"/>
  <c r="ED83" i="6" s="1"/>
  <c r="DX85" i="6"/>
  <c r="ED85" i="6" s="1"/>
  <c r="CD83" i="6"/>
  <c r="G89" i="6"/>
  <c r="CG89" i="6"/>
  <c r="AG89" i="6"/>
  <c r="BG89" i="6"/>
  <c r="DG89" i="6"/>
  <c r="DD83" i="6"/>
  <c r="BD83" i="6"/>
  <c r="DB85" i="6"/>
  <c r="CZ85" i="6"/>
  <c r="DC85" i="6"/>
  <c r="DC84" i="6"/>
  <c r="CX85" i="6"/>
  <c r="BZ85" i="6"/>
  <c r="CB85" i="6"/>
  <c r="BY84" i="6"/>
  <c r="B90" i="6"/>
  <c r="BH89" i="6"/>
  <c r="BI89" i="6" s="1"/>
  <c r="CH89" i="6"/>
  <c r="CI89" i="6" s="1"/>
  <c r="H89" i="6"/>
  <c r="I89" i="6" s="1"/>
  <c r="AH89" i="6"/>
  <c r="AI89" i="6" s="1"/>
  <c r="C90" i="6"/>
  <c r="DH90" i="6" s="1"/>
  <c r="DI90" i="6" s="1"/>
  <c r="EA90" i="6" s="1"/>
  <c r="CS87" i="6"/>
  <c r="CR85" i="6"/>
  <c r="BB84" i="6"/>
  <c r="AZ84" i="6"/>
  <c r="AC83" i="6"/>
  <c r="X83" i="6"/>
  <c r="DM86" i="6"/>
  <c r="DO86" i="6" s="1"/>
  <c r="DY86" i="6" s="1"/>
  <c r="M86" i="6"/>
  <c r="P86" i="6" s="1"/>
  <c r="CM86" i="6"/>
  <c r="CW86" i="6" s="1"/>
  <c r="AR84" i="6"/>
  <c r="BA84" i="6" s="1"/>
  <c r="AQ84" i="6"/>
  <c r="BR84" i="6"/>
  <c r="BQ84" i="6"/>
  <c r="CA84" i="6" s="1"/>
  <c r="Z84" i="6"/>
  <c r="AB84" i="6"/>
  <c r="BM86" i="6"/>
  <c r="BW86" i="6" s="1"/>
  <c r="AM86" i="6"/>
  <c r="AP86" i="6" s="1"/>
  <c r="R84" i="6"/>
  <c r="AA84" i="6" s="1"/>
  <c r="Q84" i="6"/>
  <c r="CU87" i="6"/>
  <c r="CV87" i="6" s="1"/>
  <c r="CL87" i="6"/>
  <c r="CM87" i="6" s="1"/>
  <c r="U87" i="6"/>
  <c r="V87" i="6" s="1"/>
  <c r="K87" i="6"/>
  <c r="L87" i="6"/>
  <c r="BU87" i="6"/>
  <c r="BV87" i="6" s="1"/>
  <c r="BK87" i="6"/>
  <c r="BL87" i="6"/>
  <c r="AU87" i="6"/>
  <c r="AV87" i="6" s="1"/>
  <c r="AL87" i="6"/>
  <c r="DU87" i="6"/>
  <c r="DV87" i="6" s="1"/>
  <c r="DL87" i="6"/>
  <c r="DK87" i="6"/>
  <c r="AK88" i="6"/>
  <c r="DK88" i="6"/>
  <c r="BS88" i="6"/>
  <c r="S88" i="6"/>
  <c r="CS88" i="6"/>
  <c r="AK87" i="6"/>
  <c r="BR85" i="6"/>
  <c r="AB85" i="6"/>
  <c r="X85" i="6"/>
  <c r="A89" i="6"/>
  <c r="EF89" i="6" s="1"/>
  <c r="DJ88" i="6"/>
  <c r="J88" i="6"/>
  <c r="AJ88" i="6"/>
  <c r="BJ88" i="6"/>
  <c r="CJ88" i="6"/>
  <c r="CT87" i="6" l="1"/>
  <c r="CT88" i="6"/>
  <c r="T88" i="6"/>
  <c r="BT88" i="6"/>
  <c r="BB85" i="6"/>
  <c r="AR85" i="6"/>
  <c r="BX84" i="6"/>
  <c r="BX85" i="6"/>
  <c r="CD85" i="6" s="1"/>
  <c r="CC85" i="6"/>
  <c r="DD84" i="6"/>
  <c r="G90" i="6"/>
  <c r="CG90" i="6"/>
  <c r="AG90" i="6"/>
  <c r="BG90" i="6"/>
  <c r="DG90" i="6"/>
  <c r="AD85" i="6"/>
  <c r="DD85" i="6"/>
  <c r="CZ86" i="6"/>
  <c r="DB86" i="6"/>
  <c r="BZ86" i="6"/>
  <c r="CB86" i="6"/>
  <c r="CC84" i="6"/>
  <c r="AD83" i="6"/>
  <c r="EG83" i="6" s="1"/>
  <c r="B91" i="6"/>
  <c r="BH90" i="6"/>
  <c r="BI90" i="6" s="1"/>
  <c r="CH90" i="6"/>
  <c r="CI90" i="6" s="1"/>
  <c r="H90" i="6"/>
  <c r="I90" i="6" s="1"/>
  <c r="AH90" i="6"/>
  <c r="AI90" i="6" s="1"/>
  <c r="C91" i="6"/>
  <c r="DH91" i="6" s="1"/>
  <c r="DI91" i="6" s="1"/>
  <c r="EA91" i="6" s="1"/>
  <c r="CP86" i="6"/>
  <c r="CO86" i="6"/>
  <c r="DN86" i="6"/>
  <c r="DR86" i="6" s="1"/>
  <c r="O86" i="6"/>
  <c r="Y86" i="6" s="1"/>
  <c r="AW86" i="6"/>
  <c r="BB86" i="6" s="1"/>
  <c r="N86" i="6"/>
  <c r="Q86" i="6" s="1"/>
  <c r="BO86" i="6"/>
  <c r="W86" i="6"/>
  <c r="CN86" i="6"/>
  <c r="AN86" i="6"/>
  <c r="DW86" i="6"/>
  <c r="AO86" i="6"/>
  <c r="DP86" i="6"/>
  <c r="AS88" i="6"/>
  <c r="CK88" i="6"/>
  <c r="AX84" i="6"/>
  <c r="BC84" i="6"/>
  <c r="AM87" i="6"/>
  <c r="AP87" i="6" s="1"/>
  <c r="DM87" i="6"/>
  <c r="DN87" i="6" s="1"/>
  <c r="BM87" i="6"/>
  <c r="BP87" i="6" s="1"/>
  <c r="M87" i="6"/>
  <c r="BP86" i="6"/>
  <c r="CP87" i="6"/>
  <c r="CO87" i="6"/>
  <c r="CY87" i="6" s="1"/>
  <c r="CW87" i="6"/>
  <c r="CN87" i="6"/>
  <c r="CQ87" i="6" s="1"/>
  <c r="DS88" i="6"/>
  <c r="DT88" i="6" s="1"/>
  <c r="AC84" i="6"/>
  <c r="BN86" i="6"/>
  <c r="CU88" i="6"/>
  <c r="CV88" i="6" s="1"/>
  <c r="CL88" i="6"/>
  <c r="BU88" i="6"/>
  <c r="BV88" i="6" s="1"/>
  <c r="BL88" i="6"/>
  <c r="AU88" i="6"/>
  <c r="AV88" i="6" s="1"/>
  <c r="AL88" i="6"/>
  <c r="AM88" i="6" s="1"/>
  <c r="BK88" i="6"/>
  <c r="X84" i="6"/>
  <c r="AD84" i="6" s="1"/>
  <c r="U88" i="6"/>
  <c r="V88" i="6" s="1"/>
  <c r="L88" i="6"/>
  <c r="DU88" i="6"/>
  <c r="DV88" i="6" s="1"/>
  <c r="DL88" i="6"/>
  <c r="DM88" i="6" s="1"/>
  <c r="DK89" i="6"/>
  <c r="CK89" i="6"/>
  <c r="S89" i="6"/>
  <c r="AK89" i="6"/>
  <c r="BS89" i="6"/>
  <c r="K88" i="6"/>
  <c r="A90" i="6"/>
  <c r="EF90" i="6" s="1"/>
  <c r="CJ89" i="6"/>
  <c r="J89" i="6"/>
  <c r="AJ89" i="6"/>
  <c r="DJ89" i="6"/>
  <c r="BJ89" i="6"/>
  <c r="DA87" i="6" l="1"/>
  <c r="BC85" i="6"/>
  <c r="BA85" i="6"/>
  <c r="BT89" i="6"/>
  <c r="T89" i="6"/>
  <c r="AT88" i="6"/>
  <c r="AX85" i="6"/>
  <c r="BD85" i="6" s="1"/>
  <c r="EG85" i="6" s="1"/>
  <c r="EH85" i="6" s="1"/>
  <c r="BK89" i="6"/>
  <c r="CD84" i="6"/>
  <c r="EB86" i="6"/>
  <c r="DZ86" i="6"/>
  <c r="G91" i="6"/>
  <c r="CG91" i="6"/>
  <c r="BG91" i="6"/>
  <c r="AG91" i="6"/>
  <c r="DG91" i="6"/>
  <c r="BD84" i="6"/>
  <c r="EH83" i="6"/>
  <c r="DC87" i="6"/>
  <c r="CZ87" i="6"/>
  <c r="DB87" i="6"/>
  <c r="CY86" i="6"/>
  <c r="CX87" i="6"/>
  <c r="BY86" i="6"/>
  <c r="B92" i="6"/>
  <c r="BH91" i="6"/>
  <c r="BI91" i="6" s="1"/>
  <c r="CH91" i="6"/>
  <c r="CI91" i="6" s="1"/>
  <c r="H91" i="6"/>
  <c r="I91" i="6" s="1"/>
  <c r="AH91" i="6"/>
  <c r="AI91" i="6" s="1"/>
  <c r="K89" i="6"/>
  <c r="AS89" i="6"/>
  <c r="CM88" i="6"/>
  <c r="CP88" i="6" s="1"/>
  <c r="DS89" i="6"/>
  <c r="DT89" i="6" s="1"/>
  <c r="M88" i="6"/>
  <c r="P88" i="6" s="1"/>
  <c r="C92" i="6"/>
  <c r="DH92" i="6" s="1"/>
  <c r="DI92" i="6" s="1"/>
  <c r="EA92" i="6" s="1"/>
  <c r="CR87" i="6"/>
  <c r="AZ86" i="6"/>
  <c r="DP87" i="6"/>
  <c r="DQ86" i="6"/>
  <c r="DW87" i="6"/>
  <c r="R86" i="6"/>
  <c r="BO87" i="6"/>
  <c r="BW87" i="6"/>
  <c r="AO87" i="6"/>
  <c r="AY87" i="6" s="1"/>
  <c r="BN87" i="6"/>
  <c r="BR87" i="6" s="1"/>
  <c r="AW87" i="6"/>
  <c r="AB86" i="6"/>
  <c r="Z86" i="6"/>
  <c r="CR86" i="6"/>
  <c r="CQ86" i="6"/>
  <c r="DA86" i="6" s="1"/>
  <c r="AQ86" i="6"/>
  <c r="AR86" i="6"/>
  <c r="BA86" i="6" s="1"/>
  <c r="DQ87" i="6"/>
  <c r="DR87" i="6"/>
  <c r="DO87" i="6"/>
  <c r="AY86" i="6"/>
  <c r="AN87" i="6"/>
  <c r="N87" i="6"/>
  <c r="O87" i="6"/>
  <c r="W87" i="6"/>
  <c r="P87" i="6"/>
  <c r="CS89" i="6"/>
  <c r="BM88" i="6"/>
  <c r="BP88" i="6" s="1"/>
  <c r="BR86" i="6"/>
  <c r="BQ86" i="6"/>
  <c r="CA86" i="6" s="1"/>
  <c r="DP88" i="6"/>
  <c r="DW88" i="6"/>
  <c r="DO88" i="6"/>
  <c r="DY88" i="6" s="1"/>
  <c r="DN88" i="6"/>
  <c r="DQ88" i="6" s="1"/>
  <c r="AP88" i="6"/>
  <c r="AO88" i="6"/>
  <c r="AY88" i="6" s="1"/>
  <c r="AW88" i="6"/>
  <c r="AZ88" i="6" s="1"/>
  <c r="AN88" i="6"/>
  <c r="AR88" i="6" s="1"/>
  <c r="BU89" i="6"/>
  <c r="BV89" i="6" s="1"/>
  <c r="BL89" i="6"/>
  <c r="U89" i="6"/>
  <c r="V89" i="6" s="1"/>
  <c r="L89" i="6"/>
  <c r="DU89" i="6"/>
  <c r="DV89" i="6" s="1"/>
  <c r="DL89" i="6"/>
  <c r="DM89" i="6" s="1"/>
  <c r="AU89" i="6"/>
  <c r="AV89" i="6" s="1"/>
  <c r="AL89" i="6"/>
  <c r="AM89" i="6" s="1"/>
  <c r="AO89" i="6" s="1"/>
  <c r="CU89" i="6"/>
  <c r="CV89" i="6" s="1"/>
  <c r="CL89" i="6"/>
  <c r="CM89" i="6" s="1"/>
  <c r="CW89" i="6" s="1"/>
  <c r="S90" i="6"/>
  <c r="CS90" i="6"/>
  <c r="DK90" i="6"/>
  <c r="BS90" i="6"/>
  <c r="AK90" i="6"/>
  <c r="A91" i="6"/>
  <c r="EF91" i="6" s="1"/>
  <c r="J90" i="6"/>
  <c r="BJ90" i="6"/>
  <c r="CJ90" i="6"/>
  <c r="DJ90" i="6"/>
  <c r="AJ90" i="6"/>
  <c r="BA88" i="6" l="1"/>
  <c r="X86" i="6"/>
  <c r="AA86" i="6"/>
  <c r="AT89" i="6"/>
  <c r="BM89" i="6"/>
  <c r="BP89" i="6" s="1"/>
  <c r="BT90" i="6"/>
  <c r="CT89" i="6"/>
  <c r="CT90" i="6"/>
  <c r="T90" i="6"/>
  <c r="EG84" i="6"/>
  <c r="EH84" i="6" s="1"/>
  <c r="EC86" i="6"/>
  <c r="DX86" i="6"/>
  <c r="ED86" i="6" s="1"/>
  <c r="EB88" i="6"/>
  <c r="DZ88" i="6"/>
  <c r="DY87" i="6"/>
  <c r="DX87" i="6"/>
  <c r="ED87" i="6" s="1"/>
  <c r="EC87" i="6"/>
  <c r="EB87" i="6"/>
  <c r="DZ87" i="6"/>
  <c r="G92" i="6"/>
  <c r="CG92" i="6"/>
  <c r="BG92" i="6"/>
  <c r="AG92" i="6"/>
  <c r="DG92" i="6"/>
  <c r="DD87" i="6"/>
  <c r="DB89" i="6"/>
  <c r="CZ89" i="6"/>
  <c r="DC86" i="6"/>
  <c r="CX86" i="6"/>
  <c r="CC86" i="6"/>
  <c r="BY87" i="6"/>
  <c r="CB87" i="6"/>
  <c r="BZ87" i="6"/>
  <c r="BX86" i="6"/>
  <c r="CD86" i="6" s="1"/>
  <c r="BC86" i="6"/>
  <c r="AC86" i="6"/>
  <c r="AD86" i="6" s="1"/>
  <c r="W88" i="6"/>
  <c r="Z88" i="6" s="1"/>
  <c r="CW88" i="6"/>
  <c r="B93" i="6"/>
  <c r="BH92" i="6"/>
  <c r="BI92" i="6" s="1"/>
  <c r="CH92" i="6"/>
  <c r="CI92" i="6" s="1"/>
  <c r="H92" i="6"/>
  <c r="I92" i="6" s="1"/>
  <c r="AH92" i="6"/>
  <c r="AI92" i="6" s="1"/>
  <c r="M89" i="6"/>
  <c r="W89" i="6" s="1"/>
  <c r="AB89" i="6" s="1"/>
  <c r="CN88" i="6"/>
  <c r="CR88" i="6" s="1"/>
  <c r="CO88" i="6"/>
  <c r="N88" i="6"/>
  <c r="R88" i="6" s="1"/>
  <c r="O88" i="6"/>
  <c r="Y88" i="6" s="1"/>
  <c r="C93" i="6"/>
  <c r="DH93" i="6" s="1"/>
  <c r="DI93" i="6" s="1"/>
  <c r="EA93" i="6" s="1"/>
  <c r="BQ87" i="6"/>
  <c r="CA87" i="6" s="1"/>
  <c r="BB88" i="6"/>
  <c r="AQ88" i="6"/>
  <c r="BO88" i="6"/>
  <c r="BB87" i="6"/>
  <c r="AZ87" i="6"/>
  <c r="DR88" i="6"/>
  <c r="EC88" i="6" s="1"/>
  <c r="BW88" i="6"/>
  <c r="AX86" i="6"/>
  <c r="AS90" i="6"/>
  <c r="DS90" i="6"/>
  <c r="DT90" i="6" s="1"/>
  <c r="AB87" i="6"/>
  <c r="Z87" i="6"/>
  <c r="R87" i="6"/>
  <c r="AA87" i="6" s="1"/>
  <c r="Q87" i="6"/>
  <c r="AN89" i="6"/>
  <c r="AR89" i="6" s="1"/>
  <c r="BN88" i="6"/>
  <c r="Y87" i="6"/>
  <c r="AR87" i="6"/>
  <c r="BA87" i="6" s="1"/>
  <c r="AQ87" i="6"/>
  <c r="AY89" i="6"/>
  <c r="DP89" i="6"/>
  <c r="DN89" i="6"/>
  <c r="DR89" i="6" s="1"/>
  <c r="DW89" i="6"/>
  <c r="DO89" i="6"/>
  <c r="DY89" i="6" s="1"/>
  <c r="BU90" i="6"/>
  <c r="BV90" i="6" s="1"/>
  <c r="BL90" i="6"/>
  <c r="CU90" i="6"/>
  <c r="CV90" i="6" s="1"/>
  <c r="CL90" i="6"/>
  <c r="CK90" i="6"/>
  <c r="S91" i="6"/>
  <c r="AS91" i="6"/>
  <c r="BS91" i="6"/>
  <c r="DS91" i="6"/>
  <c r="DT91" i="6" s="1"/>
  <c r="CS91" i="6"/>
  <c r="BK90" i="6"/>
  <c r="AU90" i="6"/>
  <c r="AV90" i="6" s="1"/>
  <c r="AL90" i="6"/>
  <c r="AM90" i="6" s="1"/>
  <c r="AW90" i="6" s="1"/>
  <c r="DU90" i="6"/>
  <c r="DV90" i="6" s="1"/>
  <c r="DL90" i="6"/>
  <c r="DM90" i="6" s="1"/>
  <c r="DO90" i="6" s="1"/>
  <c r="U90" i="6"/>
  <c r="V90" i="6" s="1"/>
  <c r="K90" i="6"/>
  <c r="L90" i="6"/>
  <c r="AW89" i="6"/>
  <c r="BB89" i="6" s="1"/>
  <c r="AP89" i="6"/>
  <c r="CO89" i="6"/>
  <c r="CY89" i="6" s="1"/>
  <c r="CN89" i="6"/>
  <c r="CR89" i="6" s="1"/>
  <c r="CP89" i="6"/>
  <c r="A92" i="6"/>
  <c r="EF92" i="6" s="1"/>
  <c r="AJ91" i="6"/>
  <c r="BJ91" i="6"/>
  <c r="DJ91" i="6"/>
  <c r="J91" i="6"/>
  <c r="CJ91" i="6"/>
  <c r="BW89" i="6" l="1"/>
  <c r="CB89" i="6" s="1"/>
  <c r="BO89" i="6"/>
  <c r="BY89" i="6" s="1"/>
  <c r="BN89" i="6"/>
  <c r="BR89" i="6" s="1"/>
  <c r="BA89" i="6"/>
  <c r="T91" i="6"/>
  <c r="AT90" i="6"/>
  <c r="AA88" i="6"/>
  <c r="BT91" i="6"/>
  <c r="CT91" i="6"/>
  <c r="AT91" i="6"/>
  <c r="Z89" i="6"/>
  <c r="DX88" i="6"/>
  <c r="ED88" i="6" s="1"/>
  <c r="DY90" i="6"/>
  <c r="EB89" i="6"/>
  <c r="DZ89" i="6"/>
  <c r="DD86" i="6"/>
  <c r="G93" i="6"/>
  <c r="CG93" i="6"/>
  <c r="BG93" i="6"/>
  <c r="AG93" i="6"/>
  <c r="DG93" i="6"/>
  <c r="AB88" i="6"/>
  <c r="X87" i="6"/>
  <c r="CY88" i="6"/>
  <c r="DB88" i="6"/>
  <c r="CZ88" i="6"/>
  <c r="BZ88" i="6"/>
  <c r="CB88" i="6"/>
  <c r="BY88" i="6"/>
  <c r="CC87" i="6"/>
  <c r="BX87" i="6"/>
  <c r="BD86" i="6"/>
  <c r="O89" i="6"/>
  <c r="Y89" i="6" s="1"/>
  <c r="P89" i="6"/>
  <c r="B94" i="6"/>
  <c r="Q88" i="6"/>
  <c r="AC88" i="6" s="1"/>
  <c r="BH93" i="6"/>
  <c r="BI93" i="6" s="1"/>
  <c r="CH93" i="6"/>
  <c r="CI93" i="6" s="1"/>
  <c r="H93" i="6"/>
  <c r="I93" i="6" s="1"/>
  <c r="AH93" i="6"/>
  <c r="AI93" i="6" s="1"/>
  <c r="N89" i="6"/>
  <c r="R89" i="6" s="1"/>
  <c r="CQ88" i="6"/>
  <c r="DA88" i="6" s="1"/>
  <c r="BC88" i="6"/>
  <c r="AZ90" i="6"/>
  <c r="C94" i="6"/>
  <c r="DH94" i="6" s="1"/>
  <c r="DI94" i="6" s="1"/>
  <c r="EA94" i="6" s="1"/>
  <c r="BQ89" i="6"/>
  <c r="DQ89" i="6"/>
  <c r="AX88" i="6"/>
  <c r="DW90" i="6"/>
  <c r="AQ89" i="6"/>
  <c r="AX89" i="6" s="1"/>
  <c r="AZ89" i="6"/>
  <c r="AC87" i="6"/>
  <c r="AX87" i="6"/>
  <c r="BC87" i="6"/>
  <c r="BQ88" i="6"/>
  <c r="CA88" i="6" s="1"/>
  <c r="BR88" i="6"/>
  <c r="M90" i="6"/>
  <c r="W90" i="6" s="1"/>
  <c r="BB90" i="6"/>
  <c r="BM90" i="6"/>
  <c r="BW90" i="6" s="1"/>
  <c r="CM90" i="6"/>
  <c r="CP90" i="6" s="1"/>
  <c r="CU91" i="6"/>
  <c r="CV91" i="6" s="1"/>
  <c r="CK91" i="6"/>
  <c r="CL91" i="6"/>
  <c r="BU91" i="6"/>
  <c r="BV91" i="6" s="1"/>
  <c r="BL91" i="6"/>
  <c r="BK91" i="6"/>
  <c r="U91" i="6"/>
  <c r="V91" i="6" s="1"/>
  <c r="L91" i="6"/>
  <c r="K91" i="6"/>
  <c r="DU91" i="6"/>
  <c r="DV91" i="6" s="1"/>
  <c r="DL91" i="6"/>
  <c r="DK91" i="6"/>
  <c r="AU91" i="6"/>
  <c r="AV91" i="6" s="1"/>
  <c r="AK91" i="6"/>
  <c r="AL91" i="6"/>
  <c r="BS92" i="6"/>
  <c r="DK92" i="6"/>
  <c r="K92" i="6"/>
  <c r="AK92" i="6"/>
  <c r="CS92" i="6"/>
  <c r="DN90" i="6"/>
  <c r="DR90" i="6" s="1"/>
  <c r="DP90" i="6"/>
  <c r="CQ89" i="6"/>
  <c r="DA89" i="6" s="1"/>
  <c r="AP90" i="6"/>
  <c r="AN90" i="6"/>
  <c r="AQ90" i="6" s="1"/>
  <c r="AO90" i="6"/>
  <c r="AY90" i="6" s="1"/>
  <c r="A93" i="6"/>
  <c r="EF93" i="6" s="1"/>
  <c r="DJ92" i="6"/>
  <c r="BJ92" i="6"/>
  <c r="CJ92" i="6"/>
  <c r="J92" i="6"/>
  <c r="AJ92" i="6"/>
  <c r="BZ89" i="6" l="1"/>
  <c r="AA89" i="6"/>
  <c r="BT92" i="6"/>
  <c r="CT92" i="6"/>
  <c r="BX89" i="6"/>
  <c r="CD89" i="6" s="1"/>
  <c r="CA89" i="6"/>
  <c r="N90" i="6"/>
  <c r="Q90" i="6" s="1"/>
  <c r="BD88" i="6"/>
  <c r="EB90" i="6"/>
  <c r="DZ90" i="6"/>
  <c r="EC89" i="6"/>
  <c r="DX89" i="6"/>
  <c r="ED89" i="6" s="1"/>
  <c r="EG86" i="6"/>
  <c r="EH86" i="6" s="1"/>
  <c r="G94" i="6"/>
  <c r="CG94" i="6"/>
  <c r="BG94" i="6"/>
  <c r="AG94" i="6"/>
  <c r="DG94" i="6"/>
  <c r="CD87" i="6"/>
  <c r="AD87" i="6"/>
  <c r="DC89" i="6"/>
  <c r="CX89" i="6"/>
  <c r="DC88" i="6"/>
  <c r="CX88" i="6"/>
  <c r="DD88" i="6" s="1"/>
  <c r="CC89" i="6"/>
  <c r="CB90" i="6"/>
  <c r="BZ90" i="6"/>
  <c r="CC88" i="6"/>
  <c r="BX88" i="6"/>
  <c r="CO90" i="6"/>
  <c r="BD87" i="6"/>
  <c r="B95" i="6"/>
  <c r="X88" i="6"/>
  <c r="CK92" i="6"/>
  <c r="Q89" i="6"/>
  <c r="AC89" i="6" s="1"/>
  <c r="BH94" i="6"/>
  <c r="BI94" i="6" s="1"/>
  <c r="CH94" i="6"/>
  <c r="CI94" i="6" s="1"/>
  <c r="H94" i="6"/>
  <c r="I94" i="6" s="1"/>
  <c r="AH94" i="6"/>
  <c r="AI94" i="6" s="1"/>
  <c r="C95" i="6"/>
  <c r="DH95" i="6" s="1"/>
  <c r="DI95" i="6" s="1"/>
  <c r="EA95" i="6" s="1"/>
  <c r="DQ90" i="6"/>
  <c r="BC89" i="6"/>
  <c r="BD89" i="6"/>
  <c r="BP90" i="6"/>
  <c r="BO90" i="6"/>
  <c r="O90" i="6"/>
  <c r="Y90" i="6" s="1"/>
  <c r="S92" i="6"/>
  <c r="M91" i="6"/>
  <c r="W91" i="6" s="1"/>
  <c r="CN90" i="6"/>
  <c r="Z90" i="6"/>
  <c r="AB90" i="6"/>
  <c r="AM91" i="6"/>
  <c r="AO91" i="6" s="1"/>
  <c r="AY91" i="6" s="1"/>
  <c r="DM91" i="6"/>
  <c r="DN91" i="6" s="1"/>
  <c r="BM91" i="6"/>
  <c r="BP91" i="6" s="1"/>
  <c r="CM91" i="6"/>
  <c r="CP91" i="6" s="1"/>
  <c r="BN90" i="6"/>
  <c r="P90" i="6"/>
  <c r="DS92" i="6"/>
  <c r="DT92" i="6" s="1"/>
  <c r="CW90" i="6"/>
  <c r="AS92" i="6"/>
  <c r="CU92" i="6"/>
  <c r="CV92" i="6" s="1"/>
  <c r="CL92" i="6"/>
  <c r="U92" i="6"/>
  <c r="V92" i="6" s="1"/>
  <c r="L92" i="6"/>
  <c r="M92" i="6" s="1"/>
  <c r="W92" i="6" s="1"/>
  <c r="BU92" i="6"/>
  <c r="BV92" i="6" s="1"/>
  <c r="BL92" i="6"/>
  <c r="AU92" i="6"/>
  <c r="AV92" i="6" s="1"/>
  <c r="AL92" i="6"/>
  <c r="AM92" i="6" s="1"/>
  <c r="AW92" i="6" s="1"/>
  <c r="DU92" i="6"/>
  <c r="DV92" i="6" s="1"/>
  <c r="DL92" i="6"/>
  <c r="DM92" i="6" s="1"/>
  <c r="DP92" i="6" s="1"/>
  <c r="BK93" i="6"/>
  <c r="S93" i="6"/>
  <c r="DK93" i="6"/>
  <c r="CS93" i="6"/>
  <c r="AS93" i="6"/>
  <c r="BK92" i="6"/>
  <c r="AR90" i="6"/>
  <c r="A94" i="6"/>
  <c r="EF94" i="6" s="1"/>
  <c r="BJ93" i="6"/>
  <c r="J93" i="6"/>
  <c r="CJ93" i="6"/>
  <c r="AJ93" i="6"/>
  <c r="DJ93" i="6"/>
  <c r="T92" i="6" l="1"/>
  <c r="BC90" i="6"/>
  <c r="BA90" i="6"/>
  <c r="AT93" i="6"/>
  <c r="CT93" i="6"/>
  <c r="T93" i="6"/>
  <c r="AT92" i="6"/>
  <c r="AW91" i="6"/>
  <c r="AZ91" i="6" s="1"/>
  <c r="R90" i="6"/>
  <c r="DW91" i="6"/>
  <c r="DD89" i="6"/>
  <c r="EC90" i="6"/>
  <c r="DX90" i="6"/>
  <c r="ED90" i="6" s="1"/>
  <c r="DZ91" i="6"/>
  <c r="EB91" i="6"/>
  <c r="G95" i="6"/>
  <c r="CG95" i="6"/>
  <c r="BG95" i="6"/>
  <c r="AG95" i="6"/>
  <c r="DG95" i="6"/>
  <c r="EG87" i="6"/>
  <c r="EH87" i="6" s="1"/>
  <c r="CD88" i="6"/>
  <c r="CM92" i="6"/>
  <c r="CN92" i="6" s="1"/>
  <c r="CQ92" i="6" s="1"/>
  <c r="AX90" i="6"/>
  <c r="CZ90" i="6"/>
  <c r="DB90" i="6"/>
  <c r="CY90" i="6"/>
  <c r="BY90" i="6"/>
  <c r="AD88" i="6"/>
  <c r="X89" i="6"/>
  <c r="B96" i="6"/>
  <c r="CK93" i="6"/>
  <c r="BH95" i="6"/>
  <c r="BI95" i="6" s="1"/>
  <c r="CH95" i="6"/>
  <c r="CI95" i="6" s="1"/>
  <c r="H95" i="6"/>
  <c r="I95" i="6" s="1"/>
  <c r="AH95" i="6"/>
  <c r="AI95" i="6" s="1"/>
  <c r="N91" i="6"/>
  <c r="Q91" i="6" s="1"/>
  <c r="DS93" i="6"/>
  <c r="DT93" i="6" s="1"/>
  <c r="BS93" i="6"/>
  <c r="BM92" i="6"/>
  <c r="BP92" i="6" s="1"/>
  <c r="C96" i="6"/>
  <c r="DH96" i="6" s="1"/>
  <c r="DI96" i="6" s="1"/>
  <c r="EA96" i="6" s="1"/>
  <c r="CN91" i="6"/>
  <c r="BW91" i="6"/>
  <c r="AN91" i="6"/>
  <c r="P91" i="6"/>
  <c r="Z91" i="6"/>
  <c r="AB91" i="6"/>
  <c r="BO91" i="6"/>
  <c r="O91" i="6"/>
  <c r="Y91" i="6" s="1"/>
  <c r="CO91" i="6"/>
  <c r="DP91" i="6"/>
  <c r="CW91" i="6"/>
  <c r="DO91" i="6"/>
  <c r="CQ90" i="6"/>
  <c r="CR90" i="6"/>
  <c r="BN91" i="6"/>
  <c r="AP91" i="6"/>
  <c r="BQ90" i="6"/>
  <c r="CA90" i="6" s="1"/>
  <c r="BR90" i="6"/>
  <c r="N92" i="6"/>
  <c r="R92" i="6" s="1"/>
  <c r="AU93" i="6"/>
  <c r="AV93" i="6" s="1"/>
  <c r="AL93" i="6"/>
  <c r="DU93" i="6"/>
  <c r="DV93" i="6" s="1"/>
  <c r="DL93" i="6"/>
  <c r="DM93" i="6" s="1"/>
  <c r="DO93" i="6" s="1"/>
  <c r="BU93" i="6"/>
  <c r="BV93" i="6" s="1"/>
  <c r="BL93" i="6"/>
  <c r="BM93" i="6" s="1"/>
  <c r="CU93" i="6"/>
  <c r="CV93" i="6" s="1"/>
  <c r="CL93" i="6"/>
  <c r="U93" i="6"/>
  <c r="V93" i="6" s="1"/>
  <c r="K93" i="6"/>
  <c r="L93" i="6"/>
  <c r="DS94" i="6"/>
  <c r="DT94" i="6" s="1"/>
  <c r="CS94" i="6"/>
  <c r="K94" i="6"/>
  <c r="AK94" i="6"/>
  <c r="BS94" i="6"/>
  <c r="AK93" i="6"/>
  <c r="DR91" i="6"/>
  <c r="DQ91" i="6"/>
  <c r="DN92" i="6"/>
  <c r="DR92" i="6" s="1"/>
  <c r="DW92" i="6"/>
  <c r="DO92" i="6"/>
  <c r="DY92" i="6" s="1"/>
  <c r="O92" i="6"/>
  <c r="Y92" i="6" s="1"/>
  <c r="P92" i="6"/>
  <c r="AN92" i="6"/>
  <c r="AR92" i="6" s="1"/>
  <c r="AO92" i="6"/>
  <c r="AY92" i="6" s="1"/>
  <c r="AP92" i="6"/>
  <c r="A95" i="6"/>
  <c r="EF95" i="6" s="1"/>
  <c r="AJ94" i="6"/>
  <c r="BJ94" i="6"/>
  <c r="CJ94" i="6"/>
  <c r="J94" i="6"/>
  <c r="DJ94" i="6"/>
  <c r="BB92" i="6"/>
  <c r="AZ92" i="6"/>
  <c r="AB92" i="6"/>
  <c r="Z92" i="6"/>
  <c r="AA92" i="6" l="1"/>
  <c r="BA92" i="6"/>
  <c r="CX90" i="6"/>
  <c r="DA90" i="6"/>
  <c r="BT94" i="6"/>
  <c r="BT93" i="6"/>
  <c r="CT94" i="6"/>
  <c r="DC92" i="6"/>
  <c r="AC90" i="6"/>
  <c r="AA90" i="6"/>
  <c r="BK94" i="6"/>
  <c r="BB91" i="6"/>
  <c r="X90" i="6"/>
  <c r="AD90" i="6" s="1"/>
  <c r="DY93" i="6"/>
  <c r="AM93" i="6"/>
  <c r="AP93" i="6" s="1"/>
  <c r="EB92" i="6"/>
  <c r="DZ92" i="6"/>
  <c r="EC91" i="6"/>
  <c r="DY91" i="6"/>
  <c r="DX91" i="6"/>
  <c r="ED91" i="6" s="1"/>
  <c r="EG88" i="6"/>
  <c r="EH88" i="6" s="1"/>
  <c r="G96" i="6"/>
  <c r="CG96" i="6"/>
  <c r="BG96" i="6"/>
  <c r="AG96" i="6"/>
  <c r="DG96" i="6"/>
  <c r="BD90" i="6"/>
  <c r="CO92" i="6"/>
  <c r="CX92" i="6" s="1"/>
  <c r="CP92" i="6"/>
  <c r="CW92" i="6"/>
  <c r="CZ92" i="6" s="1"/>
  <c r="CR92" i="6"/>
  <c r="DD90" i="6"/>
  <c r="DC90" i="6"/>
  <c r="CZ91" i="6"/>
  <c r="DB91" i="6"/>
  <c r="CY91" i="6"/>
  <c r="BZ91" i="6"/>
  <c r="CB91" i="6"/>
  <c r="CC90" i="6"/>
  <c r="BY91" i="6"/>
  <c r="BX90" i="6"/>
  <c r="CD90" i="6" s="1"/>
  <c r="AD89" i="6"/>
  <c r="EG89" i="6" s="1"/>
  <c r="CM93" i="6"/>
  <c r="CO93" i="6" s="1"/>
  <c r="CY93" i="6" s="1"/>
  <c r="B97" i="6"/>
  <c r="BH96" i="6"/>
  <c r="BI96" i="6" s="1"/>
  <c r="CH96" i="6"/>
  <c r="CI96" i="6" s="1"/>
  <c r="H96" i="6"/>
  <c r="I96" i="6" s="1"/>
  <c r="AH96" i="6"/>
  <c r="AI96" i="6" s="1"/>
  <c r="R91" i="6"/>
  <c r="BO92" i="6"/>
  <c r="BW92" i="6"/>
  <c r="BN92" i="6"/>
  <c r="BR92" i="6" s="1"/>
  <c r="CK94" i="6"/>
  <c r="S94" i="6"/>
  <c r="C97" i="6"/>
  <c r="DH97" i="6" s="1"/>
  <c r="DI97" i="6" s="1"/>
  <c r="EA97" i="6" s="1"/>
  <c r="Q92" i="6"/>
  <c r="AC92" i="6" s="1"/>
  <c r="DQ92" i="6"/>
  <c r="DX92" i="6" s="1"/>
  <c r="ED92" i="6" s="1"/>
  <c r="M93" i="6"/>
  <c r="O93" i="6" s="1"/>
  <c r="Y93" i="6" s="1"/>
  <c r="CR91" i="6"/>
  <c r="CQ91" i="6"/>
  <c r="DA91" i="6" s="1"/>
  <c r="AR91" i="6"/>
  <c r="BA91" i="6" s="1"/>
  <c r="AQ91" i="6"/>
  <c r="BR91" i="6"/>
  <c r="BQ91" i="6"/>
  <c r="CA91" i="6" s="1"/>
  <c r="BW93" i="6"/>
  <c r="BN93" i="6"/>
  <c r="BR93" i="6" s="1"/>
  <c r="BP93" i="6"/>
  <c r="BO93" i="6"/>
  <c r="BY93" i="6" s="1"/>
  <c r="AS94" i="6"/>
  <c r="BU94" i="6"/>
  <c r="BV94" i="6" s="1"/>
  <c r="BL94" i="6"/>
  <c r="U94" i="6"/>
  <c r="V94" i="6" s="1"/>
  <c r="L94" i="6"/>
  <c r="M94" i="6" s="1"/>
  <c r="O94" i="6" s="1"/>
  <c r="DU94" i="6"/>
  <c r="DV94" i="6" s="1"/>
  <c r="DL94" i="6"/>
  <c r="DK94" i="6"/>
  <c r="AU94" i="6"/>
  <c r="AV94" i="6" s="1"/>
  <c r="AL94" i="6"/>
  <c r="AM94" i="6" s="1"/>
  <c r="CU94" i="6"/>
  <c r="CV94" i="6" s="1"/>
  <c r="CL94" i="6"/>
  <c r="BK95" i="6"/>
  <c r="DS95" i="6"/>
  <c r="DT95" i="6" s="1"/>
  <c r="S95" i="6"/>
  <c r="AS95" i="6"/>
  <c r="CS95" i="6"/>
  <c r="AQ92" i="6"/>
  <c r="BC92" i="6" s="1"/>
  <c r="DW93" i="6"/>
  <c r="DN93" i="6"/>
  <c r="DQ93" i="6" s="1"/>
  <c r="DP93" i="6"/>
  <c r="A96" i="6"/>
  <c r="EF96" i="6" s="1"/>
  <c r="J95" i="6"/>
  <c r="CJ95" i="6"/>
  <c r="AJ95" i="6"/>
  <c r="DJ95" i="6"/>
  <c r="BJ95" i="6"/>
  <c r="BM94" i="6" l="1"/>
  <c r="BW94" i="6" s="1"/>
  <c r="BZ94" i="6" s="1"/>
  <c r="DA92" i="6"/>
  <c r="AT94" i="6"/>
  <c r="AC91" i="6"/>
  <c r="AA91" i="6"/>
  <c r="T94" i="6"/>
  <c r="CT95" i="6"/>
  <c r="AT95" i="6"/>
  <c r="T95" i="6"/>
  <c r="AX92" i="6"/>
  <c r="AK95" i="6"/>
  <c r="AW93" i="6"/>
  <c r="BB93" i="6" s="1"/>
  <c r="AO93" i="6"/>
  <c r="AY93" i="6" s="1"/>
  <c r="AN93" i="6"/>
  <c r="AR93" i="6" s="1"/>
  <c r="EB93" i="6"/>
  <c r="DZ93" i="6"/>
  <c r="EC92" i="6"/>
  <c r="G97" i="6"/>
  <c r="CG97" i="6"/>
  <c r="AG97" i="6"/>
  <c r="BG97" i="6"/>
  <c r="DG97" i="6"/>
  <c r="CY92" i="6"/>
  <c r="DB92" i="6"/>
  <c r="EH89" i="6"/>
  <c r="EG90" i="6"/>
  <c r="DC91" i="6"/>
  <c r="CX91" i="6"/>
  <c r="CC91" i="6"/>
  <c r="BZ92" i="6"/>
  <c r="CB92" i="6"/>
  <c r="BZ93" i="6"/>
  <c r="CB93" i="6"/>
  <c r="BY92" i="6"/>
  <c r="BX91" i="6"/>
  <c r="CD91" i="6" s="1"/>
  <c r="X91" i="6"/>
  <c r="CN93" i="6"/>
  <c r="CQ93" i="6" s="1"/>
  <c r="CW93" i="6"/>
  <c r="CP93" i="6"/>
  <c r="B98" i="6"/>
  <c r="N93" i="6"/>
  <c r="R93" i="6" s="1"/>
  <c r="BQ92" i="6"/>
  <c r="CA92" i="6" s="1"/>
  <c r="BH97" i="6"/>
  <c r="BI97" i="6" s="1"/>
  <c r="CH97" i="6"/>
  <c r="CI97" i="6" s="1"/>
  <c r="H97" i="6"/>
  <c r="I97" i="6" s="1"/>
  <c r="AH97" i="6"/>
  <c r="AI97" i="6" s="1"/>
  <c r="CM94" i="6"/>
  <c r="CW94" i="6" s="1"/>
  <c r="BS95" i="6"/>
  <c r="C98" i="6"/>
  <c r="DH98" i="6" s="1"/>
  <c r="DI98" i="6" s="1"/>
  <c r="EA98" i="6" s="1"/>
  <c r="X92" i="6"/>
  <c r="P93" i="6"/>
  <c r="W93" i="6"/>
  <c r="BQ93" i="6"/>
  <c r="CA93" i="6" s="1"/>
  <c r="AX91" i="6"/>
  <c r="BC91" i="6"/>
  <c r="DM94" i="6"/>
  <c r="DW94" i="6" s="1"/>
  <c r="AN94" i="6"/>
  <c r="AR94" i="6" s="1"/>
  <c r="AO94" i="6"/>
  <c r="AY94" i="6" s="1"/>
  <c r="AW94" i="6"/>
  <c r="AZ94" i="6" s="1"/>
  <c r="AP94" i="6"/>
  <c r="CU95" i="6"/>
  <c r="CV95" i="6" s="1"/>
  <c r="CL95" i="6"/>
  <c r="U95" i="6"/>
  <c r="V95" i="6" s="1"/>
  <c r="L95" i="6"/>
  <c r="BU95" i="6"/>
  <c r="BV95" i="6" s="1"/>
  <c r="BL95" i="6"/>
  <c r="BM95" i="6" s="1"/>
  <c r="CK95" i="6"/>
  <c r="AU95" i="6"/>
  <c r="AV95" i="6" s="1"/>
  <c r="AL95" i="6"/>
  <c r="DU95" i="6"/>
  <c r="DV95" i="6" s="1"/>
  <c r="DL95" i="6"/>
  <c r="AS96" i="6"/>
  <c r="S96" i="6"/>
  <c r="BK96" i="6"/>
  <c r="DK96" i="6"/>
  <c r="CS96" i="6"/>
  <c r="K95" i="6"/>
  <c r="DK95" i="6"/>
  <c r="DR93" i="6"/>
  <c r="EC93" i="6" s="1"/>
  <c r="W94" i="6"/>
  <c r="AB94" i="6" s="1"/>
  <c r="P94" i="6"/>
  <c r="N94" i="6"/>
  <c r="R94" i="6" s="1"/>
  <c r="AA94" i="6" s="1"/>
  <c r="BO94" i="6"/>
  <c r="BY94" i="6" s="1"/>
  <c r="A97" i="6"/>
  <c r="EF97" i="6" s="1"/>
  <c r="BJ96" i="6"/>
  <c r="DJ96" i="6"/>
  <c r="J96" i="6"/>
  <c r="AJ96" i="6"/>
  <c r="CJ96" i="6"/>
  <c r="Y94" i="6"/>
  <c r="BN94" i="6" l="1"/>
  <c r="BR94" i="6" s="1"/>
  <c r="BP94" i="6"/>
  <c r="CB94" i="6"/>
  <c r="AM95" i="6"/>
  <c r="AP95" i="6" s="1"/>
  <c r="AA93" i="6"/>
  <c r="BA94" i="6"/>
  <c r="DA93" i="6"/>
  <c r="BA93" i="6"/>
  <c r="CT96" i="6"/>
  <c r="T96" i="6"/>
  <c r="AT96" i="6"/>
  <c r="BT95" i="6"/>
  <c r="BD92" i="6"/>
  <c r="DX93" i="6"/>
  <c r="ED93" i="6" s="1"/>
  <c r="AZ93" i="6"/>
  <c r="AQ93" i="6"/>
  <c r="AX93" i="6" s="1"/>
  <c r="DD91" i="6"/>
  <c r="EB94" i="6"/>
  <c r="DZ94" i="6"/>
  <c r="DD92" i="6"/>
  <c r="G98" i="6"/>
  <c r="CG98" i="6"/>
  <c r="AG98" i="6"/>
  <c r="BG98" i="6"/>
  <c r="DG98" i="6"/>
  <c r="AD91" i="6"/>
  <c r="AD92" i="6"/>
  <c r="CR93" i="6"/>
  <c r="EH90" i="6"/>
  <c r="CM95" i="6"/>
  <c r="CP95" i="6" s="1"/>
  <c r="DC93" i="6"/>
  <c r="CX93" i="6"/>
  <c r="DB94" i="6"/>
  <c r="CZ94" i="6"/>
  <c r="DB93" i="6"/>
  <c r="CZ93" i="6"/>
  <c r="CC93" i="6"/>
  <c r="CC92" i="6"/>
  <c r="BX93" i="6"/>
  <c r="BX92" i="6"/>
  <c r="CD92" i="6" s="1"/>
  <c r="Q93" i="6"/>
  <c r="AC93" i="6" s="1"/>
  <c r="BD91" i="6"/>
  <c r="CN94" i="6"/>
  <c r="CQ94" i="6" s="1"/>
  <c r="B99" i="6"/>
  <c r="BH98" i="6"/>
  <c r="BI98" i="6" s="1"/>
  <c r="CH98" i="6"/>
  <c r="CI98" i="6" s="1"/>
  <c r="H98" i="6"/>
  <c r="I98" i="6" s="1"/>
  <c r="AH98" i="6"/>
  <c r="AI98" i="6" s="1"/>
  <c r="CP94" i="6"/>
  <c r="M95" i="6"/>
  <c r="O95" i="6" s="1"/>
  <c r="Y95" i="6" s="1"/>
  <c r="CO94" i="6"/>
  <c r="DS96" i="6"/>
  <c r="DT96" i="6" s="1"/>
  <c r="K96" i="6"/>
  <c r="C99" i="6"/>
  <c r="DH99" i="6" s="1"/>
  <c r="DI99" i="6" s="1"/>
  <c r="EA99" i="6" s="1"/>
  <c r="BB94" i="6"/>
  <c r="DM95" i="6"/>
  <c r="DO95" i="6" s="1"/>
  <c r="DY95" i="6" s="1"/>
  <c r="AQ94" i="6"/>
  <c r="AX94" i="6" s="1"/>
  <c r="AB93" i="6"/>
  <c r="Z93" i="6"/>
  <c r="DP94" i="6"/>
  <c r="AK96" i="6"/>
  <c r="DN94" i="6"/>
  <c r="AN95" i="6"/>
  <c r="AR95" i="6" s="1"/>
  <c r="AW95" i="6"/>
  <c r="AZ95" i="6" s="1"/>
  <c r="DO94" i="6"/>
  <c r="BP95" i="6"/>
  <c r="BO95" i="6"/>
  <c r="BY95" i="6" s="1"/>
  <c r="BN95" i="6"/>
  <c r="BR95" i="6" s="1"/>
  <c r="BW95" i="6"/>
  <c r="BS96" i="6"/>
  <c r="DU96" i="6"/>
  <c r="DV96" i="6" s="1"/>
  <c r="DL96" i="6"/>
  <c r="DM96" i="6" s="1"/>
  <c r="DW96" i="6" s="1"/>
  <c r="U96" i="6"/>
  <c r="V96" i="6" s="1"/>
  <c r="L96" i="6"/>
  <c r="S97" i="6"/>
  <c r="AS97" i="6"/>
  <c r="CS97" i="6"/>
  <c r="DS97" i="6"/>
  <c r="DT97" i="6" s="1"/>
  <c r="BS97" i="6"/>
  <c r="CU96" i="6"/>
  <c r="CV96" i="6" s="1"/>
  <c r="CL96" i="6"/>
  <c r="CK96" i="6"/>
  <c r="BU96" i="6"/>
  <c r="BV96" i="6" s="1"/>
  <c r="BL96" i="6"/>
  <c r="BM96" i="6" s="1"/>
  <c r="AU96" i="6"/>
  <c r="AV96" i="6" s="1"/>
  <c r="AL96" i="6"/>
  <c r="Z94" i="6"/>
  <c r="BQ94" i="6"/>
  <c r="Q94" i="6"/>
  <c r="X94" i="6" s="1"/>
  <c r="A98" i="6"/>
  <c r="EF98" i="6" s="1"/>
  <c r="J97" i="6"/>
  <c r="AJ97" i="6"/>
  <c r="CJ97" i="6"/>
  <c r="BJ97" i="6"/>
  <c r="DJ97" i="6"/>
  <c r="AO95" i="6" l="1"/>
  <c r="AY95" i="6" s="1"/>
  <c r="BT96" i="6"/>
  <c r="CT97" i="6"/>
  <c r="DA94" i="6"/>
  <c r="BX94" i="6"/>
  <c r="CA94" i="6"/>
  <c r="AT97" i="6"/>
  <c r="BT97" i="6"/>
  <c r="T97" i="6"/>
  <c r="BA95" i="6"/>
  <c r="BC93" i="6"/>
  <c r="DZ96" i="6"/>
  <c r="X93" i="6"/>
  <c r="BD93" i="6"/>
  <c r="CD93" i="6"/>
  <c r="DY94" i="6"/>
  <c r="EB96" i="6"/>
  <c r="EG91" i="6"/>
  <c r="EH91" i="6" s="1"/>
  <c r="G99" i="6"/>
  <c r="CG99" i="6"/>
  <c r="BG99" i="6"/>
  <c r="AG99" i="6"/>
  <c r="DG99" i="6"/>
  <c r="EG92" i="6"/>
  <c r="EH92" i="6" s="1"/>
  <c r="CN95" i="6"/>
  <c r="CQ95" i="6" s="1"/>
  <c r="DD93" i="6"/>
  <c r="CW95" i="6"/>
  <c r="DB95" i="6" s="1"/>
  <c r="CO95" i="6"/>
  <c r="CY95" i="6" s="1"/>
  <c r="CY94" i="6"/>
  <c r="CX94" i="6"/>
  <c r="DC94" i="6"/>
  <c r="CC94" i="6"/>
  <c r="CB95" i="6"/>
  <c r="BZ95" i="6"/>
  <c r="CR94" i="6"/>
  <c r="B100" i="6"/>
  <c r="BH99" i="6"/>
  <c r="BI99" i="6" s="1"/>
  <c r="CH99" i="6"/>
  <c r="CI99" i="6" s="1"/>
  <c r="H99" i="6"/>
  <c r="I99" i="6" s="1"/>
  <c r="AH99" i="6"/>
  <c r="AI99" i="6" s="1"/>
  <c r="P95" i="6"/>
  <c r="AM96" i="6"/>
  <c r="AW96" i="6" s="1"/>
  <c r="AZ96" i="6" s="1"/>
  <c r="M96" i="6"/>
  <c r="W96" i="6" s="1"/>
  <c r="AB96" i="6" s="1"/>
  <c r="DP95" i="6"/>
  <c r="N95" i="6"/>
  <c r="Q95" i="6" s="1"/>
  <c r="BB95" i="6"/>
  <c r="W95" i="6"/>
  <c r="Z95" i="6" s="1"/>
  <c r="C100" i="6"/>
  <c r="DH100" i="6" s="1"/>
  <c r="DI100" i="6" s="1"/>
  <c r="EA100" i="6" s="1"/>
  <c r="DW95" i="6"/>
  <c r="BQ95" i="6"/>
  <c r="DN95" i="6"/>
  <c r="DR95" i="6" s="1"/>
  <c r="BC94" i="6"/>
  <c r="AQ95" i="6"/>
  <c r="CM96" i="6"/>
  <c r="CN96" i="6" s="1"/>
  <c r="DO96" i="6"/>
  <c r="DY96" i="6" s="1"/>
  <c r="DR94" i="6"/>
  <c r="DQ94" i="6"/>
  <c r="BW96" i="6"/>
  <c r="BP96" i="6"/>
  <c r="BO96" i="6"/>
  <c r="BY96" i="6" s="1"/>
  <c r="BN96" i="6"/>
  <c r="BR96" i="6" s="1"/>
  <c r="DU97" i="6"/>
  <c r="DV97" i="6" s="1"/>
  <c r="DL97" i="6"/>
  <c r="DK97" i="6"/>
  <c r="AU97" i="6"/>
  <c r="AV97" i="6" s="1"/>
  <c r="AK97" i="6"/>
  <c r="AL97" i="6"/>
  <c r="BK98" i="6"/>
  <c r="K98" i="6"/>
  <c r="DS98" i="6"/>
  <c r="DT98" i="6" s="1"/>
  <c r="CK98" i="6"/>
  <c r="AS98" i="6"/>
  <c r="BU97" i="6"/>
  <c r="BV97" i="6" s="1"/>
  <c r="BK97" i="6"/>
  <c r="BL97" i="6"/>
  <c r="CU97" i="6"/>
  <c r="CV97" i="6" s="1"/>
  <c r="CK97" i="6"/>
  <c r="CL97" i="6"/>
  <c r="U97" i="6"/>
  <c r="V97" i="6" s="1"/>
  <c r="K97" i="6"/>
  <c r="L97" i="6"/>
  <c r="AC94" i="6"/>
  <c r="DP96" i="6"/>
  <c r="DN96" i="6"/>
  <c r="DR96" i="6" s="1"/>
  <c r="A99" i="6"/>
  <c r="EF99" i="6" s="1"/>
  <c r="CJ98" i="6"/>
  <c r="BJ98" i="6"/>
  <c r="AJ98" i="6"/>
  <c r="DJ98" i="6"/>
  <c r="J98" i="6"/>
  <c r="BX95" i="6" l="1"/>
  <c r="CA95" i="6"/>
  <c r="DC95" i="6"/>
  <c r="DA95" i="6"/>
  <c r="AT98" i="6"/>
  <c r="AD93" i="6"/>
  <c r="EG93" i="6" s="1"/>
  <c r="EH93" i="6" s="1"/>
  <c r="BS98" i="6"/>
  <c r="CW96" i="6"/>
  <c r="CZ96" i="6" s="1"/>
  <c r="BD94" i="6"/>
  <c r="AD94" i="6"/>
  <c r="CD94" i="6"/>
  <c r="EC94" i="6"/>
  <c r="EB95" i="6"/>
  <c r="DZ95" i="6"/>
  <c r="DX94" i="6"/>
  <c r="ED94" i="6" s="1"/>
  <c r="G100" i="6"/>
  <c r="CG100" i="6"/>
  <c r="BG100" i="6"/>
  <c r="AG100" i="6"/>
  <c r="DG100" i="6"/>
  <c r="CR95" i="6"/>
  <c r="DD94" i="6"/>
  <c r="CX95" i="6"/>
  <c r="CZ95" i="6"/>
  <c r="CB96" i="6"/>
  <c r="BZ96" i="6"/>
  <c r="CC95" i="6"/>
  <c r="B101" i="6"/>
  <c r="BB96" i="6"/>
  <c r="AO96" i="6"/>
  <c r="AY96" i="6" s="1"/>
  <c r="BH100" i="6"/>
  <c r="BI100" i="6" s="1"/>
  <c r="CH100" i="6"/>
  <c r="CI100" i="6" s="1"/>
  <c r="H100" i="6"/>
  <c r="I100" i="6" s="1"/>
  <c r="AH100" i="6"/>
  <c r="AI100" i="6" s="1"/>
  <c r="P96" i="6"/>
  <c r="N96" i="6"/>
  <c r="Q96" i="6" s="1"/>
  <c r="AP96" i="6"/>
  <c r="AN96" i="6"/>
  <c r="AQ96" i="6" s="1"/>
  <c r="O96" i="6"/>
  <c r="Y96" i="6" s="1"/>
  <c r="AB95" i="6"/>
  <c r="R95" i="6"/>
  <c r="S98" i="6"/>
  <c r="CS98" i="6"/>
  <c r="C101" i="6"/>
  <c r="DH101" i="6" s="1"/>
  <c r="DI101" i="6" s="1"/>
  <c r="EA101" i="6" s="1"/>
  <c r="CM97" i="6"/>
  <c r="CW97" i="6" s="1"/>
  <c r="AM97" i="6"/>
  <c r="AO97" i="6" s="1"/>
  <c r="AY97" i="6" s="1"/>
  <c r="DM97" i="6"/>
  <c r="DN97" i="6" s="1"/>
  <c r="BC95" i="6"/>
  <c r="DQ95" i="6"/>
  <c r="BM97" i="6"/>
  <c r="BP97" i="6" s="1"/>
  <c r="AX95" i="6"/>
  <c r="Z96" i="6"/>
  <c r="BQ96" i="6"/>
  <c r="CO96" i="6"/>
  <c r="CR96" i="6"/>
  <c r="CQ96" i="6"/>
  <c r="CP96" i="6"/>
  <c r="M97" i="6"/>
  <c r="N97" i="6" s="1"/>
  <c r="AU98" i="6"/>
  <c r="AV98" i="6" s="1"/>
  <c r="AL98" i="6"/>
  <c r="AK98" i="6"/>
  <c r="DU98" i="6"/>
  <c r="DV98" i="6" s="1"/>
  <c r="DK98" i="6"/>
  <c r="DL98" i="6"/>
  <c r="BU98" i="6"/>
  <c r="BV98" i="6" s="1"/>
  <c r="BL98" i="6"/>
  <c r="BM98" i="6" s="1"/>
  <c r="CU98" i="6"/>
  <c r="CV98" i="6" s="1"/>
  <c r="CL98" i="6"/>
  <c r="CM98" i="6" s="1"/>
  <c r="CW98" i="6" s="1"/>
  <c r="U98" i="6"/>
  <c r="V98" i="6" s="1"/>
  <c r="L98" i="6"/>
  <c r="M98" i="6" s="1"/>
  <c r="O98" i="6" s="1"/>
  <c r="DS99" i="6"/>
  <c r="DT99" i="6" s="1"/>
  <c r="S99" i="6"/>
  <c r="BS99" i="6"/>
  <c r="AK99" i="6"/>
  <c r="CK99" i="6"/>
  <c r="DQ96" i="6"/>
  <c r="A100" i="6"/>
  <c r="EF100" i="6" s="1"/>
  <c r="J99" i="6"/>
  <c r="BJ99" i="6"/>
  <c r="AJ99" i="6"/>
  <c r="DJ99" i="6"/>
  <c r="CJ99" i="6"/>
  <c r="DA96" i="6" l="1"/>
  <c r="CT98" i="6"/>
  <c r="BT98" i="6"/>
  <c r="AC95" i="6"/>
  <c r="AA95" i="6"/>
  <c r="T98" i="6"/>
  <c r="BX96" i="6"/>
  <c r="CA96" i="6"/>
  <c r="BT99" i="6"/>
  <c r="T99" i="6"/>
  <c r="DB96" i="6"/>
  <c r="CD95" i="6"/>
  <c r="BD95" i="6"/>
  <c r="EG94" i="6"/>
  <c r="EH94" i="6" s="1"/>
  <c r="EC96" i="6"/>
  <c r="EC95" i="6"/>
  <c r="DX95" i="6"/>
  <c r="ED95" i="6" s="1"/>
  <c r="DX96" i="6"/>
  <c r="ED96" i="6" s="1"/>
  <c r="G101" i="6"/>
  <c r="CG101" i="6"/>
  <c r="BG101" i="6"/>
  <c r="AG101" i="6"/>
  <c r="DG101" i="6"/>
  <c r="DD95" i="6"/>
  <c r="DB98" i="6"/>
  <c r="CZ98" i="6"/>
  <c r="DB97" i="6"/>
  <c r="CZ97" i="6"/>
  <c r="DC96" i="6"/>
  <c r="CY96" i="6"/>
  <c r="CX96" i="6"/>
  <c r="CC96" i="6"/>
  <c r="X95" i="6"/>
  <c r="DW97" i="6"/>
  <c r="B102" i="6"/>
  <c r="BH101" i="6"/>
  <c r="BI101" i="6" s="1"/>
  <c r="CH101" i="6"/>
  <c r="CI101" i="6" s="1"/>
  <c r="H101" i="6"/>
  <c r="I101" i="6" s="1"/>
  <c r="AH101" i="6"/>
  <c r="AI101" i="6" s="1"/>
  <c r="AW97" i="6"/>
  <c r="AZ97" i="6" s="1"/>
  <c r="CP97" i="6"/>
  <c r="R96" i="6"/>
  <c r="AR96" i="6"/>
  <c r="BA96" i="6" s="1"/>
  <c r="AN97" i="6"/>
  <c r="AR97" i="6" s="1"/>
  <c r="AP97" i="6"/>
  <c r="CO97" i="6"/>
  <c r="DO97" i="6"/>
  <c r="DR97" i="6"/>
  <c r="DQ97" i="6"/>
  <c r="CS99" i="6"/>
  <c r="CN97" i="6"/>
  <c r="CQ97" i="6" s="1"/>
  <c r="DP97" i="6"/>
  <c r="C102" i="6"/>
  <c r="DH102" i="6" s="1"/>
  <c r="DI102" i="6" s="1"/>
  <c r="EA102" i="6" s="1"/>
  <c r="BN97" i="6"/>
  <c r="BQ97" i="6" s="1"/>
  <c r="BO97" i="6"/>
  <c r="BW97" i="6"/>
  <c r="DK99" i="6"/>
  <c r="W98" i="6"/>
  <c r="Z98" i="6" s="1"/>
  <c r="P98" i="6"/>
  <c r="N98" i="6"/>
  <c r="R98" i="6" s="1"/>
  <c r="K99" i="6"/>
  <c r="BK99" i="6"/>
  <c r="DM98" i="6"/>
  <c r="DN98" i="6" s="1"/>
  <c r="P97" i="6"/>
  <c r="AS99" i="6"/>
  <c r="O97" i="6"/>
  <c r="Y97" i="6" s="1"/>
  <c r="AM98" i="6"/>
  <c r="AO98" i="6" s="1"/>
  <c r="W97" i="6"/>
  <c r="BW98" i="6"/>
  <c r="BO98" i="6"/>
  <c r="BY98" i="6" s="1"/>
  <c r="BP98" i="6"/>
  <c r="BN98" i="6"/>
  <c r="BR98" i="6" s="1"/>
  <c r="AU99" i="6"/>
  <c r="AV99" i="6" s="1"/>
  <c r="AL99" i="6"/>
  <c r="AM99" i="6" s="1"/>
  <c r="U99" i="6"/>
  <c r="V99" i="6" s="1"/>
  <c r="L99" i="6"/>
  <c r="AK100" i="6"/>
  <c r="DS100" i="6"/>
  <c r="DT100" i="6" s="1"/>
  <c r="BK100" i="6"/>
  <c r="S100" i="6"/>
  <c r="CS100" i="6"/>
  <c r="CU99" i="6"/>
  <c r="CV99" i="6" s="1"/>
  <c r="CL99" i="6"/>
  <c r="CM99" i="6" s="1"/>
  <c r="BU99" i="6"/>
  <c r="BV99" i="6" s="1"/>
  <c r="BL99" i="6"/>
  <c r="DU99" i="6"/>
  <c r="DV99" i="6" s="1"/>
  <c r="DL99" i="6"/>
  <c r="Q97" i="6"/>
  <c r="R97" i="6"/>
  <c r="CP98" i="6"/>
  <c r="CN98" i="6"/>
  <c r="CR98" i="6" s="1"/>
  <c r="CO98" i="6"/>
  <c r="CY98" i="6" s="1"/>
  <c r="A101" i="6"/>
  <c r="EF101" i="6" s="1"/>
  <c r="J100" i="6"/>
  <c r="AJ100" i="6"/>
  <c r="CJ100" i="6"/>
  <c r="DJ100" i="6"/>
  <c r="BJ100" i="6"/>
  <c r="Y98" i="6"/>
  <c r="BA97" i="6" l="1"/>
  <c r="AA98" i="6"/>
  <c r="DA97" i="6"/>
  <c r="CT99" i="6"/>
  <c r="AT99" i="6"/>
  <c r="CA97" i="6"/>
  <c r="AA97" i="6"/>
  <c r="T100" i="6"/>
  <c r="AC96" i="6"/>
  <c r="AA96" i="6"/>
  <c r="CT100" i="6"/>
  <c r="BR97" i="6"/>
  <c r="CD96" i="6"/>
  <c r="EC97" i="6"/>
  <c r="DY97" i="6"/>
  <c r="DX97" i="6"/>
  <c r="ED97" i="6" s="1"/>
  <c r="EB97" i="6"/>
  <c r="DZ97" i="6"/>
  <c r="BM99" i="6"/>
  <c r="BP99" i="6" s="1"/>
  <c r="AP98" i="6"/>
  <c r="G102" i="6"/>
  <c r="CG102" i="6"/>
  <c r="BG102" i="6"/>
  <c r="AG102" i="6"/>
  <c r="DG102" i="6"/>
  <c r="DD96" i="6"/>
  <c r="AD95" i="6"/>
  <c r="EG95" i="6" s="1"/>
  <c r="CY97" i="6"/>
  <c r="CX97" i="6"/>
  <c r="DC97" i="6"/>
  <c r="BZ98" i="6"/>
  <c r="CB98" i="6"/>
  <c r="CC97" i="6"/>
  <c r="X96" i="6"/>
  <c r="BZ97" i="6"/>
  <c r="CB97" i="6"/>
  <c r="BY97" i="6"/>
  <c r="BX97" i="6"/>
  <c r="BC96" i="6"/>
  <c r="AX96" i="6"/>
  <c r="B103" i="6"/>
  <c r="BH102" i="6"/>
  <c r="BI102" i="6" s="1"/>
  <c r="CH102" i="6"/>
  <c r="CI102" i="6" s="1"/>
  <c r="H102" i="6"/>
  <c r="I102" i="6" s="1"/>
  <c r="AH102" i="6"/>
  <c r="AI102" i="6" s="1"/>
  <c r="CR97" i="6"/>
  <c r="BB97" i="6"/>
  <c r="DK100" i="6"/>
  <c r="BS100" i="6"/>
  <c r="AS100" i="6"/>
  <c r="AQ97" i="6"/>
  <c r="DM99" i="6"/>
  <c r="DP99" i="6" s="1"/>
  <c r="C103" i="6"/>
  <c r="DH103" i="6" s="1"/>
  <c r="DI103" i="6" s="1"/>
  <c r="EA103" i="6" s="1"/>
  <c r="M99" i="6"/>
  <c r="P99" i="6" s="1"/>
  <c r="AB98" i="6"/>
  <c r="Q98" i="6"/>
  <c r="X98" i="6" s="1"/>
  <c r="BQ98" i="6"/>
  <c r="CA98" i="6" s="1"/>
  <c r="DO98" i="6"/>
  <c r="DP98" i="6"/>
  <c r="DQ98" i="6"/>
  <c r="DR98" i="6"/>
  <c r="CP99" i="6"/>
  <c r="CN99" i="6"/>
  <c r="CR99" i="6" s="1"/>
  <c r="CW99" i="6"/>
  <c r="CO99" i="6"/>
  <c r="CY99" i="6" s="1"/>
  <c r="DW98" i="6"/>
  <c r="AW98" i="6"/>
  <c r="AY98" i="6"/>
  <c r="AN98" i="6"/>
  <c r="AB97" i="6"/>
  <c r="Z97" i="6"/>
  <c r="X97" i="6"/>
  <c r="AC97" i="6"/>
  <c r="AW99" i="6"/>
  <c r="AZ99" i="6" s="1"/>
  <c r="AN99" i="6"/>
  <c r="AQ99" i="6" s="1"/>
  <c r="AP99" i="6"/>
  <c r="AO99" i="6"/>
  <c r="AY99" i="6" s="1"/>
  <c r="U100" i="6"/>
  <c r="V100" i="6" s="1"/>
  <c r="K100" i="6"/>
  <c r="L100" i="6"/>
  <c r="DU100" i="6"/>
  <c r="DV100" i="6" s="1"/>
  <c r="DL100" i="6"/>
  <c r="DS101" i="6"/>
  <c r="DT101" i="6" s="1"/>
  <c r="S101" i="6"/>
  <c r="BS101" i="6"/>
  <c r="CS101" i="6"/>
  <c r="AK101" i="6"/>
  <c r="CU100" i="6"/>
  <c r="CV100" i="6" s="1"/>
  <c r="CL100" i="6"/>
  <c r="BU100" i="6"/>
  <c r="BV100" i="6" s="1"/>
  <c r="BL100" i="6"/>
  <c r="BM100" i="6" s="1"/>
  <c r="BP100" i="6" s="1"/>
  <c r="AU100" i="6"/>
  <c r="AV100" i="6" s="1"/>
  <c r="AL100" i="6"/>
  <c r="AM100" i="6" s="1"/>
  <c r="AP100" i="6" s="1"/>
  <c r="CK100" i="6"/>
  <c r="CQ98" i="6"/>
  <c r="DA98" i="6" s="1"/>
  <c r="A102" i="6"/>
  <c r="EF102" i="6" s="1"/>
  <c r="AJ101" i="6"/>
  <c r="DJ101" i="6"/>
  <c r="J101" i="6"/>
  <c r="CJ101" i="6"/>
  <c r="BJ101" i="6"/>
  <c r="CT101" i="6" l="1"/>
  <c r="AT100" i="6"/>
  <c r="BT101" i="6"/>
  <c r="BT100" i="6"/>
  <c r="T101" i="6"/>
  <c r="BD96" i="6"/>
  <c r="EB98" i="6"/>
  <c r="DZ98" i="6"/>
  <c r="EC98" i="6"/>
  <c r="DY98" i="6"/>
  <c r="DX98" i="6"/>
  <c r="ED98" i="6" s="1"/>
  <c r="BW99" i="6"/>
  <c r="CB99" i="6" s="1"/>
  <c r="BN99" i="6"/>
  <c r="BQ99" i="6" s="1"/>
  <c r="BO99" i="6"/>
  <c r="BY99" i="6" s="1"/>
  <c r="EH95" i="6"/>
  <c r="G103" i="6"/>
  <c r="CG103" i="6"/>
  <c r="BG103" i="6"/>
  <c r="AG103" i="6"/>
  <c r="DG103" i="6"/>
  <c r="AD96" i="6"/>
  <c r="DD97" i="6"/>
  <c r="CD97" i="6"/>
  <c r="AD97" i="6"/>
  <c r="CM100" i="6"/>
  <c r="CP100" i="6" s="1"/>
  <c r="DC98" i="6"/>
  <c r="CX98" i="6"/>
  <c r="DB99" i="6"/>
  <c r="CZ99" i="6"/>
  <c r="CC98" i="6"/>
  <c r="BX98" i="6"/>
  <c r="B104" i="6"/>
  <c r="BH103" i="6"/>
  <c r="BI103" i="6" s="1"/>
  <c r="CH103" i="6"/>
  <c r="CI103" i="6" s="1"/>
  <c r="H103" i="6"/>
  <c r="I103" i="6" s="1"/>
  <c r="AH103" i="6"/>
  <c r="AI103" i="6" s="1"/>
  <c r="CK101" i="6"/>
  <c r="O99" i="6"/>
  <c r="Y99" i="6" s="1"/>
  <c r="BK101" i="6"/>
  <c r="DN99" i="6"/>
  <c r="DQ99" i="6" s="1"/>
  <c r="DO99" i="6"/>
  <c r="DW99" i="6"/>
  <c r="DM100" i="6"/>
  <c r="DP100" i="6" s="1"/>
  <c r="AX97" i="6"/>
  <c r="BC97" i="6"/>
  <c r="N99" i="6"/>
  <c r="R99" i="6" s="1"/>
  <c r="W99" i="6"/>
  <c r="AB99" i="6" s="1"/>
  <c r="C104" i="6"/>
  <c r="DH104" i="6" s="1"/>
  <c r="DI104" i="6" s="1"/>
  <c r="EA104" i="6" s="1"/>
  <c r="AC98" i="6"/>
  <c r="BB99" i="6"/>
  <c r="AS101" i="6"/>
  <c r="AR99" i="6"/>
  <c r="CQ99" i="6"/>
  <c r="DA99" i="6" s="1"/>
  <c r="M100" i="6"/>
  <c r="N100" i="6" s="1"/>
  <c r="BN100" i="6"/>
  <c r="BQ100" i="6" s="1"/>
  <c r="AZ98" i="6"/>
  <c r="BB98" i="6"/>
  <c r="AQ98" i="6"/>
  <c r="AR98" i="6"/>
  <c r="BA98" i="6" s="1"/>
  <c r="AU101" i="6"/>
  <c r="AV101" i="6" s="1"/>
  <c r="AL101" i="6"/>
  <c r="AM101" i="6" s="1"/>
  <c r="BU101" i="6"/>
  <c r="BV101" i="6" s="1"/>
  <c r="BL101" i="6"/>
  <c r="CK102" i="6"/>
  <c r="DK102" i="6"/>
  <c r="BS102" i="6"/>
  <c r="S102" i="6"/>
  <c r="AK102" i="6"/>
  <c r="CU101" i="6"/>
  <c r="CV101" i="6" s="1"/>
  <c r="CL101" i="6"/>
  <c r="U101" i="6"/>
  <c r="V101" i="6" s="1"/>
  <c r="L101" i="6"/>
  <c r="DU101" i="6"/>
  <c r="DV101" i="6" s="1"/>
  <c r="DK101" i="6"/>
  <c r="DL101" i="6"/>
  <c r="K101" i="6"/>
  <c r="BO100" i="6"/>
  <c r="BY100" i="6" s="1"/>
  <c r="AW100" i="6"/>
  <c r="AZ100" i="6" s="1"/>
  <c r="AN100" i="6"/>
  <c r="AQ100" i="6" s="1"/>
  <c r="AO100" i="6"/>
  <c r="AY100" i="6" s="1"/>
  <c r="BW100" i="6"/>
  <c r="A103" i="6"/>
  <c r="EF103" i="6" s="1"/>
  <c r="J102" i="6"/>
  <c r="AJ102" i="6"/>
  <c r="DJ102" i="6"/>
  <c r="BJ102" i="6"/>
  <c r="CJ102" i="6"/>
  <c r="CA100" i="6" l="1"/>
  <c r="CA99" i="6"/>
  <c r="T102" i="6"/>
  <c r="AX99" i="6"/>
  <c r="BA99" i="6"/>
  <c r="AT101" i="6"/>
  <c r="BT102" i="6"/>
  <c r="AA99" i="6"/>
  <c r="EG96" i="6"/>
  <c r="EH96" i="6" s="1"/>
  <c r="AD98" i="6"/>
  <c r="DD98" i="6"/>
  <c r="DY99" i="6"/>
  <c r="DZ99" i="6"/>
  <c r="EB99" i="6"/>
  <c r="BZ99" i="6"/>
  <c r="BR99" i="6"/>
  <c r="G104" i="6"/>
  <c r="CG104" i="6"/>
  <c r="BG104" i="6"/>
  <c r="AG104" i="6"/>
  <c r="DG104" i="6"/>
  <c r="CD98" i="6"/>
  <c r="CN100" i="6"/>
  <c r="CR100" i="6" s="1"/>
  <c r="CW100" i="6"/>
  <c r="DB100" i="6" s="1"/>
  <c r="CO100" i="6"/>
  <c r="CY100" i="6" s="1"/>
  <c r="BC99" i="6"/>
  <c r="DC99" i="6"/>
  <c r="CX99" i="6"/>
  <c r="CB100" i="6"/>
  <c r="BZ100" i="6"/>
  <c r="BD97" i="6"/>
  <c r="EG97" i="6" s="1"/>
  <c r="B105" i="6"/>
  <c r="DW100" i="6"/>
  <c r="BH104" i="6"/>
  <c r="BI104" i="6" s="1"/>
  <c r="CH104" i="6"/>
  <c r="CI104" i="6" s="1"/>
  <c r="H104" i="6"/>
  <c r="I104" i="6" s="1"/>
  <c r="AH104" i="6"/>
  <c r="AI104" i="6" s="1"/>
  <c r="CM101" i="6"/>
  <c r="CP101" i="6" s="1"/>
  <c r="BM101" i="6"/>
  <c r="BO101" i="6" s="1"/>
  <c r="BY101" i="6" s="1"/>
  <c r="DR99" i="6"/>
  <c r="EC99" i="6" s="1"/>
  <c r="DN100" i="6"/>
  <c r="DQ100" i="6" s="1"/>
  <c r="DO100" i="6"/>
  <c r="Z99" i="6"/>
  <c r="DS102" i="6"/>
  <c r="DT102" i="6" s="1"/>
  <c r="K102" i="6"/>
  <c r="Q99" i="6"/>
  <c r="C105" i="6"/>
  <c r="DH105" i="6" s="1"/>
  <c r="DI105" i="6" s="1"/>
  <c r="EA105" i="6" s="1"/>
  <c r="CS102" i="6"/>
  <c r="BR100" i="6"/>
  <c r="W100" i="6"/>
  <c r="AB100" i="6" s="1"/>
  <c r="O100" i="6"/>
  <c r="Y100" i="6" s="1"/>
  <c r="Q100" i="6"/>
  <c r="R100" i="6"/>
  <c r="AS102" i="6"/>
  <c r="P100" i="6"/>
  <c r="DM101" i="6"/>
  <c r="DN101" i="6" s="1"/>
  <c r="M101" i="6"/>
  <c r="O101" i="6" s="1"/>
  <c r="BC98" i="6"/>
  <c r="AX98" i="6"/>
  <c r="AP101" i="6"/>
  <c r="AW101" i="6"/>
  <c r="AZ101" i="6" s="1"/>
  <c r="AO101" i="6"/>
  <c r="AY101" i="6" s="1"/>
  <c r="AN101" i="6"/>
  <c r="AQ101" i="6" s="1"/>
  <c r="AU102" i="6"/>
  <c r="AV102" i="6" s="1"/>
  <c r="AL102" i="6"/>
  <c r="AM102" i="6" s="1"/>
  <c r="BU102" i="6"/>
  <c r="BV102" i="6" s="1"/>
  <c r="BL102" i="6"/>
  <c r="BK102" i="6"/>
  <c r="DS103" i="6"/>
  <c r="DT103" i="6" s="1"/>
  <c r="K103" i="6"/>
  <c r="BS103" i="6"/>
  <c r="AK103" i="6"/>
  <c r="CK103" i="6"/>
  <c r="U102" i="6"/>
  <c r="V102" i="6" s="1"/>
  <c r="L102" i="6"/>
  <c r="DU102" i="6"/>
  <c r="DV102" i="6" s="1"/>
  <c r="DL102" i="6"/>
  <c r="DM102" i="6" s="1"/>
  <c r="CU102" i="6"/>
  <c r="CV102" i="6" s="1"/>
  <c r="CL102" i="6"/>
  <c r="CM102" i="6" s="1"/>
  <c r="AR100" i="6"/>
  <c r="BA100" i="6" s="1"/>
  <c r="BB100" i="6"/>
  <c r="A104" i="6"/>
  <c r="EF104" i="6" s="1"/>
  <c r="J103" i="6"/>
  <c r="DJ103" i="6"/>
  <c r="AJ103" i="6"/>
  <c r="CJ103" i="6"/>
  <c r="BJ103" i="6"/>
  <c r="AT102" i="6" l="1"/>
  <c r="AA100" i="6"/>
  <c r="W101" i="6"/>
  <c r="Z101" i="6" s="1"/>
  <c r="BT103" i="6"/>
  <c r="CT102" i="6"/>
  <c r="DX99" i="6"/>
  <c r="ED99" i="6" s="1"/>
  <c r="BX99" i="6"/>
  <c r="CD99" i="6" s="1"/>
  <c r="CC99" i="6"/>
  <c r="BX100" i="6"/>
  <c r="CD100" i="6" s="1"/>
  <c r="CC100" i="6"/>
  <c r="BD99" i="6"/>
  <c r="DZ100" i="6"/>
  <c r="EB100" i="6"/>
  <c r="DY100" i="6"/>
  <c r="CZ100" i="6"/>
  <c r="G105" i="6"/>
  <c r="CG105" i="6"/>
  <c r="BG105" i="6"/>
  <c r="AG105" i="6"/>
  <c r="DG105" i="6"/>
  <c r="CQ100" i="6"/>
  <c r="DD99" i="6"/>
  <c r="AX100" i="6"/>
  <c r="BD100" i="6" s="1"/>
  <c r="BC100" i="6"/>
  <c r="BK103" i="6"/>
  <c r="EH97" i="6"/>
  <c r="AC100" i="6"/>
  <c r="BP101" i="6"/>
  <c r="CO101" i="6"/>
  <c r="CW101" i="6"/>
  <c r="CN101" i="6"/>
  <c r="CQ101" i="6" s="1"/>
  <c r="BD98" i="6"/>
  <c r="EG98" i="6" s="1"/>
  <c r="B106" i="6"/>
  <c r="BH105" i="6"/>
  <c r="BI105" i="6" s="1"/>
  <c r="CH105" i="6"/>
  <c r="CI105" i="6" s="1"/>
  <c r="AC99" i="6"/>
  <c r="H105" i="6"/>
  <c r="I105" i="6" s="1"/>
  <c r="AH105" i="6"/>
  <c r="AI105" i="6" s="1"/>
  <c r="DK103" i="6"/>
  <c r="DR100" i="6"/>
  <c r="EC100" i="6" s="1"/>
  <c r="X99" i="6"/>
  <c r="BN101" i="6"/>
  <c r="BR101" i="6" s="1"/>
  <c r="BW101" i="6"/>
  <c r="CS103" i="6"/>
  <c r="M102" i="6"/>
  <c r="P102" i="6" s="1"/>
  <c r="AS103" i="6"/>
  <c r="S103" i="6"/>
  <c r="C106" i="6"/>
  <c r="DH106" i="6" s="1"/>
  <c r="DI106" i="6" s="1"/>
  <c r="EA106" i="6" s="1"/>
  <c r="AR101" i="6"/>
  <c r="BB101" i="6"/>
  <c r="Z100" i="6"/>
  <c r="X100" i="6"/>
  <c r="P101" i="6"/>
  <c r="DP101" i="6"/>
  <c r="DO101" i="6"/>
  <c r="CP102" i="6"/>
  <c r="CO102" i="6"/>
  <c r="CY102" i="6" s="1"/>
  <c r="CW102" i="6"/>
  <c r="CN102" i="6"/>
  <c r="CR102" i="6" s="1"/>
  <c r="BM102" i="6"/>
  <c r="BN102" i="6" s="1"/>
  <c r="DW101" i="6"/>
  <c r="Y101" i="6"/>
  <c r="N101" i="6"/>
  <c r="AW102" i="6"/>
  <c r="AP102" i="6"/>
  <c r="AO102" i="6"/>
  <c r="AY102" i="6" s="1"/>
  <c r="AN102" i="6"/>
  <c r="AQ102" i="6" s="1"/>
  <c r="DN102" i="6"/>
  <c r="DR102" i="6" s="1"/>
  <c r="DP102" i="6"/>
  <c r="DO102" i="6"/>
  <c r="DY102" i="6" s="1"/>
  <c r="DW102" i="6"/>
  <c r="CU103" i="6"/>
  <c r="CV103" i="6" s="1"/>
  <c r="CL103" i="6"/>
  <c r="CM103" i="6" s="1"/>
  <c r="CN103" i="6" s="1"/>
  <c r="CR103" i="6" s="1"/>
  <c r="BU103" i="6"/>
  <c r="BV103" i="6" s="1"/>
  <c r="BL103" i="6"/>
  <c r="CK104" i="6"/>
  <c r="DK104" i="6"/>
  <c r="S104" i="6"/>
  <c r="BK104" i="6"/>
  <c r="AK104" i="6"/>
  <c r="AU103" i="6"/>
  <c r="AV103" i="6" s="1"/>
  <c r="AL103" i="6"/>
  <c r="AM103" i="6" s="1"/>
  <c r="U103" i="6"/>
  <c r="V103" i="6" s="1"/>
  <c r="L103" i="6"/>
  <c r="M103" i="6" s="1"/>
  <c r="DU103" i="6"/>
  <c r="DV103" i="6" s="1"/>
  <c r="DL103" i="6"/>
  <c r="DQ101" i="6"/>
  <c r="DR101" i="6"/>
  <c r="A105" i="6"/>
  <c r="EF105" i="6" s="1"/>
  <c r="AJ104" i="6"/>
  <c r="BJ104" i="6"/>
  <c r="CJ104" i="6"/>
  <c r="DJ104" i="6"/>
  <c r="J104" i="6"/>
  <c r="DA101" i="6" l="1"/>
  <c r="AB101" i="6"/>
  <c r="DC100" i="6"/>
  <c r="DA100" i="6"/>
  <c r="T104" i="6"/>
  <c r="CT103" i="6"/>
  <c r="BC101" i="6"/>
  <c r="BA101" i="6"/>
  <c r="T103" i="6"/>
  <c r="AT103" i="6"/>
  <c r="BM103" i="6"/>
  <c r="BP103" i="6" s="1"/>
  <c r="DX100" i="6"/>
  <c r="ED100" i="6" s="1"/>
  <c r="EC101" i="6"/>
  <c r="EB102" i="6"/>
  <c r="DZ102" i="6"/>
  <c r="EB101" i="6"/>
  <c r="DZ101" i="6"/>
  <c r="DY101" i="6"/>
  <c r="DX101" i="6"/>
  <c r="ED101" i="6" s="1"/>
  <c r="G106" i="6"/>
  <c r="CG106" i="6"/>
  <c r="BG106" i="6"/>
  <c r="AG106" i="6"/>
  <c r="DG106" i="6"/>
  <c r="DM103" i="6"/>
  <c r="DP103" i="6" s="1"/>
  <c r="CX100" i="6"/>
  <c r="DD100" i="6" s="1"/>
  <c r="AD100" i="6"/>
  <c r="CR101" i="6"/>
  <c r="AX101" i="6"/>
  <c r="EH98" i="6"/>
  <c r="DB102" i="6"/>
  <c r="CZ102" i="6"/>
  <c r="DC101" i="6"/>
  <c r="CY101" i="6"/>
  <c r="CX101" i="6"/>
  <c r="DB101" i="6"/>
  <c r="CZ101" i="6"/>
  <c r="CB101" i="6"/>
  <c r="BZ101" i="6"/>
  <c r="AD99" i="6"/>
  <c r="EG99" i="6" s="1"/>
  <c r="B107" i="6"/>
  <c r="BH106" i="6"/>
  <c r="BI106" i="6" s="1"/>
  <c r="CH106" i="6"/>
  <c r="CI106" i="6" s="1"/>
  <c r="H106" i="6"/>
  <c r="I106" i="6" s="1"/>
  <c r="AH106" i="6"/>
  <c r="AI106" i="6" s="1"/>
  <c r="W102" i="6"/>
  <c r="Z102" i="6" s="1"/>
  <c r="BP102" i="6"/>
  <c r="O102" i="6"/>
  <c r="Y102" i="6" s="1"/>
  <c r="BQ101" i="6"/>
  <c r="CA101" i="6" s="1"/>
  <c r="N102" i="6"/>
  <c r="Q102" i="6" s="1"/>
  <c r="BS104" i="6"/>
  <c r="DS104" i="6"/>
  <c r="DT104" i="6" s="1"/>
  <c r="C107" i="6"/>
  <c r="DH107" i="6" s="1"/>
  <c r="DI107" i="6" s="1"/>
  <c r="EA107" i="6" s="1"/>
  <c r="CP103" i="6"/>
  <c r="CQ103" i="6"/>
  <c r="DQ102" i="6"/>
  <c r="DX102" i="6" s="1"/>
  <c r="ED102" i="6" s="1"/>
  <c r="CQ102" i="6"/>
  <c r="CW103" i="6"/>
  <c r="AR102" i="6"/>
  <c r="BW102" i="6"/>
  <c r="AS104" i="6"/>
  <c r="CS104" i="6"/>
  <c r="BQ102" i="6"/>
  <c r="BR102" i="6"/>
  <c r="CO103" i="6"/>
  <c r="CY103" i="6" s="1"/>
  <c r="BO102" i="6"/>
  <c r="N103" i="6"/>
  <c r="R103" i="6" s="1"/>
  <c r="W103" i="6"/>
  <c r="AB103" i="6" s="1"/>
  <c r="P103" i="6"/>
  <c r="O103" i="6"/>
  <c r="Y103" i="6" s="1"/>
  <c r="AO103" i="6"/>
  <c r="AY103" i="6" s="1"/>
  <c r="AW103" i="6"/>
  <c r="AZ103" i="6" s="1"/>
  <c r="AN103" i="6"/>
  <c r="AR103" i="6" s="1"/>
  <c r="AP103" i="6"/>
  <c r="BB102" i="6"/>
  <c r="AZ102" i="6"/>
  <c r="Q101" i="6"/>
  <c r="R101" i="6"/>
  <c r="AA101" i="6" s="1"/>
  <c r="BU104" i="6"/>
  <c r="BV104" i="6" s="1"/>
  <c r="BL104" i="6"/>
  <c r="BM104" i="6" s="1"/>
  <c r="BW104" i="6" s="1"/>
  <c r="DU104" i="6"/>
  <c r="DV104" i="6" s="1"/>
  <c r="DL104" i="6"/>
  <c r="DM104" i="6" s="1"/>
  <c r="DK105" i="6"/>
  <c r="K105" i="6"/>
  <c r="BK105" i="6"/>
  <c r="CK105" i="6"/>
  <c r="AK105" i="6"/>
  <c r="AU104" i="6"/>
  <c r="AV104" i="6" s="1"/>
  <c r="AL104" i="6"/>
  <c r="AM104" i="6" s="1"/>
  <c r="U104" i="6"/>
  <c r="V104" i="6" s="1"/>
  <c r="K104" i="6"/>
  <c r="L104" i="6"/>
  <c r="CU104" i="6"/>
  <c r="CV104" i="6" s="1"/>
  <c r="CL104" i="6"/>
  <c r="CM104" i="6" s="1"/>
  <c r="A106" i="6"/>
  <c r="EF106" i="6" s="1"/>
  <c r="BJ105" i="6"/>
  <c r="DJ105" i="6"/>
  <c r="J105" i="6"/>
  <c r="CJ105" i="6"/>
  <c r="AJ105" i="6"/>
  <c r="BW103" i="6" l="1"/>
  <c r="BN103" i="6"/>
  <c r="BR103" i="6" s="1"/>
  <c r="BO103" i="6"/>
  <c r="BY103" i="6" s="1"/>
  <c r="BA103" i="6"/>
  <c r="AA103" i="6"/>
  <c r="DA103" i="6"/>
  <c r="CX102" i="6"/>
  <c r="DD102" i="6" s="1"/>
  <c r="DA102" i="6"/>
  <c r="CA102" i="6"/>
  <c r="BT104" i="6"/>
  <c r="CT104" i="6"/>
  <c r="AT104" i="6"/>
  <c r="BC102" i="6"/>
  <c r="BA102" i="6"/>
  <c r="EC102" i="6"/>
  <c r="DW103" i="6"/>
  <c r="DO103" i="6"/>
  <c r="G107" i="6"/>
  <c r="CG107" i="6"/>
  <c r="BG107" i="6"/>
  <c r="AG107" i="6"/>
  <c r="DG107" i="6"/>
  <c r="BS105" i="6"/>
  <c r="CS105" i="6"/>
  <c r="DN103" i="6"/>
  <c r="DQ103" i="6" s="1"/>
  <c r="EG100" i="6"/>
  <c r="EH100" i="6" s="1"/>
  <c r="BD101" i="6"/>
  <c r="DD101" i="6"/>
  <c r="EH99" i="6"/>
  <c r="BZ104" i="6"/>
  <c r="CZ103" i="6"/>
  <c r="DB103" i="6"/>
  <c r="DC102" i="6"/>
  <c r="DC103" i="6"/>
  <c r="CX103" i="6"/>
  <c r="CB103" i="6"/>
  <c r="BZ103" i="6"/>
  <c r="CB104" i="6"/>
  <c r="BY102" i="6"/>
  <c r="BX102" i="6"/>
  <c r="CB102" i="6"/>
  <c r="BZ102" i="6"/>
  <c r="CC101" i="6"/>
  <c r="BX101" i="6"/>
  <c r="CC102" i="6"/>
  <c r="AX102" i="6"/>
  <c r="AQ103" i="6"/>
  <c r="B108" i="6"/>
  <c r="BH107" i="6"/>
  <c r="BI107" i="6" s="1"/>
  <c r="CH107" i="6"/>
  <c r="CI107" i="6" s="1"/>
  <c r="AB102" i="6"/>
  <c r="H107" i="6"/>
  <c r="I107" i="6" s="1"/>
  <c r="AH107" i="6"/>
  <c r="AI107" i="6" s="1"/>
  <c r="R102" i="6"/>
  <c r="AA102" i="6" s="1"/>
  <c r="DS105" i="6"/>
  <c r="DT105" i="6" s="1"/>
  <c r="S105" i="6"/>
  <c r="C108" i="6"/>
  <c r="DH108" i="6" s="1"/>
  <c r="DI108" i="6" s="1"/>
  <c r="EA108" i="6" s="1"/>
  <c r="Z103" i="6"/>
  <c r="Q103" i="6"/>
  <c r="BB103" i="6"/>
  <c r="AS105" i="6"/>
  <c r="CP104" i="6"/>
  <c r="CW104" i="6"/>
  <c r="DP104" i="6"/>
  <c r="DN104" i="6"/>
  <c r="DQ104" i="6" s="1"/>
  <c r="DW104" i="6"/>
  <c r="DO104" i="6"/>
  <c r="DY104" i="6" s="1"/>
  <c r="BQ103" i="6"/>
  <c r="CA103" i="6" s="1"/>
  <c r="M104" i="6"/>
  <c r="O104" i="6" s="1"/>
  <c r="Y104" i="6" s="1"/>
  <c r="AC101" i="6"/>
  <c r="X101" i="6"/>
  <c r="AN104" i="6"/>
  <c r="AP104" i="6"/>
  <c r="AO104" i="6"/>
  <c r="AY104" i="6" s="1"/>
  <c r="AW104" i="6"/>
  <c r="BB104" i="6" s="1"/>
  <c r="AU105" i="6"/>
  <c r="AV105" i="6" s="1"/>
  <c r="AL105" i="6"/>
  <c r="AM105" i="6" s="1"/>
  <c r="AN105" i="6" s="1"/>
  <c r="BU105" i="6"/>
  <c r="BV105" i="6" s="1"/>
  <c r="BL105" i="6"/>
  <c r="BM105" i="6" s="1"/>
  <c r="CK106" i="6"/>
  <c r="BS106" i="6"/>
  <c r="DS106" i="6"/>
  <c r="DT106" i="6" s="1"/>
  <c r="S106" i="6"/>
  <c r="AS106" i="6"/>
  <c r="CU105" i="6"/>
  <c r="CV105" i="6" s="1"/>
  <c r="CL105" i="6"/>
  <c r="CM105" i="6" s="1"/>
  <c r="CN105" i="6" s="1"/>
  <c r="U105" i="6"/>
  <c r="V105" i="6" s="1"/>
  <c r="L105" i="6"/>
  <c r="M105" i="6" s="1"/>
  <c r="N105" i="6" s="1"/>
  <c r="DU105" i="6"/>
  <c r="DV105" i="6" s="1"/>
  <c r="DL105" i="6"/>
  <c r="DM105" i="6" s="1"/>
  <c r="CO104" i="6"/>
  <c r="CY104" i="6" s="1"/>
  <c r="CN104" i="6"/>
  <c r="CQ104" i="6" s="1"/>
  <c r="BN104" i="6"/>
  <c r="BR104" i="6" s="1"/>
  <c r="BO104" i="6"/>
  <c r="BY104" i="6" s="1"/>
  <c r="BP104" i="6"/>
  <c r="A107" i="6"/>
  <c r="EF107" i="6" s="1"/>
  <c r="J106" i="6"/>
  <c r="AJ106" i="6"/>
  <c r="BJ106" i="6"/>
  <c r="CJ106" i="6"/>
  <c r="DJ106" i="6"/>
  <c r="BC103" i="6"/>
  <c r="DA104" i="6" l="1"/>
  <c r="AT106" i="6"/>
  <c r="CT105" i="6"/>
  <c r="T106" i="6"/>
  <c r="BT105" i="6"/>
  <c r="T105" i="6"/>
  <c r="BT106" i="6"/>
  <c r="AT105" i="6"/>
  <c r="W104" i="6"/>
  <c r="AB104" i="6" s="1"/>
  <c r="AX103" i="6"/>
  <c r="BD103" i="6" s="1"/>
  <c r="CD101" i="6"/>
  <c r="EB103" i="6"/>
  <c r="DZ103" i="6"/>
  <c r="DZ104" i="6"/>
  <c r="EB104" i="6"/>
  <c r="DY103" i="6"/>
  <c r="DD103" i="6"/>
  <c r="G108" i="6"/>
  <c r="CG108" i="6"/>
  <c r="BG108" i="6"/>
  <c r="AG108" i="6"/>
  <c r="DG108" i="6"/>
  <c r="DR103" i="6"/>
  <c r="BD102" i="6"/>
  <c r="CD102" i="6"/>
  <c r="CR104" i="6"/>
  <c r="K106" i="6"/>
  <c r="X102" i="6"/>
  <c r="AD102" i="6" s="1"/>
  <c r="AC102" i="6"/>
  <c r="DC104" i="6"/>
  <c r="DB104" i="6"/>
  <c r="CZ104" i="6"/>
  <c r="CX104" i="6"/>
  <c r="CC103" i="6"/>
  <c r="BX103" i="6"/>
  <c r="AD101" i="6"/>
  <c r="B109" i="6"/>
  <c r="BH108" i="6"/>
  <c r="BI108" i="6" s="1"/>
  <c r="CH108" i="6"/>
  <c r="CI108" i="6" s="1"/>
  <c r="H108" i="6"/>
  <c r="I108" i="6" s="1"/>
  <c r="AH108" i="6"/>
  <c r="AI108" i="6" s="1"/>
  <c r="C109" i="6"/>
  <c r="DH109" i="6" s="1"/>
  <c r="DI109" i="6" s="1"/>
  <c r="EA109" i="6" s="1"/>
  <c r="DR104" i="6"/>
  <c r="X103" i="6"/>
  <c r="AD103" i="6" s="1"/>
  <c r="AC103" i="6"/>
  <c r="N104" i="6"/>
  <c r="R104" i="6" s="1"/>
  <c r="AQ105" i="6"/>
  <c r="AR105" i="6"/>
  <c r="AZ104" i="6"/>
  <c r="CS106" i="6"/>
  <c r="BQ104" i="6"/>
  <c r="P104" i="6"/>
  <c r="DN105" i="6"/>
  <c r="DO105" i="6"/>
  <c r="DY105" i="6" s="1"/>
  <c r="DP105" i="6"/>
  <c r="DW105" i="6"/>
  <c r="BO105" i="6"/>
  <c r="BY105" i="6" s="1"/>
  <c r="BW105" i="6"/>
  <c r="BP105" i="6"/>
  <c r="BN105" i="6"/>
  <c r="BQ105" i="6" s="1"/>
  <c r="U106" i="6"/>
  <c r="V106" i="6" s="1"/>
  <c r="L106" i="6"/>
  <c r="BU106" i="6"/>
  <c r="BV106" i="6" s="1"/>
  <c r="BL106" i="6"/>
  <c r="CU106" i="6"/>
  <c r="CV106" i="6" s="1"/>
  <c r="CL106" i="6"/>
  <c r="CM106" i="6" s="1"/>
  <c r="BK106" i="6"/>
  <c r="AU106" i="6"/>
  <c r="AV106" i="6" s="1"/>
  <c r="AL106" i="6"/>
  <c r="AK106" i="6"/>
  <c r="DU106" i="6"/>
  <c r="DV106" i="6" s="1"/>
  <c r="DK106" i="6"/>
  <c r="DL106" i="6"/>
  <c r="DS107" i="6"/>
  <c r="DT107" i="6" s="1"/>
  <c r="S107" i="6"/>
  <c r="BK107" i="6"/>
  <c r="AS107" i="6"/>
  <c r="CS107" i="6"/>
  <c r="AQ104" i="6"/>
  <c r="AR104" i="6"/>
  <c r="BA104" i="6" s="1"/>
  <c r="CP105" i="6"/>
  <c r="CO105" i="6"/>
  <c r="CY105" i="6" s="1"/>
  <c r="AW105" i="6"/>
  <c r="BB105" i="6" s="1"/>
  <c r="CW105" i="6"/>
  <c r="AP105" i="6"/>
  <c r="AO105" i="6"/>
  <c r="AY105" i="6" s="1"/>
  <c r="O105" i="6"/>
  <c r="Y105" i="6" s="1"/>
  <c r="P105" i="6"/>
  <c r="W105" i="6"/>
  <c r="Z105" i="6" s="1"/>
  <c r="A108" i="6"/>
  <c r="EF108" i="6" s="1"/>
  <c r="DJ107" i="6"/>
  <c r="BJ107" i="6"/>
  <c r="AJ107" i="6"/>
  <c r="J107" i="6"/>
  <c r="CJ107" i="6"/>
  <c r="R105" i="6"/>
  <c r="Q105" i="6"/>
  <c r="CQ105" i="6"/>
  <c r="CR105" i="6"/>
  <c r="Z104" i="6" l="1"/>
  <c r="AA105" i="6"/>
  <c r="DA105" i="6"/>
  <c r="CA105" i="6"/>
  <c r="BA105" i="6"/>
  <c r="AT107" i="6"/>
  <c r="CT106" i="6"/>
  <c r="AA104" i="6"/>
  <c r="BX104" i="6"/>
  <c r="CD104" i="6" s="1"/>
  <c r="CA104" i="6"/>
  <c r="T107" i="6"/>
  <c r="CT107" i="6"/>
  <c r="EG101" i="6"/>
  <c r="EH101" i="6" s="1"/>
  <c r="DX104" i="6"/>
  <c r="ED104" i="6" s="1"/>
  <c r="EC103" i="6"/>
  <c r="EC104" i="6"/>
  <c r="DX103" i="6"/>
  <c r="ED103" i="6" s="1"/>
  <c r="DZ105" i="6"/>
  <c r="EB105" i="6"/>
  <c r="G109" i="6"/>
  <c r="CG109" i="6"/>
  <c r="BG109" i="6"/>
  <c r="AG109" i="6"/>
  <c r="DG109" i="6"/>
  <c r="CD103" i="6"/>
  <c r="DD104" i="6"/>
  <c r="EG102" i="6"/>
  <c r="EH102" i="6" s="1"/>
  <c r="M106" i="6"/>
  <c r="O106" i="6" s="1"/>
  <c r="Y106" i="6" s="1"/>
  <c r="DC105" i="6"/>
  <c r="DB105" i="6"/>
  <c r="CZ105" i="6"/>
  <c r="CX105" i="6"/>
  <c r="CC104" i="6"/>
  <c r="BC105" i="6"/>
  <c r="CB105" i="6"/>
  <c r="BZ105" i="6"/>
  <c r="B110" i="6"/>
  <c r="BH109" i="6"/>
  <c r="BI109" i="6" s="1"/>
  <c r="CH109" i="6"/>
  <c r="CI109" i="6" s="1"/>
  <c r="H109" i="6"/>
  <c r="I109" i="6" s="1"/>
  <c r="AH109" i="6"/>
  <c r="AI109" i="6" s="1"/>
  <c r="BM106" i="6"/>
  <c r="BO106" i="6" s="1"/>
  <c r="BY106" i="6" s="1"/>
  <c r="DK107" i="6"/>
  <c r="CK107" i="6"/>
  <c r="C110" i="6"/>
  <c r="DH110" i="6" s="1"/>
  <c r="DI110" i="6" s="1"/>
  <c r="EA110" i="6" s="1"/>
  <c r="BR105" i="6"/>
  <c r="Q104" i="6"/>
  <c r="X104" i="6" s="1"/>
  <c r="BS107" i="6"/>
  <c r="AM106" i="6"/>
  <c r="AW106" i="6" s="1"/>
  <c r="AX104" i="6"/>
  <c r="BC104" i="6"/>
  <c r="DM106" i="6"/>
  <c r="DO106" i="6" s="1"/>
  <c r="DY106" i="6" s="1"/>
  <c r="CW106" i="6"/>
  <c r="CO106" i="6"/>
  <c r="CY106" i="6" s="1"/>
  <c r="CP106" i="6"/>
  <c r="CN106" i="6"/>
  <c r="CR106" i="6" s="1"/>
  <c r="AU107" i="6"/>
  <c r="AV107" i="6" s="1"/>
  <c r="AL107" i="6"/>
  <c r="U107" i="6"/>
  <c r="V107" i="6" s="1"/>
  <c r="L107" i="6"/>
  <c r="K107" i="6"/>
  <c r="DU107" i="6"/>
  <c r="DV107" i="6" s="1"/>
  <c r="DL107" i="6"/>
  <c r="AK107" i="6"/>
  <c r="CU107" i="6"/>
  <c r="CV107" i="6" s="1"/>
  <c r="CL107" i="6"/>
  <c r="BU107" i="6"/>
  <c r="BV107" i="6" s="1"/>
  <c r="BL107" i="6"/>
  <c r="BM107" i="6" s="1"/>
  <c r="CS108" i="6"/>
  <c r="S108" i="6"/>
  <c r="DS108" i="6"/>
  <c r="DT108" i="6" s="1"/>
  <c r="BS108" i="6"/>
  <c r="AS108" i="6"/>
  <c r="DQ105" i="6"/>
  <c r="DX105" i="6" s="1"/>
  <c r="ED105" i="6" s="1"/>
  <c r="DR105" i="6"/>
  <c r="AX105" i="6"/>
  <c r="AZ105" i="6"/>
  <c r="X105" i="6"/>
  <c r="AB105" i="6"/>
  <c r="A109" i="6"/>
  <c r="EF109" i="6" s="1"/>
  <c r="AJ108" i="6"/>
  <c r="BJ108" i="6"/>
  <c r="CJ108" i="6"/>
  <c r="J108" i="6"/>
  <c r="DJ108" i="6"/>
  <c r="AC105" i="6"/>
  <c r="T108" i="6" l="1"/>
  <c r="CT108" i="6"/>
  <c r="AT108" i="6"/>
  <c r="BT108" i="6"/>
  <c r="BT107" i="6"/>
  <c r="EG103" i="6"/>
  <c r="EH103" i="6" s="1"/>
  <c r="CC105" i="6"/>
  <c r="BX105" i="6"/>
  <c r="CD105" i="6" s="1"/>
  <c r="EC105" i="6"/>
  <c r="G110" i="6"/>
  <c r="CG110" i="6"/>
  <c r="BG110" i="6"/>
  <c r="AG110" i="6"/>
  <c r="DG110" i="6"/>
  <c r="AD105" i="6"/>
  <c r="BD104" i="6"/>
  <c r="K108" i="6"/>
  <c r="W106" i="6"/>
  <c r="Z106" i="6" s="1"/>
  <c r="BD105" i="6"/>
  <c r="DD105" i="6"/>
  <c r="N106" i="6"/>
  <c r="Q106" i="6" s="1"/>
  <c r="P106" i="6"/>
  <c r="CZ106" i="6"/>
  <c r="DB106" i="6"/>
  <c r="B111" i="6"/>
  <c r="BH110" i="6"/>
  <c r="BI110" i="6" s="1"/>
  <c r="CH110" i="6"/>
  <c r="CI110" i="6" s="1"/>
  <c r="H110" i="6"/>
  <c r="I110" i="6" s="1"/>
  <c r="AH110" i="6"/>
  <c r="AI110" i="6" s="1"/>
  <c r="BP106" i="6"/>
  <c r="BN106" i="6"/>
  <c r="BR106" i="6" s="1"/>
  <c r="BW106" i="6"/>
  <c r="DM107" i="6"/>
  <c r="DP107" i="6" s="1"/>
  <c r="CM107" i="6"/>
  <c r="CP107" i="6" s="1"/>
  <c r="C111" i="6"/>
  <c r="DH111" i="6" s="1"/>
  <c r="DI111" i="6" s="1"/>
  <c r="EA111" i="6" s="1"/>
  <c r="CQ106" i="6"/>
  <c r="AC104" i="6"/>
  <c r="DP106" i="6"/>
  <c r="AP106" i="6"/>
  <c r="DN106" i="6"/>
  <c r="AN106" i="6"/>
  <c r="AZ106" i="6"/>
  <c r="BB106" i="6"/>
  <c r="DW106" i="6"/>
  <c r="AO106" i="6"/>
  <c r="AY106" i="6" s="1"/>
  <c r="AM107" i="6"/>
  <c r="AO107" i="6" s="1"/>
  <c r="AY107" i="6" s="1"/>
  <c r="BW107" i="6"/>
  <c r="BN107" i="6"/>
  <c r="BR107" i="6" s="1"/>
  <c r="BP107" i="6"/>
  <c r="BO107" i="6"/>
  <c r="BY107" i="6" s="1"/>
  <c r="BU108" i="6"/>
  <c r="BV108" i="6" s="1"/>
  <c r="BL108" i="6"/>
  <c r="BK108" i="6"/>
  <c r="U108" i="6"/>
  <c r="V108" i="6" s="1"/>
  <c r="L108" i="6"/>
  <c r="DS109" i="6"/>
  <c r="DT109" i="6" s="1"/>
  <c r="BS109" i="6"/>
  <c r="S109" i="6"/>
  <c r="CS109" i="6"/>
  <c r="AS109" i="6"/>
  <c r="M107" i="6"/>
  <c r="AU108" i="6"/>
  <c r="AV108" i="6" s="1"/>
  <c r="AL108" i="6"/>
  <c r="AK108" i="6"/>
  <c r="DU108" i="6"/>
  <c r="DV108" i="6" s="1"/>
  <c r="DL108" i="6"/>
  <c r="DK108" i="6"/>
  <c r="CU108" i="6"/>
  <c r="CV108" i="6" s="1"/>
  <c r="CL108" i="6"/>
  <c r="CK108" i="6"/>
  <c r="A110" i="6"/>
  <c r="EF110" i="6" s="1"/>
  <c r="AJ109" i="6"/>
  <c r="DJ109" i="6"/>
  <c r="J109" i="6"/>
  <c r="CJ109" i="6"/>
  <c r="BJ109" i="6"/>
  <c r="CX106" i="6" l="1"/>
  <c r="DD106" i="6" s="1"/>
  <c r="DA106" i="6"/>
  <c r="CT109" i="6"/>
  <c r="T109" i="6"/>
  <c r="AT109" i="6"/>
  <c r="BT109" i="6"/>
  <c r="AD104" i="6"/>
  <c r="EG104" i="6" s="1"/>
  <c r="EH104" i="6" s="1"/>
  <c r="EB106" i="6"/>
  <c r="DZ106" i="6"/>
  <c r="M108" i="6"/>
  <c r="W108" i="6" s="1"/>
  <c r="Z108" i="6" s="1"/>
  <c r="G111" i="6"/>
  <c r="CG111" i="6"/>
  <c r="BG111" i="6"/>
  <c r="AG111" i="6"/>
  <c r="DG111" i="6"/>
  <c r="AB106" i="6"/>
  <c r="EG105" i="6"/>
  <c r="EH105" i="6" s="1"/>
  <c r="R106" i="6"/>
  <c r="AA106" i="6" s="1"/>
  <c r="DC106" i="6"/>
  <c r="CB106" i="6"/>
  <c r="BZ106" i="6"/>
  <c r="CB107" i="6"/>
  <c r="BZ107" i="6"/>
  <c r="B112" i="6"/>
  <c r="BQ106" i="6"/>
  <c r="CA106" i="6" s="1"/>
  <c r="DO107" i="6"/>
  <c r="BH111" i="6"/>
  <c r="BI111" i="6" s="1"/>
  <c r="CH111" i="6"/>
  <c r="CI111" i="6" s="1"/>
  <c r="H111" i="6"/>
  <c r="I111" i="6" s="1"/>
  <c r="AH111" i="6"/>
  <c r="AI111" i="6" s="1"/>
  <c r="CN107" i="6"/>
  <c r="CQ107" i="6" s="1"/>
  <c r="CO107" i="6"/>
  <c r="DW107" i="6"/>
  <c r="DN107" i="6"/>
  <c r="DQ107" i="6" s="1"/>
  <c r="CW107" i="6"/>
  <c r="C112" i="6"/>
  <c r="DH112" i="6" s="1"/>
  <c r="DI112" i="6" s="1"/>
  <c r="EA112" i="6" s="1"/>
  <c r="BQ107" i="6"/>
  <c r="AN107" i="6"/>
  <c r="AQ107" i="6" s="1"/>
  <c r="AW107" i="6"/>
  <c r="AR106" i="6"/>
  <c r="BA106" i="6" s="1"/>
  <c r="AQ106" i="6"/>
  <c r="DR106" i="6"/>
  <c r="DQ106" i="6"/>
  <c r="CM108" i="6"/>
  <c r="CP108" i="6" s="1"/>
  <c r="DM108" i="6"/>
  <c r="DW108" i="6" s="1"/>
  <c r="AM108" i="6"/>
  <c r="AN108" i="6" s="1"/>
  <c r="BM108" i="6"/>
  <c r="BW108" i="6" s="1"/>
  <c r="AP107" i="6"/>
  <c r="AU109" i="6"/>
  <c r="AV109" i="6" s="1"/>
  <c r="AL109" i="6"/>
  <c r="AK109" i="6"/>
  <c r="U109" i="6"/>
  <c r="V109" i="6" s="1"/>
  <c r="K109" i="6"/>
  <c r="L109" i="6"/>
  <c r="DK110" i="6"/>
  <c r="K110" i="6"/>
  <c r="BK110" i="6"/>
  <c r="AK110" i="6"/>
  <c r="CK110" i="6"/>
  <c r="N107" i="6"/>
  <c r="W107" i="6"/>
  <c r="P107" i="6"/>
  <c r="O107" i="6"/>
  <c r="CU109" i="6"/>
  <c r="CV109" i="6" s="1"/>
  <c r="CL109" i="6"/>
  <c r="CK109" i="6"/>
  <c r="BU109" i="6"/>
  <c r="BV109" i="6" s="1"/>
  <c r="BL109" i="6"/>
  <c r="BK109" i="6"/>
  <c r="DU109" i="6"/>
  <c r="DV109" i="6" s="1"/>
  <c r="DK109" i="6"/>
  <c r="DL109" i="6"/>
  <c r="A111" i="6"/>
  <c r="EF111" i="6" s="1"/>
  <c r="J110" i="6"/>
  <c r="CJ110" i="6"/>
  <c r="DJ110" i="6"/>
  <c r="AJ110" i="6"/>
  <c r="BJ110" i="6"/>
  <c r="DA107" i="6" l="1"/>
  <c r="BX107" i="6"/>
  <c r="CA107" i="6"/>
  <c r="P108" i="6"/>
  <c r="EC106" i="6"/>
  <c r="DX106" i="6"/>
  <c r="ED106" i="6" s="1"/>
  <c r="EB107" i="6"/>
  <c r="DZ107" i="6"/>
  <c r="DY107" i="6"/>
  <c r="EB108" i="6"/>
  <c r="DZ108" i="6"/>
  <c r="N108" i="6"/>
  <c r="Q108" i="6" s="1"/>
  <c r="O108" i="6"/>
  <c r="Y108" i="6" s="1"/>
  <c r="G112" i="6"/>
  <c r="CG112" i="6"/>
  <c r="BG112" i="6"/>
  <c r="AG112" i="6"/>
  <c r="DG112" i="6"/>
  <c r="DO108" i="6"/>
  <c r="BO108" i="6"/>
  <c r="BY108" i="6" s="1"/>
  <c r="X106" i="6"/>
  <c r="AD106" i="6" s="1"/>
  <c r="AC106" i="6"/>
  <c r="CZ107" i="6"/>
  <c r="DB107" i="6"/>
  <c r="DC107" i="6"/>
  <c r="CY107" i="6"/>
  <c r="CX107" i="6"/>
  <c r="BZ108" i="6"/>
  <c r="CB108" i="6"/>
  <c r="CD107" i="6"/>
  <c r="CC107" i="6"/>
  <c r="CC106" i="6"/>
  <c r="BX106" i="6"/>
  <c r="CD106" i="6" s="1"/>
  <c r="B113" i="6"/>
  <c r="BH112" i="6"/>
  <c r="BI112" i="6" s="1"/>
  <c r="CH112" i="6"/>
  <c r="CI112" i="6" s="1"/>
  <c r="H112" i="6"/>
  <c r="I112" i="6" s="1"/>
  <c r="AH112" i="6"/>
  <c r="AI112" i="6" s="1"/>
  <c r="CR107" i="6"/>
  <c r="CS110" i="6"/>
  <c r="DS110" i="6"/>
  <c r="DT110" i="6" s="1"/>
  <c r="AS110" i="6"/>
  <c r="DR107" i="6"/>
  <c r="EC107" i="6" s="1"/>
  <c r="AB108" i="6"/>
  <c r="S110" i="6"/>
  <c r="C113" i="6"/>
  <c r="DH113" i="6" s="1"/>
  <c r="DI113" i="6" s="1"/>
  <c r="EA113" i="6" s="1"/>
  <c r="DP108" i="6"/>
  <c r="AP108" i="6"/>
  <c r="AW108" i="6"/>
  <c r="DN108" i="6"/>
  <c r="AO108" i="6"/>
  <c r="AY108" i="6" s="1"/>
  <c r="AR107" i="6"/>
  <c r="BA107" i="6" s="1"/>
  <c r="BS110" i="6"/>
  <c r="BB107" i="6"/>
  <c r="AZ107" i="6"/>
  <c r="CW108" i="6"/>
  <c r="BM109" i="6"/>
  <c r="BP109" i="6" s="1"/>
  <c r="CM109" i="6"/>
  <c r="CN109" i="6" s="1"/>
  <c r="M109" i="6"/>
  <c r="P109" i="6" s="1"/>
  <c r="CO108" i="6"/>
  <c r="BC106" i="6"/>
  <c r="AX106" i="6"/>
  <c r="BD106" i="6" s="1"/>
  <c r="CN108" i="6"/>
  <c r="BN108" i="6"/>
  <c r="DM109" i="6"/>
  <c r="DP109" i="6" s="1"/>
  <c r="BP108" i="6"/>
  <c r="AB107" i="6"/>
  <c r="Z107" i="6"/>
  <c r="Q107" i="6"/>
  <c r="R107" i="6"/>
  <c r="AA107" i="6" s="1"/>
  <c r="AU110" i="6"/>
  <c r="AV110" i="6" s="1"/>
  <c r="AL110" i="6"/>
  <c r="AM110" i="6" s="1"/>
  <c r="U110" i="6"/>
  <c r="V110" i="6" s="1"/>
  <c r="L110" i="6"/>
  <c r="M110" i="6" s="1"/>
  <c r="N110" i="6" s="1"/>
  <c r="DU110" i="6"/>
  <c r="DV110" i="6" s="1"/>
  <c r="DL110" i="6"/>
  <c r="DM110" i="6" s="1"/>
  <c r="DN110" i="6" s="1"/>
  <c r="DQ110" i="6" s="1"/>
  <c r="AM109" i="6"/>
  <c r="Y107" i="6"/>
  <c r="CU110" i="6"/>
  <c r="CV110" i="6" s="1"/>
  <c r="CL110" i="6"/>
  <c r="CM110" i="6" s="1"/>
  <c r="CW110" i="6" s="1"/>
  <c r="BU110" i="6"/>
  <c r="BV110" i="6" s="1"/>
  <c r="BL110" i="6"/>
  <c r="BM110" i="6" s="1"/>
  <c r="CK111" i="6"/>
  <c r="DK111" i="6"/>
  <c r="BS111" i="6"/>
  <c r="S111" i="6"/>
  <c r="AS111" i="6"/>
  <c r="AQ108" i="6"/>
  <c r="AR108" i="6"/>
  <c r="A112" i="6"/>
  <c r="EF112" i="6" s="1"/>
  <c r="J111" i="6"/>
  <c r="AJ111" i="6"/>
  <c r="BJ111" i="6"/>
  <c r="CJ111" i="6"/>
  <c r="DJ111" i="6"/>
  <c r="AT110" i="6" l="1"/>
  <c r="BA108" i="6"/>
  <c r="BT110" i="6"/>
  <c r="BT111" i="6"/>
  <c r="CT110" i="6"/>
  <c r="T110" i="6"/>
  <c r="AT111" i="6"/>
  <c r="T111" i="6"/>
  <c r="DX107" i="6"/>
  <c r="ED107" i="6" s="1"/>
  <c r="DY108" i="6"/>
  <c r="R108" i="6"/>
  <c r="AA108" i="6" s="1"/>
  <c r="G113" i="6"/>
  <c r="CG113" i="6"/>
  <c r="BG113" i="6"/>
  <c r="AG113" i="6"/>
  <c r="DG113" i="6"/>
  <c r="DD107" i="6"/>
  <c r="DB110" i="6"/>
  <c r="AX107" i="6"/>
  <c r="BD107" i="6" s="1"/>
  <c r="CZ110" i="6"/>
  <c r="CY108" i="6"/>
  <c r="DB108" i="6"/>
  <c r="CZ108" i="6"/>
  <c r="BC107" i="6"/>
  <c r="X107" i="6"/>
  <c r="B114" i="6"/>
  <c r="BH113" i="6"/>
  <c r="BI113" i="6" s="1"/>
  <c r="CH113" i="6"/>
  <c r="CI113" i="6" s="1"/>
  <c r="H113" i="6"/>
  <c r="I113" i="6" s="1"/>
  <c r="AH113" i="6"/>
  <c r="AI113" i="6" s="1"/>
  <c r="CS111" i="6"/>
  <c r="BK111" i="6"/>
  <c r="C114" i="6"/>
  <c r="DH114" i="6" s="1"/>
  <c r="DI114" i="6" s="1"/>
  <c r="EA114" i="6" s="1"/>
  <c r="K111" i="6"/>
  <c r="AK111" i="6"/>
  <c r="O109" i="6"/>
  <c r="Y109" i="6" s="1"/>
  <c r="BN109" i="6"/>
  <c r="AZ108" i="6"/>
  <c r="BB108" i="6"/>
  <c r="DW109" i="6"/>
  <c r="CW109" i="6"/>
  <c r="CO109" i="6"/>
  <c r="CP109" i="6"/>
  <c r="DR108" i="6"/>
  <c r="DQ108" i="6"/>
  <c r="DS111" i="6"/>
  <c r="DT111" i="6" s="1"/>
  <c r="EG106" i="6"/>
  <c r="N109" i="6"/>
  <c r="BW109" i="6"/>
  <c r="W109" i="6"/>
  <c r="BO109" i="6"/>
  <c r="P110" i="6"/>
  <c r="DO109" i="6"/>
  <c r="BQ108" i="6"/>
  <c r="CA108" i="6" s="1"/>
  <c r="BR108" i="6"/>
  <c r="CR108" i="6"/>
  <c r="CQ108" i="6"/>
  <c r="DA108" i="6" s="1"/>
  <c r="AX108" i="6"/>
  <c r="BC108" i="6"/>
  <c r="DN109" i="6"/>
  <c r="AC107" i="6"/>
  <c r="BP110" i="6"/>
  <c r="BW110" i="6"/>
  <c r="BN110" i="6"/>
  <c r="BQ110" i="6" s="1"/>
  <c r="BO110" i="6"/>
  <c r="BY110" i="6" s="1"/>
  <c r="AO110" i="6"/>
  <c r="AY110" i="6" s="1"/>
  <c r="AW110" i="6"/>
  <c r="BB110" i="6" s="1"/>
  <c r="AN110" i="6"/>
  <c r="AQ110" i="6" s="1"/>
  <c r="AP110" i="6"/>
  <c r="U111" i="6"/>
  <c r="V111" i="6" s="1"/>
  <c r="L111" i="6"/>
  <c r="DU111" i="6"/>
  <c r="DV111" i="6" s="1"/>
  <c r="DL111" i="6"/>
  <c r="DM111" i="6" s="1"/>
  <c r="CU111" i="6"/>
  <c r="CV111" i="6" s="1"/>
  <c r="CL111" i="6"/>
  <c r="CM111" i="6" s="1"/>
  <c r="CW111" i="6" s="1"/>
  <c r="AU111" i="6"/>
  <c r="AV111" i="6" s="1"/>
  <c r="AL111" i="6"/>
  <c r="BU111" i="6"/>
  <c r="BV111" i="6" s="1"/>
  <c r="BL111" i="6"/>
  <c r="DK112" i="6"/>
  <c r="BS112" i="6"/>
  <c r="S112" i="6"/>
  <c r="CS112" i="6"/>
  <c r="AK112" i="6"/>
  <c r="AP109" i="6"/>
  <c r="AN109" i="6"/>
  <c r="AO109" i="6"/>
  <c r="AW109" i="6"/>
  <c r="CQ109" i="6"/>
  <c r="CR109" i="6"/>
  <c r="CP110" i="6"/>
  <c r="CO110" i="6"/>
  <c r="CY110" i="6" s="1"/>
  <c r="CN110" i="6"/>
  <c r="CR110" i="6" s="1"/>
  <c r="O110" i="6"/>
  <c r="Y110" i="6" s="1"/>
  <c r="DP110" i="6"/>
  <c r="DO110" i="6"/>
  <c r="DY110" i="6" s="1"/>
  <c r="DW110" i="6"/>
  <c r="W110" i="6"/>
  <c r="AB110" i="6" s="1"/>
  <c r="DR110" i="6"/>
  <c r="EC110" i="6" s="1"/>
  <c r="A113" i="6"/>
  <c r="EF113" i="6" s="1"/>
  <c r="AJ112" i="6"/>
  <c r="CJ112" i="6"/>
  <c r="DJ112" i="6"/>
  <c r="J112" i="6"/>
  <c r="BJ112" i="6"/>
  <c r="R110" i="6"/>
  <c r="AA110" i="6" s="1"/>
  <c r="Q110" i="6"/>
  <c r="DA109" i="6" l="1"/>
  <c r="CA110" i="6"/>
  <c r="BT112" i="6"/>
  <c r="CT112" i="6"/>
  <c r="T112" i="6"/>
  <c r="CT111" i="6"/>
  <c r="K112" i="6"/>
  <c r="DY109" i="6"/>
  <c r="EC108" i="6"/>
  <c r="DX108" i="6"/>
  <c r="ED108" i="6" s="1"/>
  <c r="DZ110" i="6"/>
  <c r="EB110" i="6"/>
  <c r="DZ109" i="6"/>
  <c r="EB109" i="6"/>
  <c r="DX110" i="6"/>
  <c r="ED110" i="6" s="1"/>
  <c r="AC108" i="6"/>
  <c r="X108" i="6"/>
  <c r="G114" i="6"/>
  <c r="CG114" i="6"/>
  <c r="AG114" i="6"/>
  <c r="BG114" i="6"/>
  <c r="DG114" i="6"/>
  <c r="BD108" i="6"/>
  <c r="AD107" i="6"/>
  <c r="EG107" i="6" s="1"/>
  <c r="EH107" i="6" s="1"/>
  <c r="EH106" i="6"/>
  <c r="CZ111" i="6"/>
  <c r="BK112" i="6"/>
  <c r="DC109" i="6"/>
  <c r="DB111" i="6"/>
  <c r="DC108" i="6"/>
  <c r="CZ109" i="6"/>
  <c r="DB109" i="6"/>
  <c r="CY109" i="6"/>
  <c r="CX109" i="6"/>
  <c r="CX108" i="6"/>
  <c r="CC108" i="6"/>
  <c r="BX108" i="6"/>
  <c r="CB110" i="6"/>
  <c r="BZ110" i="6"/>
  <c r="BY109" i="6"/>
  <c r="CB109" i="6"/>
  <c r="BZ109" i="6"/>
  <c r="B115" i="6"/>
  <c r="BM111" i="6"/>
  <c r="BP111" i="6" s="1"/>
  <c r="BH114" i="6"/>
  <c r="BI114" i="6" s="1"/>
  <c r="CH114" i="6"/>
  <c r="CI114" i="6" s="1"/>
  <c r="H114" i="6"/>
  <c r="I114" i="6" s="1"/>
  <c r="AH114" i="6"/>
  <c r="AI114" i="6" s="1"/>
  <c r="M111" i="6"/>
  <c r="O111" i="6" s="1"/>
  <c r="AM111" i="6"/>
  <c r="AO111" i="6" s="1"/>
  <c r="AY111" i="6" s="1"/>
  <c r="DS112" i="6"/>
  <c r="DT112" i="6" s="1"/>
  <c r="C115" i="6"/>
  <c r="DH115" i="6" s="1"/>
  <c r="DI115" i="6" s="1"/>
  <c r="EA115" i="6" s="1"/>
  <c r="BR110" i="6"/>
  <c r="AR110" i="6"/>
  <c r="AZ110" i="6"/>
  <c r="BR109" i="6"/>
  <c r="BQ109" i="6"/>
  <c r="CA109" i="6" s="1"/>
  <c r="R109" i="6"/>
  <c r="AA109" i="6" s="1"/>
  <c r="Q109" i="6"/>
  <c r="Z109" i="6"/>
  <c r="AB109" i="6"/>
  <c r="AS112" i="6"/>
  <c r="DR109" i="6"/>
  <c r="DQ109" i="6"/>
  <c r="DX109" i="6" s="1"/>
  <c r="ED109" i="6" s="1"/>
  <c r="AZ109" i="6"/>
  <c r="BB109" i="6"/>
  <c r="DO111" i="6"/>
  <c r="DY111" i="6" s="1"/>
  <c r="DP111" i="6"/>
  <c r="DN111" i="6"/>
  <c r="DR111" i="6" s="1"/>
  <c r="DW111" i="6"/>
  <c r="AY109" i="6"/>
  <c r="CU112" i="6"/>
  <c r="CV112" i="6" s="1"/>
  <c r="CL112" i="6"/>
  <c r="BU112" i="6"/>
  <c r="BV112" i="6" s="1"/>
  <c r="BL112" i="6"/>
  <c r="CK113" i="6"/>
  <c r="BK113" i="6"/>
  <c r="DK113" i="6"/>
  <c r="K113" i="6"/>
  <c r="AS113" i="6"/>
  <c r="CK112" i="6"/>
  <c r="AQ109" i="6"/>
  <c r="AR109" i="6"/>
  <c r="BA109" i="6" s="1"/>
  <c r="AU112" i="6"/>
  <c r="AV112" i="6" s="1"/>
  <c r="AL112" i="6"/>
  <c r="AM112" i="6" s="1"/>
  <c r="U112" i="6"/>
  <c r="V112" i="6" s="1"/>
  <c r="L112" i="6"/>
  <c r="DU112" i="6"/>
  <c r="DV112" i="6" s="1"/>
  <c r="DL112" i="6"/>
  <c r="DM112" i="6" s="1"/>
  <c r="CQ110" i="6"/>
  <c r="DA110" i="6" s="1"/>
  <c r="Z110" i="6"/>
  <c r="CO111" i="6"/>
  <c r="CY111" i="6" s="1"/>
  <c r="CN111" i="6"/>
  <c r="CQ111" i="6" s="1"/>
  <c r="DA111" i="6" s="1"/>
  <c r="CP111" i="6"/>
  <c r="A114" i="6"/>
  <c r="EF114" i="6" s="1"/>
  <c r="AJ113" i="6"/>
  <c r="J113" i="6"/>
  <c r="CJ113" i="6"/>
  <c r="BJ113" i="6"/>
  <c r="DJ113" i="6"/>
  <c r="X110" i="6"/>
  <c r="AC110" i="6"/>
  <c r="AX110" i="6" l="1"/>
  <c r="BA110" i="6"/>
  <c r="AT112" i="6"/>
  <c r="AT113" i="6"/>
  <c r="M112" i="6"/>
  <c r="P112" i="6" s="1"/>
  <c r="BX109" i="6"/>
  <c r="BX110" i="6"/>
  <c r="CD110" i="6" s="1"/>
  <c r="CC110" i="6"/>
  <c r="N111" i="6"/>
  <c r="Q111" i="6" s="1"/>
  <c r="CD108" i="6"/>
  <c r="EB111" i="6"/>
  <c r="DZ111" i="6"/>
  <c r="EC109" i="6"/>
  <c r="AD108" i="6"/>
  <c r="G115" i="6"/>
  <c r="CG115" i="6"/>
  <c r="BG115" i="6"/>
  <c r="AG115" i="6"/>
  <c r="DG115" i="6"/>
  <c r="BM112" i="6"/>
  <c r="BN112" i="6" s="1"/>
  <c r="BQ112" i="6" s="1"/>
  <c r="AD110" i="6"/>
  <c r="DD108" i="6"/>
  <c r="DD109" i="6"/>
  <c r="BW111" i="6"/>
  <c r="BZ111" i="6" s="1"/>
  <c r="DC111" i="6"/>
  <c r="DC110" i="6"/>
  <c r="CX111" i="6"/>
  <c r="CX110" i="6"/>
  <c r="CC109" i="6"/>
  <c r="BC110" i="6"/>
  <c r="AP111" i="6"/>
  <c r="BN111" i="6"/>
  <c r="BR111" i="6" s="1"/>
  <c r="BO111" i="6"/>
  <c r="B116" i="6"/>
  <c r="AK113" i="6"/>
  <c r="S113" i="6"/>
  <c r="P111" i="6"/>
  <c r="W111" i="6"/>
  <c r="AB111" i="6" s="1"/>
  <c r="BH115" i="6"/>
  <c r="BI115" i="6" s="1"/>
  <c r="CH115" i="6"/>
  <c r="CI115" i="6" s="1"/>
  <c r="H115" i="6"/>
  <c r="I115" i="6" s="1"/>
  <c r="AH115" i="6"/>
  <c r="AI115" i="6" s="1"/>
  <c r="BS113" i="6"/>
  <c r="DS113" i="6"/>
  <c r="DT113" i="6" s="1"/>
  <c r="CS113" i="6"/>
  <c r="Y111" i="6"/>
  <c r="AN111" i="6"/>
  <c r="AQ111" i="6" s="1"/>
  <c r="AW111" i="6"/>
  <c r="BB111" i="6" s="1"/>
  <c r="CM112" i="6"/>
  <c r="CP112" i="6" s="1"/>
  <c r="C116" i="6"/>
  <c r="DH116" i="6" s="1"/>
  <c r="DI116" i="6" s="1"/>
  <c r="EA116" i="6" s="1"/>
  <c r="CR111" i="6"/>
  <c r="DQ111" i="6"/>
  <c r="DX111" i="6" s="1"/>
  <c r="ED111" i="6" s="1"/>
  <c r="AC109" i="6"/>
  <c r="X109" i="6"/>
  <c r="BC109" i="6"/>
  <c r="AX109" i="6"/>
  <c r="DO112" i="6"/>
  <c r="DY112" i="6" s="1"/>
  <c r="DW112" i="6"/>
  <c r="DN112" i="6"/>
  <c r="DQ112" i="6" s="1"/>
  <c r="DP112" i="6"/>
  <c r="AW112" i="6"/>
  <c r="AZ112" i="6" s="1"/>
  <c r="AO112" i="6"/>
  <c r="AY112" i="6" s="1"/>
  <c r="AN112" i="6"/>
  <c r="AR112" i="6" s="1"/>
  <c r="AP112" i="6"/>
  <c r="U113" i="6"/>
  <c r="V113" i="6" s="1"/>
  <c r="L113" i="6"/>
  <c r="M113" i="6" s="1"/>
  <c r="BU113" i="6"/>
  <c r="BV113" i="6" s="1"/>
  <c r="BL113" i="6"/>
  <c r="BM113" i="6" s="1"/>
  <c r="CU113" i="6"/>
  <c r="CV113" i="6" s="1"/>
  <c r="CL113" i="6"/>
  <c r="CM113" i="6" s="1"/>
  <c r="CW113" i="6" s="1"/>
  <c r="AU113" i="6"/>
  <c r="AV113" i="6" s="1"/>
  <c r="AL113" i="6"/>
  <c r="DU113" i="6"/>
  <c r="DV113" i="6" s="1"/>
  <c r="DL113" i="6"/>
  <c r="DM113" i="6" s="1"/>
  <c r="DS114" i="6"/>
  <c r="DT114" i="6" s="1"/>
  <c r="BS114" i="6"/>
  <c r="S114" i="6"/>
  <c r="AS114" i="6"/>
  <c r="CS114" i="6"/>
  <c r="A115" i="6"/>
  <c r="EF115" i="6" s="1"/>
  <c r="CJ114" i="6"/>
  <c r="AJ114" i="6"/>
  <c r="J114" i="6"/>
  <c r="BJ114" i="6"/>
  <c r="DJ114" i="6"/>
  <c r="BA112" i="6" l="1"/>
  <c r="CT113" i="6"/>
  <c r="BT113" i="6"/>
  <c r="T114" i="6"/>
  <c r="T113" i="6"/>
  <c r="CT114" i="6"/>
  <c r="AT114" i="6"/>
  <c r="BT114" i="6"/>
  <c r="O112" i="6"/>
  <c r="Y112" i="6" s="1"/>
  <c r="W112" i="6"/>
  <c r="AB112" i="6" s="1"/>
  <c r="N112" i="6"/>
  <c r="Q112" i="6" s="1"/>
  <c r="R111" i="6"/>
  <c r="CD109" i="6"/>
  <c r="BD109" i="6"/>
  <c r="BD110" i="6"/>
  <c r="DD111" i="6"/>
  <c r="DZ112" i="6"/>
  <c r="EB112" i="6"/>
  <c r="EC111" i="6"/>
  <c r="EG108" i="6"/>
  <c r="EH108" i="6" s="1"/>
  <c r="BO112" i="6"/>
  <c r="BY112" i="6" s="1"/>
  <c r="BR112" i="6"/>
  <c r="CC112" i="6" s="1"/>
  <c r="BP112" i="6"/>
  <c r="G116" i="6"/>
  <c r="CG116" i="6"/>
  <c r="BG116" i="6"/>
  <c r="AG116" i="6"/>
  <c r="DG116" i="6"/>
  <c r="BW112" i="6"/>
  <c r="CB111" i="6"/>
  <c r="AD109" i="6"/>
  <c r="DD110" i="6"/>
  <c r="BQ111" i="6"/>
  <c r="CA111" i="6" s="1"/>
  <c r="CZ113" i="6"/>
  <c r="DB113" i="6"/>
  <c r="BY111" i="6"/>
  <c r="B117" i="6"/>
  <c r="AM113" i="6"/>
  <c r="AW113" i="6" s="1"/>
  <c r="Z111" i="6"/>
  <c r="AZ111" i="6"/>
  <c r="CO112" i="6"/>
  <c r="AR111" i="6"/>
  <c r="BH116" i="6"/>
  <c r="BI116" i="6" s="1"/>
  <c r="CH116" i="6"/>
  <c r="CI116" i="6" s="1"/>
  <c r="H116" i="6"/>
  <c r="I116" i="6" s="1"/>
  <c r="AH116" i="6"/>
  <c r="AI116" i="6" s="1"/>
  <c r="CW112" i="6"/>
  <c r="CN112" i="6"/>
  <c r="CR112" i="6" s="1"/>
  <c r="C117" i="6"/>
  <c r="DH117" i="6" s="1"/>
  <c r="DI117" i="6" s="1"/>
  <c r="EA117" i="6" s="1"/>
  <c r="BB112" i="6"/>
  <c r="AQ112" i="6"/>
  <c r="BC112" i="6" s="1"/>
  <c r="DR112" i="6"/>
  <c r="AX112" i="6"/>
  <c r="CP113" i="6"/>
  <c r="BP113" i="6"/>
  <c r="BO113" i="6"/>
  <c r="BY113" i="6" s="1"/>
  <c r="BW113" i="6"/>
  <c r="BN113" i="6"/>
  <c r="BQ113" i="6" s="1"/>
  <c r="CA113" i="6" s="1"/>
  <c r="O113" i="6"/>
  <c r="Y113" i="6" s="1"/>
  <c r="P113" i="6"/>
  <c r="W113" i="6"/>
  <c r="AB113" i="6" s="1"/>
  <c r="N113" i="6"/>
  <c r="R113" i="6" s="1"/>
  <c r="DN113" i="6"/>
  <c r="DR113" i="6" s="1"/>
  <c r="DP113" i="6"/>
  <c r="DO113" i="6"/>
  <c r="DY113" i="6" s="1"/>
  <c r="DW113" i="6"/>
  <c r="AU114" i="6"/>
  <c r="AV114" i="6" s="1"/>
  <c r="AK114" i="6"/>
  <c r="AL114" i="6"/>
  <c r="BU114" i="6"/>
  <c r="BV114" i="6" s="1"/>
  <c r="BL114" i="6"/>
  <c r="BK114" i="6"/>
  <c r="DU114" i="6"/>
  <c r="DV114" i="6" s="1"/>
  <c r="DK114" i="6"/>
  <c r="DL114" i="6"/>
  <c r="CU114" i="6"/>
  <c r="CV114" i="6" s="1"/>
  <c r="CL114" i="6"/>
  <c r="CK114" i="6"/>
  <c r="U114" i="6"/>
  <c r="V114" i="6" s="1"/>
  <c r="K114" i="6"/>
  <c r="L114" i="6"/>
  <c r="CK115" i="6"/>
  <c r="DS115" i="6"/>
  <c r="DT115" i="6" s="1"/>
  <c r="S115" i="6"/>
  <c r="BS115" i="6"/>
  <c r="AK115" i="6"/>
  <c r="CO113" i="6"/>
  <c r="CY113" i="6" s="1"/>
  <c r="CN113" i="6"/>
  <c r="A116" i="6"/>
  <c r="EF116" i="6" s="1"/>
  <c r="BJ115" i="6"/>
  <c r="CJ115" i="6"/>
  <c r="J115" i="6"/>
  <c r="AJ115" i="6"/>
  <c r="DJ115" i="6"/>
  <c r="Z112" i="6" l="1"/>
  <c r="AA113" i="6"/>
  <c r="BT115" i="6"/>
  <c r="AC111" i="6"/>
  <c r="AA111" i="6"/>
  <c r="T115" i="6"/>
  <c r="R112" i="6"/>
  <c r="AC112" i="6" s="1"/>
  <c r="AX111" i="6"/>
  <c r="BA111" i="6"/>
  <c r="CA112" i="6"/>
  <c r="CS115" i="6"/>
  <c r="X111" i="6"/>
  <c r="AD111" i="6" s="1"/>
  <c r="DX112" i="6"/>
  <c r="ED112" i="6" s="1"/>
  <c r="EC112" i="6"/>
  <c r="EG109" i="6"/>
  <c r="EH109" i="6" s="1"/>
  <c r="EG110" i="6"/>
  <c r="EH110" i="6" s="1"/>
  <c r="EB113" i="6"/>
  <c r="DZ113" i="6"/>
  <c r="BZ112" i="6"/>
  <c r="BX112" i="6"/>
  <c r="G117" i="6"/>
  <c r="CG117" i="6"/>
  <c r="BG117" i="6"/>
  <c r="AG117" i="6"/>
  <c r="DG117" i="6"/>
  <c r="CB112" i="6"/>
  <c r="BX111" i="6"/>
  <c r="CC111" i="6"/>
  <c r="AP113" i="6"/>
  <c r="BC111" i="6"/>
  <c r="CZ112" i="6"/>
  <c r="DB112" i="6"/>
  <c r="CY112" i="6"/>
  <c r="BZ113" i="6"/>
  <c r="CB113" i="6"/>
  <c r="BD112" i="6"/>
  <c r="BR113" i="6"/>
  <c r="AN113" i="6"/>
  <c r="AQ113" i="6" s="1"/>
  <c r="BB113" i="6"/>
  <c r="AZ113" i="6"/>
  <c r="AO113" i="6"/>
  <c r="AY113" i="6" s="1"/>
  <c r="B118" i="6"/>
  <c r="BH117" i="6"/>
  <c r="BI117" i="6" s="1"/>
  <c r="CH117" i="6"/>
  <c r="CI117" i="6" s="1"/>
  <c r="H117" i="6"/>
  <c r="I117" i="6" s="1"/>
  <c r="AH117" i="6"/>
  <c r="AI117" i="6" s="1"/>
  <c r="CQ112" i="6"/>
  <c r="DA112" i="6" s="1"/>
  <c r="C118" i="6"/>
  <c r="DH118" i="6" s="1"/>
  <c r="DI118" i="6" s="1"/>
  <c r="EA118" i="6" s="1"/>
  <c r="K115" i="6"/>
  <c r="Z113" i="6"/>
  <c r="AS115" i="6"/>
  <c r="DQ113" i="6"/>
  <c r="Q113" i="6"/>
  <c r="M114" i="6"/>
  <c r="N114" i="6" s="1"/>
  <c r="CM114" i="6"/>
  <c r="CN114" i="6" s="1"/>
  <c r="DM114" i="6"/>
  <c r="DP114" i="6" s="1"/>
  <c r="BM114" i="6"/>
  <c r="BP114" i="6" s="1"/>
  <c r="BU115" i="6"/>
  <c r="BV115" i="6" s="1"/>
  <c r="BK115" i="6"/>
  <c r="BL115" i="6"/>
  <c r="DU115" i="6"/>
  <c r="DV115" i="6" s="1"/>
  <c r="DL115" i="6"/>
  <c r="DK115" i="6"/>
  <c r="CU115" i="6"/>
  <c r="CV115" i="6" s="1"/>
  <c r="CL115" i="6"/>
  <c r="CM115" i="6" s="1"/>
  <c r="CN115" i="6" s="1"/>
  <c r="AM114" i="6"/>
  <c r="AU115" i="6"/>
  <c r="AV115" i="6" s="1"/>
  <c r="AL115" i="6"/>
  <c r="AM115" i="6" s="1"/>
  <c r="U115" i="6"/>
  <c r="V115" i="6" s="1"/>
  <c r="L115" i="6"/>
  <c r="DS116" i="6"/>
  <c r="DT116" i="6" s="1"/>
  <c r="BK116" i="6"/>
  <c r="S116" i="6"/>
  <c r="CS116" i="6"/>
  <c r="AK116" i="6"/>
  <c r="CQ113" i="6"/>
  <c r="DA113" i="6" s="1"/>
  <c r="CR113" i="6"/>
  <c r="A117" i="6"/>
  <c r="EF117" i="6" s="1"/>
  <c r="CJ116" i="6"/>
  <c r="DJ116" i="6"/>
  <c r="BJ116" i="6"/>
  <c r="J116" i="6"/>
  <c r="AJ116" i="6"/>
  <c r="CT115" i="6" l="1"/>
  <c r="X112" i="6"/>
  <c r="AA112" i="6"/>
  <c r="AT115" i="6"/>
  <c r="CT116" i="6"/>
  <c r="T116" i="6"/>
  <c r="BS116" i="6"/>
  <c r="CC113" i="6"/>
  <c r="BX113" i="6"/>
  <c r="CD113" i="6" s="1"/>
  <c r="BD111" i="6"/>
  <c r="CD111" i="6"/>
  <c r="AD112" i="6"/>
  <c r="EC113" i="6"/>
  <c r="DX113" i="6"/>
  <c r="ED113" i="6" s="1"/>
  <c r="CO114" i="6"/>
  <c r="CY114" i="6" s="1"/>
  <c r="O114" i="6"/>
  <c r="Y114" i="6" s="1"/>
  <c r="CD112" i="6"/>
  <c r="G118" i="6"/>
  <c r="CG118" i="6"/>
  <c r="AG118" i="6"/>
  <c r="BG118" i="6"/>
  <c r="DG118" i="6"/>
  <c r="AR113" i="6"/>
  <c r="DC113" i="6"/>
  <c r="CX113" i="6"/>
  <c r="DC112" i="6"/>
  <c r="CX112" i="6"/>
  <c r="B119" i="6"/>
  <c r="BH118" i="6"/>
  <c r="BI118" i="6" s="1"/>
  <c r="CH118" i="6"/>
  <c r="CI118" i="6" s="1"/>
  <c r="H118" i="6"/>
  <c r="I118" i="6" s="1"/>
  <c r="AH118" i="6"/>
  <c r="AI118" i="6" s="1"/>
  <c r="M115" i="6"/>
  <c r="N115" i="6" s="1"/>
  <c r="Q115" i="6" s="1"/>
  <c r="C119" i="6"/>
  <c r="DH119" i="6" s="1"/>
  <c r="DI119" i="6" s="1"/>
  <c r="EA119" i="6" s="1"/>
  <c r="BW114" i="6"/>
  <c r="BO114" i="6"/>
  <c r="CW114" i="6"/>
  <c r="CR114" i="6"/>
  <c r="CQ114" i="6"/>
  <c r="BN114" i="6"/>
  <c r="CP114" i="6"/>
  <c r="AC113" i="6"/>
  <c r="X113" i="6"/>
  <c r="DM115" i="6"/>
  <c r="DW115" i="6" s="1"/>
  <c r="DN114" i="6"/>
  <c r="DR114" i="6" s="1"/>
  <c r="DO114" i="6"/>
  <c r="W114" i="6"/>
  <c r="BM115" i="6"/>
  <c r="BN115" i="6" s="1"/>
  <c r="DW114" i="6"/>
  <c r="P114" i="6"/>
  <c r="AN115" i="6"/>
  <c r="AR115" i="6" s="1"/>
  <c r="AW115" i="6"/>
  <c r="AZ115" i="6" s="1"/>
  <c r="AO115" i="6"/>
  <c r="AY115" i="6" s="1"/>
  <c r="AP115" i="6"/>
  <c r="AS116" i="6"/>
  <c r="CU116" i="6"/>
  <c r="CV116" i="6" s="1"/>
  <c r="CK116" i="6"/>
  <c r="CL116" i="6"/>
  <c r="BU116" i="6"/>
  <c r="BV116" i="6" s="1"/>
  <c r="BL116" i="6"/>
  <c r="BM116" i="6" s="1"/>
  <c r="BN116" i="6" s="1"/>
  <c r="CS117" i="6"/>
  <c r="DS117" i="6"/>
  <c r="DT117" i="6" s="1"/>
  <c r="BS117" i="6"/>
  <c r="S117" i="6"/>
  <c r="AS117" i="6"/>
  <c r="Q114" i="6"/>
  <c r="R114" i="6"/>
  <c r="AU116" i="6"/>
  <c r="AV116" i="6" s="1"/>
  <c r="AL116" i="6"/>
  <c r="AM116" i="6" s="1"/>
  <c r="AW116" i="6" s="1"/>
  <c r="U116" i="6"/>
  <c r="V116" i="6" s="1"/>
  <c r="L116" i="6"/>
  <c r="K116" i="6"/>
  <c r="DU116" i="6"/>
  <c r="DV116" i="6" s="1"/>
  <c r="DL116" i="6"/>
  <c r="DK116" i="6"/>
  <c r="AP114" i="6"/>
  <c r="AW114" i="6"/>
  <c r="AN114" i="6"/>
  <c r="AO114" i="6"/>
  <c r="CO115" i="6"/>
  <c r="CY115" i="6" s="1"/>
  <c r="CP115" i="6"/>
  <c r="CW115" i="6"/>
  <c r="A118" i="6"/>
  <c r="EF118" i="6" s="1"/>
  <c r="J117" i="6"/>
  <c r="BJ117" i="6"/>
  <c r="AJ117" i="6"/>
  <c r="DJ117" i="6"/>
  <c r="CJ117" i="6"/>
  <c r="CQ115" i="6"/>
  <c r="CR115" i="6"/>
  <c r="DA114" i="6" l="1"/>
  <c r="BA115" i="6"/>
  <c r="AA114" i="6"/>
  <c r="DA115" i="6"/>
  <c r="AT116" i="6"/>
  <c r="BT116" i="6"/>
  <c r="AT117" i="6"/>
  <c r="CT117" i="6"/>
  <c r="T117" i="6"/>
  <c r="BC113" i="6"/>
  <c r="BA113" i="6"/>
  <c r="BT117" i="6"/>
  <c r="AX113" i="6"/>
  <c r="EG111" i="6"/>
  <c r="EH111" i="6" s="1"/>
  <c r="DD113" i="6"/>
  <c r="DD112" i="6"/>
  <c r="EG112" i="6" s="1"/>
  <c r="EH112" i="6" s="1"/>
  <c r="EB114" i="6"/>
  <c r="DZ114" i="6"/>
  <c r="DY114" i="6"/>
  <c r="EB115" i="6"/>
  <c r="DZ115" i="6"/>
  <c r="CX114" i="6"/>
  <c r="G119" i="6"/>
  <c r="CG119" i="6"/>
  <c r="BG119" i="6"/>
  <c r="AG119" i="6"/>
  <c r="DG119" i="6"/>
  <c r="DC115" i="6"/>
  <c r="CZ115" i="6"/>
  <c r="DB115" i="6"/>
  <c r="DC114" i="6"/>
  <c r="CZ114" i="6"/>
  <c r="DB114" i="6"/>
  <c r="CX115" i="6"/>
  <c r="BZ114" i="6"/>
  <c r="CB114" i="6"/>
  <c r="BY114" i="6"/>
  <c r="AD113" i="6"/>
  <c r="B120" i="6"/>
  <c r="BH119" i="6"/>
  <c r="BI119" i="6" s="1"/>
  <c r="CH119" i="6"/>
  <c r="CI119" i="6" s="1"/>
  <c r="H119" i="6"/>
  <c r="I119" i="6" s="1"/>
  <c r="AH119" i="6"/>
  <c r="AI119" i="6" s="1"/>
  <c r="P115" i="6"/>
  <c r="O115" i="6"/>
  <c r="Y115" i="6" s="1"/>
  <c r="W115" i="6"/>
  <c r="AB115" i="6" s="1"/>
  <c r="BO116" i="6"/>
  <c r="BY116" i="6" s="1"/>
  <c r="C120" i="6"/>
  <c r="DH120" i="6" s="1"/>
  <c r="DI120" i="6" s="1"/>
  <c r="EA120" i="6" s="1"/>
  <c r="BB115" i="6"/>
  <c r="BP116" i="6"/>
  <c r="AQ115" i="6"/>
  <c r="R115" i="6"/>
  <c r="BW116" i="6"/>
  <c r="DQ114" i="6"/>
  <c r="DP115" i="6"/>
  <c r="BR114" i="6"/>
  <c r="BQ114" i="6"/>
  <c r="CA114" i="6" s="1"/>
  <c r="DO115" i="6"/>
  <c r="BB116" i="6"/>
  <c r="CM116" i="6"/>
  <c r="CO116" i="6" s="1"/>
  <c r="CY116" i="6" s="1"/>
  <c r="BP115" i="6"/>
  <c r="DN115" i="6"/>
  <c r="BO115" i="6"/>
  <c r="AB114" i="6"/>
  <c r="Z114" i="6"/>
  <c r="BR115" i="6"/>
  <c r="BQ115" i="6"/>
  <c r="AZ114" i="6"/>
  <c r="BB114" i="6"/>
  <c r="DM116" i="6"/>
  <c r="DO116" i="6" s="1"/>
  <c r="DY116" i="6" s="1"/>
  <c r="M116" i="6"/>
  <c r="P116" i="6" s="1"/>
  <c r="X114" i="6"/>
  <c r="AC114" i="6"/>
  <c r="BW115" i="6"/>
  <c r="AY114" i="6"/>
  <c r="U117" i="6"/>
  <c r="V117" i="6" s="1"/>
  <c r="L117" i="6"/>
  <c r="K117" i="6"/>
  <c r="DU117" i="6"/>
  <c r="DV117" i="6" s="1"/>
  <c r="DK117" i="6"/>
  <c r="DL117" i="6"/>
  <c r="CU117" i="6"/>
  <c r="CV117" i="6" s="1"/>
  <c r="CK117" i="6"/>
  <c r="CL117" i="6"/>
  <c r="AQ114" i="6"/>
  <c r="AR114" i="6"/>
  <c r="BA114" i="6" s="1"/>
  <c r="AU117" i="6"/>
  <c r="AV117" i="6" s="1"/>
  <c r="AL117" i="6"/>
  <c r="AK117" i="6"/>
  <c r="BU117" i="6"/>
  <c r="BV117" i="6" s="1"/>
  <c r="BL117" i="6"/>
  <c r="BK117" i="6"/>
  <c r="DK118" i="6"/>
  <c r="BS118" i="6"/>
  <c r="K118" i="6"/>
  <c r="CS118" i="6"/>
  <c r="AS118" i="6"/>
  <c r="AP116" i="6"/>
  <c r="AN116" i="6"/>
  <c r="AR116" i="6" s="1"/>
  <c r="AO116" i="6"/>
  <c r="AY116" i="6" s="1"/>
  <c r="AZ116" i="6"/>
  <c r="A119" i="6"/>
  <c r="EF119" i="6" s="1"/>
  <c r="DJ118" i="6"/>
  <c r="J118" i="6"/>
  <c r="AJ118" i="6"/>
  <c r="CJ118" i="6"/>
  <c r="BJ118" i="6"/>
  <c r="BR116" i="6"/>
  <c r="BQ116" i="6"/>
  <c r="CA116" i="6" l="1"/>
  <c r="CA115" i="6"/>
  <c r="BA116" i="6"/>
  <c r="AC115" i="6"/>
  <c r="AA115" i="6"/>
  <c r="BT118" i="6"/>
  <c r="AT118" i="6"/>
  <c r="CT118" i="6"/>
  <c r="W116" i="6"/>
  <c r="AB116" i="6" s="1"/>
  <c r="DW116" i="6"/>
  <c r="BD113" i="6"/>
  <c r="EG113" i="6" s="1"/>
  <c r="EH113" i="6" s="1"/>
  <c r="EB116" i="6"/>
  <c r="DZ116" i="6"/>
  <c r="DY115" i="6"/>
  <c r="EC114" i="6"/>
  <c r="DX114" i="6"/>
  <c r="ED114" i="6" s="1"/>
  <c r="G120" i="6"/>
  <c r="CG120" i="6"/>
  <c r="BG120" i="6"/>
  <c r="AG120" i="6"/>
  <c r="DG120" i="6"/>
  <c r="DD115" i="6"/>
  <c r="DD114" i="6"/>
  <c r="AD114" i="6"/>
  <c r="CC116" i="6"/>
  <c r="BZ115" i="6"/>
  <c r="CB115" i="6"/>
  <c r="CC115" i="6"/>
  <c r="BY115" i="6"/>
  <c r="BX115" i="6"/>
  <c r="CC114" i="6"/>
  <c r="CB116" i="6"/>
  <c r="BZ116" i="6"/>
  <c r="BX114" i="6"/>
  <c r="CD114" i="6" s="1"/>
  <c r="BX116" i="6"/>
  <c r="AX114" i="6"/>
  <c r="B121" i="6"/>
  <c r="X115" i="6"/>
  <c r="BH120" i="6"/>
  <c r="BI120" i="6" s="1"/>
  <c r="CH120" i="6"/>
  <c r="CI120" i="6" s="1"/>
  <c r="H120" i="6"/>
  <c r="I120" i="6" s="1"/>
  <c r="AH120" i="6"/>
  <c r="AI120" i="6" s="1"/>
  <c r="BC115" i="6"/>
  <c r="Z115" i="6"/>
  <c r="C121" i="6"/>
  <c r="DH121" i="6" s="1"/>
  <c r="DI121" i="6" s="1"/>
  <c r="EA121" i="6" s="1"/>
  <c r="AX115" i="6"/>
  <c r="BD115" i="6" s="1"/>
  <c r="CP116" i="6"/>
  <c r="CN116" i="6"/>
  <c r="CR116" i="6" s="1"/>
  <c r="CW116" i="6"/>
  <c r="DP116" i="6"/>
  <c r="N116" i="6"/>
  <c r="DR115" i="6"/>
  <c r="DQ115" i="6"/>
  <c r="DX115" i="6" s="1"/>
  <c r="ED115" i="6" s="1"/>
  <c r="CK118" i="6"/>
  <c r="BM117" i="6"/>
  <c r="BP117" i="6" s="1"/>
  <c r="O116" i="6"/>
  <c r="Y116" i="6" s="1"/>
  <c r="CM117" i="6"/>
  <c r="CO117" i="6" s="1"/>
  <c r="CY117" i="6" s="1"/>
  <c r="S118" i="6"/>
  <c r="AQ116" i="6"/>
  <c r="BC116" i="6" s="1"/>
  <c r="AM117" i="6"/>
  <c r="AP117" i="6" s="1"/>
  <c r="DM117" i="6"/>
  <c r="DW117" i="6" s="1"/>
  <c r="M117" i="6"/>
  <c r="W117" i="6" s="1"/>
  <c r="DN116" i="6"/>
  <c r="BC114" i="6"/>
  <c r="DS118" i="6"/>
  <c r="DT118" i="6" s="1"/>
  <c r="AU118" i="6"/>
  <c r="AV118" i="6" s="1"/>
  <c r="AL118" i="6"/>
  <c r="AK118" i="6"/>
  <c r="U118" i="6"/>
  <c r="V118" i="6" s="1"/>
  <c r="L118" i="6"/>
  <c r="M118" i="6" s="1"/>
  <c r="CS119" i="6"/>
  <c r="DS119" i="6"/>
  <c r="DT119" i="6" s="1"/>
  <c r="BK119" i="6"/>
  <c r="S119" i="6"/>
  <c r="AK119" i="6"/>
  <c r="CU118" i="6"/>
  <c r="CV118" i="6" s="1"/>
  <c r="CL118" i="6"/>
  <c r="BU118" i="6"/>
  <c r="BV118" i="6" s="1"/>
  <c r="BL118" i="6"/>
  <c r="DU118" i="6"/>
  <c r="DV118" i="6" s="1"/>
  <c r="DL118" i="6"/>
  <c r="DM118" i="6" s="1"/>
  <c r="BK118" i="6"/>
  <c r="A120" i="6"/>
  <c r="EF120" i="6" s="1"/>
  <c r="BJ119" i="6"/>
  <c r="CJ119" i="6"/>
  <c r="J119" i="6"/>
  <c r="AJ119" i="6"/>
  <c r="DJ119" i="6"/>
  <c r="T118" i="6" l="1"/>
  <c r="CT119" i="6"/>
  <c r="T119" i="6"/>
  <c r="Z116" i="6"/>
  <c r="AO117" i="6"/>
  <c r="AY117" i="6" s="1"/>
  <c r="BM118" i="6"/>
  <c r="BN118" i="6" s="1"/>
  <c r="EB117" i="6"/>
  <c r="DZ117" i="6"/>
  <c r="EC115" i="6"/>
  <c r="G121" i="6"/>
  <c r="CG121" i="6"/>
  <c r="BG121" i="6"/>
  <c r="AG121" i="6"/>
  <c r="DG121" i="6"/>
  <c r="CD116" i="6"/>
  <c r="BD114" i="6"/>
  <c r="EG114" i="6" s="1"/>
  <c r="EH114" i="6" s="1"/>
  <c r="AD115" i="6"/>
  <c r="CD115" i="6"/>
  <c r="CM118" i="6"/>
  <c r="CP118" i="6" s="1"/>
  <c r="BS119" i="6"/>
  <c r="CZ116" i="6"/>
  <c r="DB116" i="6"/>
  <c r="B122" i="6"/>
  <c r="BH121" i="6"/>
  <c r="BI121" i="6" s="1"/>
  <c r="CH121" i="6"/>
  <c r="CI121" i="6" s="1"/>
  <c r="H121" i="6"/>
  <c r="I121" i="6" s="1"/>
  <c r="AH121" i="6"/>
  <c r="AI121" i="6" s="1"/>
  <c r="C122" i="6"/>
  <c r="DH122" i="6" s="1"/>
  <c r="DI122" i="6" s="1"/>
  <c r="EA122" i="6" s="1"/>
  <c r="AM118" i="6"/>
  <c r="AW118" i="6" s="1"/>
  <c r="AZ118" i="6" s="1"/>
  <c r="P117" i="6"/>
  <c r="CQ116" i="6"/>
  <c r="DA116" i="6" s="1"/>
  <c r="AX116" i="6"/>
  <c r="DP117" i="6"/>
  <c r="BW117" i="6"/>
  <c r="BN117" i="6"/>
  <c r="BR117" i="6" s="1"/>
  <c r="N117" i="6"/>
  <c r="AW117" i="6"/>
  <c r="BO117" i="6"/>
  <c r="CN117" i="6"/>
  <c r="R116" i="6"/>
  <c r="AA116" i="6" s="1"/>
  <c r="Q116" i="6"/>
  <c r="AS119" i="6"/>
  <c r="DN117" i="6"/>
  <c r="CW117" i="6"/>
  <c r="DO117" i="6"/>
  <c r="CP117" i="6"/>
  <c r="Z117" i="6"/>
  <c r="AB117" i="6"/>
  <c r="W118" i="6"/>
  <c r="O118" i="6"/>
  <c r="Y118" i="6" s="1"/>
  <c r="P118" i="6"/>
  <c r="N118" i="6"/>
  <c r="Q118" i="6" s="1"/>
  <c r="O117" i="6"/>
  <c r="Y117" i="6" s="1"/>
  <c r="AN117" i="6"/>
  <c r="DR116" i="6"/>
  <c r="DQ116" i="6"/>
  <c r="DW118" i="6"/>
  <c r="DP118" i="6"/>
  <c r="DN118" i="6"/>
  <c r="DR118" i="6" s="1"/>
  <c r="DO118" i="6"/>
  <c r="DY118" i="6" s="1"/>
  <c r="AU119" i="6"/>
  <c r="AV119" i="6" s="1"/>
  <c r="AL119" i="6"/>
  <c r="AM119" i="6" s="1"/>
  <c r="BU119" i="6"/>
  <c r="BV119" i="6" s="1"/>
  <c r="BL119" i="6"/>
  <c r="BM119" i="6" s="1"/>
  <c r="DS120" i="6"/>
  <c r="DT120" i="6" s="1"/>
  <c r="S120" i="6"/>
  <c r="BS120" i="6"/>
  <c r="AS120" i="6"/>
  <c r="CK120" i="6"/>
  <c r="U119" i="6"/>
  <c r="V119" i="6" s="1"/>
  <c r="L119" i="6"/>
  <c r="DU119" i="6"/>
  <c r="DV119" i="6" s="1"/>
  <c r="DL119" i="6"/>
  <c r="CU119" i="6"/>
  <c r="CV119" i="6" s="1"/>
  <c r="CK119" i="6"/>
  <c r="CL119" i="6"/>
  <c r="K119" i="6"/>
  <c r="DK119" i="6"/>
  <c r="A121" i="6"/>
  <c r="EF121" i="6" s="1"/>
  <c r="DJ120" i="6"/>
  <c r="J120" i="6"/>
  <c r="CJ120" i="6"/>
  <c r="AJ120" i="6"/>
  <c r="BJ120" i="6"/>
  <c r="BT119" i="6" l="1"/>
  <c r="BT120" i="6"/>
  <c r="AT119" i="6"/>
  <c r="T120" i="6"/>
  <c r="AT120" i="6"/>
  <c r="BW118" i="6"/>
  <c r="CB118" i="6" s="1"/>
  <c r="BP118" i="6"/>
  <c r="BO118" i="6"/>
  <c r="BY118" i="6" s="1"/>
  <c r="DZ118" i="6"/>
  <c r="EB118" i="6"/>
  <c r="DY117" i="6"/>
  <c r="EC116" i="6"/>
  <c r="DX116" i="6"/>
  <c r="ED116" i="6" s="1"/>
  <c r="X116" i="6"/>
  <c r="G122" i="6"/>
  <c r="CG122" i="6"/>
  <c r="BG122" i="6"/>
  <c r="AG122" i="6"/>
  <c r="DG122" i="6"/>
  <c r="BD116" i="6"/>
  <c r="EG115" i="6"/>
  <c r="EH115" i="6" s="1"/>
  <c r="CO118" i="6"/>
  <c r="CY118" i="6" s="1"/>
  <c r="CN118" i="6"/>
  <c r="CR118" i="6" s="1"/>
  <c r="CW118" i="6"/>
  <c r="CZ118" i="6" s="1"/>
  <c r="CS120" i="6"/>
  <c r="M119" i="6"/>
  <c r="O119" i="6" s="1"/>
  <c r="Y119" i="6" s="1"/>
  <c r="AO118" i="6"/>
  <c r="AY118" i="6" s="1"/>
  <c r="DM119" i="6"/>
  <c r="DO119" i="6" s="1"/>
  <c r="DY119" i="6" s="1"/>
  <c r="DB117" i="6"/>
  <c r="CZ117" i="6"/>
  <c r="DC116" i="6"/>
  <c r="CX116" i="6"/>
  <c r="DD116" i="6" s="1"/>
  <c r="BY117" i="6"/>
  <c r="BZ117" i="6"/>
  <c r="CB117" i="6"/>
  <c r="B123" i="6"/>
  <c r="BH122" i="6"/>
  <c r="BI122" i="6" s="1"/>
  <c r="CH122" i="6"/>
  <c r="CI122" i="6" s="1"/>
  <c r="H122" i="6"/>
  <c r="I122" i="6" s="1"/>
  <c r="AH122" i="6"/>
  <c r="AI122" i="6" s="1"/>
  <c r="DQ118" i="6"/>
  <c r="BK120" i="6"/>
  <c r="AP118" i="6"/>
  <c r="AN118" i="6"/>
  <c r="AQ118" i="6" s="1"/>
  <c r="C123" i="6"/>
  <c r="DH123" i="6" s="1"/>
  <c r="DI123" i="6" s="1"/>
  <c r="EA123" i="6" s="1"/>
  <c r="BQ117" i="6"/>
  <c r="BB118" i="6"/>
  <c r="AC116" i="6"/>
  <c r="CR117" i="6"/>
  <c r="CQ117" i="6"/>
  <c r="DA117" i="6" s="1"/>
  <c r="AZ117" i="6"/>
  <c r="BB117" i="6"/>
  <c r="Q117" i="6"/>
  <c r="R117" i="6"/>
  <c r="AA117" i="6" s="1"/>
  <c r="DQ117" i="6"/>
  <c r="DR117" i="6"/>
  <c r="AP119" i="6"/>
  <c r="AW119" i="6"/>
  <c r="AZ119" i="6" s="1"/>
  <c r="R118" i="6"/>
  <c r="CM119" i="6"/>
  <c r="CN119" i="6" s="1"/>
  <c r="AQ117" i="6"/>
  <c r="AR117" i="6"/>
  <c r="BA117" i="6" s="1"/>
  <c r="Z118" i="6"/>
  <c r="AB118" i="6"/>
  <c r="BO119" i="6"/>
  <c r="BY119" i="6" s="1"/>
  <c r="BP119" i="6"/>
  <c r="BN119" i="6"/>
  <c r="BW119" i="6"/>
  <c r="CU120" i="6"/>
  <c r="CV120" i="6" s="1"/>
  <c r="CL120" i="6"/>
  <c r="CM120" i="6" s="1"/>
  <c r="CN120" i="6" s="1"/>
  <c r="CR120" i="6" s="1"/>
  <c r="BU120" i="6"/>
  <c r="BV120" i="6" s="1"/>
  <c r="BL120" i="6"/>
  <c r="DU120" i="6"/>
  <c r="DV120" i="6" s="1"/>
  <c r="DK120" i="6"/>
  <c r="DL120" i="6"/>
  <c r="AU120" i="6"/>
  <c r="AV120" i="6" s="1"/>
  <c r="AK120" i="6"/>
  <c r="AL120" i="6"/>
  <c r="U120" i="6"/>
  <c r="V120" i="6" s="1"/>
  <c r="L120" i="6"/>
  <c r="S121" i="6"/>
  <c r="BS121" i="6"/>
  <c r="DS121" i="6"/>
  <c r="DT121" i="6" s="1"/>
  <c r="AS121" i="6"/>
  <c r="CS121" i="6"/>
  <c r="K120" i="6"/>
  <c r="BR118" i="6"/>
  <c r="BQ118" i="6"/>
  <c r="AO119" i="6"/>
  <c r="AY119" i="6" s="1"/>
  <c r="AN119" i="6"/>
  <c r="A122" i="6"/>
  <c r="EF122" i="6" s="1"/>
  <c r="DJ121" i="6"/>
  <c r="CJ121" i="6"/>
  <c r="J121" i="6"/>
  <c r="AJ121" i="6"/>
  <c r="BJ121" i="6"/>
  <c r="CA118" i="6" l="1"/>
  <c r="CT120" i="6"/>
  <c r="AC118" i="6"/>
  <c r="AA118" i="6"/>
  <c r="AT121" i="6"/>
  <c r="BX117" i="6"/>
  <c r="CA117" i="6"/>
  <c r="CT121" i="6"/>
  <c r="BT121" i="6"/>
  <c r="T121" i="6"/>
  <c r="BZ118" i="6"/>
  <c r="EC118" i="6"/>
  <c r="EC117" i="6"/>
  <c r="DX118" i="6"/>
  <c r="ED118" i="6" s="1"/>
  <c r="DX117" i="6"/>
  <c r="ED117" i="6" s="1"/>
  <c r="AD116" i="6"/>
  <c r="EG116" i="6" s="1"/>
  <c r="EH116" i="6" s="1"/>
  <c r="G123" i="6"/>
  <c r="CG123" i="6"/>
  <c r="BG123" i="6"/>
  <c r="AG123" i="6"/>
  <c r="DG123" i="6"/>
  <c r="CQ118" i="6"/>
  <c r="DB118" i="6"/>
  <c r="N119" i="6"/>
  <c r="R119" i="6" s="1"/>
  <c r="DN119" i="6"/>
  <c r="DQ119" i="6" s="1"/>
  <c r="DP119" i="6"/>
  <c r="P119" i="6"/>
  <c r="DW119" i="6"/>
  <c r="W119" i="6"/>
  <c r="AB119" i="6" s="1"/>
  <c r="X118" i="6"/>
  <c r="DC117" i="6"/>
  <c r="CX117" i="6"/>
  <c r="CC118" i="6"/>
  <c r="CC117" i="6"/>
  <c r="BX118" i="6"/>
  <c r="CB119" i="6"/>
  <c r="BZ119" i="6"/>
  <c r="B124" i="6"/>
  <c r="BM120" i="6"/>
  <c r="BP120" i="6" s="1"/>
  <c r="AR118" i="6"/>
  <c r="BH123" i="6"/>
  <c r="BI123" i="6" s="1"/>
  <c r="CH123" i="6"/>
  <c r="CI123" i="6" s="1"/>
  <c r="H123" i="6"/>
  <c r="I123" i="6" s="1"/>
  <c r="AH123" i="6"/>
  <c r="AI123" i="6" s="1"/>
  <c r="C124" i="6"/>
  <c r="DH124" i="6" s="1"/>
  <c r="DI124" i="6" s="1"/>
  <c r="EA124" i="6" s="1"/>
  <c r="CP119" i="6"/>
  <c r="CW119" i="6"/>
  <c r="AC117" i="6"/>
  <c r="X117" i="6"/>
  <c r="CR119" i="6"/>
  <c r="CQ119" i="6"/>
  <c r="CO119" i="6"/>
  <c r="BB119" i="6"/>
  <c r="M120" i="6"/>
  <c r="O120" i="6" s="1"/>
  <c r="Y120" i="6" s="1"/>
  <c r="AM120" i="6"/>
  <c r="AP120" i="6" s="1"/>
  <c r="DM120" i="6"/>
  <c r="DN120" i="6" s="1"/>
  <c r="AX117" i="6"/>
  <c r="BC117" i="6"/>
  <c r="AU121" i="6"/>
  <c r="AV121" i="6" s="1"/>
  <c r="AK121" i="6"/>
  <c r="AL121" i="6"/>
  <c r="BU121" i="6"/>
  <c r="BV121" i="6" s="1"/>
  <c r="BL121" i="6"/>
  <c r="U121" i="6"/>
  <c r="V121" i="6" s="1"/>
  <c r="L121" i="6"/>
  <c r="K121" i="6"/>
  <c r="BK121" i="6"/>
  <c r="CU121" i="6"/>
  <c r="CV121" i="6" s="1"/>
  <c r="CL121" i="6"/>
  <c r="CK121" i="6"/>
  <c r="DU121" i="6"/>
  <c r="DV121" i="6" s="1"/>
  <c r="DL121" i="6"/>
  <c r="DK121" i="6"/>
  <c r="DS122" i="6"/>
  <c r="DT122" i="6" s="1"/>
  <c r="BK122" i="6"/>
  <c r="S122" i="6"/>
  <c r="CS122" i="6"/>
  <c r="AS122" i="6"/>
  <c r="BR119" i="6"/>
  <c r="BQ119" i="6"/>
  <c r="CA119" i="6" s="1"/>
  <c r="CP120" i="6"/>
  <c r="AQ119" i="6"/>
  <c r="AR119" i="6"/>
  <c r="BA119" i="6" s="1"/>
  <c r="CQ120" i="6"/>
  <c r="CW120" i="6"/>
  <c r="CO120" i="6"/>
  <c r="CY120" i="6" s="1"/>
  <c r="A123" i="6"/>
  <c r="EF123" i="6" s="1"/>
  <c r="CJ122" i="6"/>
  <c r="J122" i="6"/>
  <c r="AJ122" i="6"/>
  <c r="DJ122" i="6"/>
  <c r="BJ122" i="6"/>
  <c r="DA120" i="6" l="1"/>
  <c r="DA119" i="6"/>
  <c r="CT122" i="6"/>
  <c r="AX118" i="6"/>
  <c r="BA118" i="6"/>
  <c r="T122" i="6"/>
  <c r="AA119" i="6"/>
  <c r="AT122" i="6"/>
  <c r="DC118" i="6"/>
  <c r="DA118" i="6"/>
  <c r="CD118" i="6"/>
  <c r="CD117" i="6"/>
  <c r="DZ119" i="6"/>
  <c r="EB119" i="6"/>
  <c r="EC119" i="6"/>
  <c r="DW120" i="6"/>
  <c r="G124" i="6"/>
  <c r="CG124" i="6"/>
  <c r="BG124" i="6"/>
  <c r="AG124" i="6"/>
  <c r="DG124" i="6"/>
  <c r="CX118" i="6"/>
  <c r="AD117" i="6"/>
  <c r="BD117" i="6"/>
  <c r="DD117" i="6"/>
  <c r="AD118" i="6"/>
  <c r="BM121" i="6"/>
  <c r="BW121" i="6" s="1"/>
  <c r="DR119" i="6"/>
  <c r="DX119" i="6" s="1"/>
  <c r="ED119" i="6" s="1"/>
  <c r="Q119" i="6"/>
  <c r="AK122" i="6"/>
  <c r="BO120" i="6"/>
  <c r="BY120" i="6" s="1"/>
  <c r="Z119" i="6"/>
  <c r="DC120" i="6"/>
  <c r="DC119" i="6"/>
  <c r="CX120" i="6"/>
  <c r="CZ120" i="6"/>
  <c r="DB120" i="6"/>
  <c r="CY119" i="6"/>
  <c r="CX119" i="6"/>
  <c r="CZ119" i="6"/>
  <c r="DB119" i="6"/>
  <c r="CC119" i="6"/>
  <c r="BX119" i="6"/>
  <c r="CD119" i="6" s="1"/>
  <c r="BC118" i="6"/>
  <c r="BN120" i="6"/>
  <c r="BR120" i="6" s="1"/>
  <c r="BW120" i="6"/>
  <c r="B125" i="6"/>
  <c r="BH124" i="6"/>
  <c r="BI124" i="6" s="1"/>
  <c r="CH124" i="6"/>
  <c r="CI124" i="6" s="1"/>
  <c r="H124" i="6"/>
  <c r="I124" i="6" s="1"/>
  <c r="AH124" i="6"/>
  <c r="AI124" i="6" s="1"/>
  <c r="AC119" i="6"/>
  <c r="K122" i="6"/>
  <c r="X119" i="6"/>
  <c r="DK122" i="6"/>
  <c r="C125" i="6"/>
  <c r="DH125" i="6" s="1"/>
  <c r="DI125" i="6" s="1"/>
  <c r="EA125" i="6" s="1"/>
  <c r="CK122" i="6"/>
  <c r="W120" i="6"/>
  <c r="AO120" i="6"/>
  <c r="AY120" i="6" s="1"/>
  <c r="AN120" i="6"/>
  <c r="N120" i="6"/>
  <c r="DO120" i="6"/>
  <c r="DR120" i="6"/>
  <c r="DQ120" i="6"/>
  <c r="CM121" i="6"/>
  <c r="CP121" i="6" s="1"/>
  <c r="M121" i="6"/>
  <c r="N121" i="6" s="1"/>
  <c r="AM121" i="6"/>
  <c r="AW121" i="6" s="1"/>
  <c r="P120" i="6"/>
  <c r="DP120" i="6"/>
  <c r="DM121" i="6"/>
  <c r="DN121" i="6" s="1"/>
  <c r="AW120" i="6"/>
  <c r="BS122" i="6"/>
  <c r="AU122" i="6"/>
  <c r="AV122" i="6" s="1"/>
  <c r="AL122" i="6"/>
  <c r="U122" i="6"/>
  <c r="V122" i="6" s="1"/>
  <c r="L122" i="6"/>
  <c r="CK123" i="6"/>
  <c r="S123" i="6"/>
  <c r="DK123" i="6"/>
  <c r="BK123" i="6"/>
  <c r="AS123" i="6"/>
  <c r="CU122" i="6"/>
  <c r="CV122" i="6" s="1"/>
  <c r="CL122" i="6"/>
  <c r="BU122" i="6"/>
  <c r="BV122" i="6" s="1"/>
  <c r="BL122" i="6"/>
  <c r="BM122" i="6" s="1"/>
  <c r="DU122" i="6"/>
  <c r="DV122" i="6" s="1"/>
  <c r="DL122" i="6"/>
  <c r="AX119" i="6"/>
  <c r="BC119" i="6"/>
  <c r="A124" i="6"/>
  <c r="EF124" i="6" s="1"/>
  <c r="AJ123" i="6"/>
  <c r="DJ123" i="6"/>
  <c r="J123" i="6"/>
  <c r="CJ123" i="6"/>
  <c r="BJ123" i="6"/>
  <c r="T123" i="6" l="1"/>
  <c r="AM122" i="6"/>
  <c r="AN122" i="6" s="1"/>
  <c r="AR122" i="6" s="1"/>
  <c r="BT122" i="6"/>
  <c r="AT123" i="6"/>
  <c r="DD118" i="6"/>
  <c r="BD118" i="6"/>
  <c r="DZ120" i="6"/>
  <c r="EB120" i="6"/>
  <c r="EC120" i="6"/>
  <c r="DY120" i="6"/>
  <c r="DX120" i="6"/>
  <c r="ED120" i="6" s="1"/>
  <c r="G125" i="6"/>
  <c r="CG125" i="6"/>
  <c r="BG125" i="6"/>
  <c r="AG125" i="6"/>
  <c r="DG125" i="6"/>
  <c r="AN121" i="6"/>
  <c r="AR121" i="6" s="1"/>
  <c r="CW121" i="6"/>
  <c r="DB121" i="6" s="1"/>
  <c r="EG117" i="6"/>
  <c r="EH117" i="6" s="1"/>
  <c r="BP121" i="6"/>
  <c r="AD119" i="6"/>
  <c r="BD119" i="6"/>
  <c r="O121" i="6"/>
  <c r="Y121" i="6" s="1"/>
  <c r="BO121" i="6"/>
  <c r="BY121" i="6" s="1"/>
  <c r="BN121" i="6"/>
  <c r="BR121" i="6" s="1"/>
  <c r="DD119" i="6"/>
  <c r="DD120" i="6"/>
  <c r="BZ121" i="6"/>
  <c r="CB121" i="6"/>
  <c r="CB120" i="6"/>
  <c r="BZ120" i="6"/>
  <c r="BQ120" i="6"/>
  <c r="CA120" i="6" s="1"/>
  <c r="B126" i="6"/>
  <c r="DM122" i="6"/>
  <c r="DN122" i="6" s="1"/>
  <c r="M122" i="6"/>
  <c r="W122" i="6" s="1"/>
  <c r="AB122" i="6" s="1"/>
  <c r="BH125" i="6"/>
  <c r="BI125" i="6" s="1"/>
  <c r="CH125" i="6"/>
  <c r="CI125" i="6" s="1"/>
  <c r="H125" i="6"/>
  <c r="I125" i="6" s="1"/>
  <c r="AH125" i="6"/>
  <c r="AI125" i="6" s="1"/>
  <c r="BS123" i="6"/>
  <c r="K123" i="6"/>
  <c r="CS123" i="6"/>
  <c r="CM122" i="6"/>
  <c r="CN122" i="6" s="1"/>
  <c r="CR122" i="6" s="1"/>
  <c r="C126" i="6"/>
  <c r="DH126" i="6" s="1"/>
  <c r="DI126" i="6" s="1"/>
  <c r="EA126" i="6" s="1"/>
  <c r="AB120" i="6"/>
  <c r="Z120" i="6"/>
  <c r="AO121" i="6"/>
  <c r="AY121" i="6" s="1"/>
  <c r="CO121" i="6"/>
  <c r="W121" i="6"/>
  <c r="AQ120" i="6"/>
  <c r="AR120" i="6"/>
  <c r="BA120" i="6" s="1"/>
  <c r="AZ121" i="6"/>
  <c r="BB121" i="6"/>
  <c r="AP121" i="6"/>
  <c r="CN121" i="6"/>
  <c r="Q120" i="6"/>
  <c r="R120" i="6"/>
  <c r="AA120" i="6" s="1"/>
  <c r="DP121" i="6"/>
  <c r="AP122" i="6"/>
  <c r="AW122" i="6"/>
  <c r="AZ122" i="6" s="1"/>
  <c r="DS123" i="6"/>
  <c r="DT123" i="6" s="1"/>
  <c r="P121" i="6"/>
  <c r="DO121" i="6"/>
  <c r="DQ121" i="6"/>
  <c r="DR121" i="6"/>
  <c r="DW121" i="6"/>
  <c r="AZ120" i="6"/>
  <c r="BB120" i="6"/>
  <c r="BP122" i="6"/>
  <c r="BN122" i="6"/>
  <c r="BR122" i="6" s="1"/>
  <c r="BW122" i="6"/>
  <c r="BO122" i="6"/>
  <c r="BY122" i="6" s="1"/>
  <c r="AU123" i="6"/>
  <c r="AV123" i="6" s="1"/>
  <c r="AL123" i="6"/>
  <c r="DU123" i="6"/>
  <c r="DV123" i="6" s="1"/>
  <c r="DL123" i="6"/>
  <c r="DM123" i="6" s="1"/>
  <c r="DK124" i="6"/>
  <c r="K124" i="6"/>
  <c r="BK124" i="6"/>
  <c r="CK124" i="6"/>
  <c r="AS124" i="6"/>
  <c r="R121" i="6"/>
  <c r="Q121" i="6"/>
  <c r="BU123" i="6"/>
  <c r="BV123" i="6" s="1"/>
  <c r="BL123" i="6"/>
  <c r="BM123" i="6" s="1"/>
  <c r="U123" i="6"/>
  <c r="V123" i="6" s="1"/>
  <c r="L123" i="6"/>
  <c r="CU123" i="6"/>
  <c r="CV123" i="6" s="1"/>
  <c r="CL123" i="6"/>
  <c r="CM123" i="6" s="1"/>
  <c r="CN123" i="6" s="1"/>
  <c r="CR123" i="6" s="1"/>
  <c r="AK123" i="6"/>
  <c r="A125" i="6"/>
  <c r="EF125" i="6" s="1"/>
  <c r="BJ124" i="6"/>
  <c r="AJ124" i="6"/>
  <c r="J124" i="6"/>
  <c r="CJ124" i="6"/>
  <c r="DJ124" i="6"/>
  <c r="AO122" i="6" l="1"/>
  <c r="AY122" i="6" s="1"/>
  <c r="EG118" i="6"/>
  <c r="EH118" i="6" s="1"/>
  <c r="BA121" i="6"/>
  <c r="BT123" i="6"/>
  <c r="CT123" i="6"/>
  <c r="BA122" i="6"/>
  <c r="AA121" i="6"/>
  <c r="AT124" i="6"/>
  <c r="AK124" i="6"/>
  <c r="EG119" i="6"/>
  <c r="EH119" i="6" s="1"/>
  <c r="DY121" i="6"/>
  <c r="DX121" i="6"/>
  <c r="ED121" i="6" s="1"/>
  <c r="EB121" i="6"/>
  <c r="DZ121" i="6"/>
  <c r="EC121" i="6"/>
  <c r="G126" i="6"/>
  <c r="CG126" i="6"/>
  <c r="BG126" i="6"/>
  <c r="AG126" i="6"/>
  <c r="DG126" i="6"/>
  <c r="AQ121" i="6"/>
  <c r="BC121" i="6" s="1"/>
  <c r="CZ121" i="6"/>
  <c r="BQ121" i="6"/>
  <c r="CA121" i="6" s="1"/>
  <c r="Z122" i="6"/>
  <c r="CY121" i="6"/>
  <c r="BZ122" i="6"/>
  <c r="CB122" i="6"/>
  <c r="CC120" i="6"/>
  <c r="BX120" i="6"/>
  <c r="DP122" i="6"/>
  <c r="DW122" i="6"/>
  <c r="DO122" i="6"/>
  <c r="B127" i="6"/>
  <c r="DS124" i="6"/>
  <c r="DT124" i="6" s="1"/>
  <c r="BS124" i="6"/>
  <c r="CS124" i="6"/>
  <c r="S124" i="6"/>
  <c r="N122" i="6"/>
  <c r="R122" i="6" s="1"/>
  <c r="O122" i="6"/>
  <c r="Y122" i="6" s="1"/>
  <c r="CO122" i="6"/>
  <c r="P122" i="6"/>
  <c r="BH126" i="6"/>
  <c r="BI126" i="6" s="1"/>
  <c r="CH126" i="6"/>
  <c r="CI126" i="6" s="1"/>
  <c r="H126" i="6"/>
  <c r="I126" i="6" s="1"/>
  <c r="AH126" i="6"/>
  <c r="AI126" i="6" s="1"/>
  <c r="M123" i="6"/>
  <c r="W123" i="6" s="1"/>
  <c r="AB123" i="6" s="1"/>
  <c r="CP122" i="6"/>
  <c r="CW122" i="6"/>
  <c r="AM123" i="6"/>
  <c r="AP123" i="6" s="1"/>
  <c r="C127" i="6"/>
  <c r="DH127" i="6" s="1"/>
  <c r="DI127" i="6" s="1"/>
  <c r="EA127" i="6" s="1"/>
  <c r="BQ122" i="6"/>
  <c r="AQ122" i="6"/>
  <c r="BC122" i="6" s="1"/>
  <c r="Z121" i="6"/>
  <c r="AB121" i="6"/>
  <c r="BC120" i="6"/>
  <c r="AX120" i="6"/>
  <c r="CQ121" i="6"/>
  <c r="DA121" i="6" s="1"/>
  <c r="CR121" i="6"/>
  <c r="AC120" i="6"/>
  <c r="X120" i="6"/>
  <c r="BB122" i="6"/>
  <c r="CQ122" i="6"/>
  <c r="CO123" i="6"/>
  <c r="CY123" i="6" s="1"/>
  <c r="X121" i="6"/>
  <c r="AC121" i="6"/>
  <c r="DP123" i="6"/>
  <c r="DO123" i="6"/>
  <c r="DY123" i="6" s="1"/>
  <c r="DN123" i="6"/>
  <c r="DQ123" i="6" s="1"/>
  <c r="DW123" i="6"/>
  <c r="BW123" i="6"/>
  <c r="BO123" i="6"/>
  <c r="BY123" i="6" s="1"/>
  <c r="BN123" i="6"/>
  <c r="BR123" i="6" s="1"/>
  <c r="BP123" i="6"/>
  <c r="CU124" i="6"/>
  <c r="CV124" i="6" s="1"/>
  <c r="CL124" i="6"/>
  <c r="CM124" i="6" s="1"/>
  <c r="U124" i="6"/>
  <c r="V124" i="6" s="1"/>
  <c r="L124" i="6"/>
  <c r="M124" i="6" s="1"/>
  <c r="CK125" i="6"/>
  <c r="BK125" i="6"/>
  <c r="DK125" i="6"/>
  <c r="S125" i="6"/>
  <c r="AK125" i="6"/>
  <c r="AU124" i="6"/>
  <c r="AV124" i="6" s="1"/>
  <c r="AL124" i="6"/>
  <c r="BU124" i="6"/>
  <c r="BV124" i="6" s="1"/>
  <c r="BL124" i="6"/>
  <c r="BM124" i="6" s="1"/>
  <c r="DU124" i="6"/>
  <c r="DV124" i="6" s="1"/>
  <c r="DL124" i="6"/>
  <c r="DM124" i="6" s="1"/>
  <c r="DQ122" i="6"/>
  <c r="DR122" i="6"/>
  <c r="CQ123" i="6"/>
  <c r="CP123" i="6"/>
  <c r="CW123" i="6"/>
  <c r="A126" i="6"/>
  <c r="EF126" i="6" s="1"/>
  <c r="J125" i="6"/>
  <c r="AJ125" i="6"/>
  <c r="BJ125" i="6"/>
  <c r="DJ125" i="6"/>
  <c r="CJ125" i="6"/>
  <c r="DA122" i="6" l="1"/>
  <c r="DA123" i="6"/>
  <c r="BT124" i="6"/>
  <c r="BX122" i="6"/>
  <c r="CA122" i="6"/>
  <c r="AA122" i="6"/>
  <c r="T124" i="6"/>
  <c r="T125" i="6"/>
  <c r="CT124" i="6"/>
  <c r="AM124" i="6"/>
  <c r="AW124" i="6" s="1"/>
  <c r="AZ124" i="6" s="1"/>
  <c r="CD120" i="6"/>
  <c r="BD120" i="6"/>
  <c r="AX121" i="6"/>
  <c r="EC122" i="6"/>
  <c r="DZ123" i="6"/>
  <c r="EB123" i="6"/>
  <c r="DZ122" i="6"/>
  <c r="EB122" i="6"/>
  <c r="DY122" i="6"/>
  <c r="DX122" i="6"/>
  <c r="ED122" i="6" s="1"/>
  <c r="G127" i="6"/>
  <c r="CG127" i="6"/>
  <c r="BG127" i="6"/>
  <c r="AG127" i="6"/>
  <c r="DG127" i="6"/>
  <c r="CC121" i="6"/>
  <c r="AD121" i="6"/>
  <c r="AD120" i="6"/>
  <c r="BX121" i="6"/>
  <c r="CS125" i="6"/>
  <c r="DB123" i="6"/>
  <c r="CZ123" i="6"/>
  <c r="DC123" i="6"/>
  <c r="DC122" i="6"/>
  <c r="DC121" i="6"/>
  <c r="CX121" i="6"/>
  <c r="CZ122" i="6"/>
  <c r="DB122" i="6"/>
  <c r="CY122" i="6"/>
  <c r="CX122" i="6"/>
  <c r="CX123" i="6"/>
  <c r="CB123" i="6"/>
  <c r="BZ123" i="6"/>
  <c r="CC122" i="6"/>
  <c r="B128" i="6"/>
  <c r="AO123" i="6"/>
  <c r="AY123" i="6" s="1"/>
  <c r="AN123" i="6"/>
  <c r="AQ123" i="6" s="1"/>
  <c r="Q122" i="6"/>
  <c r="X122" i="6" s="1"/>
  <c r="AW123" i="6"/>
  <c r="AZ123" i="6" s="1"/>
  <c r="BH127" i="6"/>
  <c r="BI127" i="6" s="1"/>
  <c r="CH127" i="6"/>
  <c r="CI127" i="6" s="1"/>
  <c r="H127" i="6"/>
  <c r="I127" i="6" s="1"/>
  <c r="AH127" i="6"/>
  <c r="AI127" i="6" s="1"/>
  <c r="N123" i="6"/>
  <c r="O123" i="6"/>
  <c r="Y123" i="6" s="1"/>
  <c r="K125" i="6"/>
  <c r="P123" i="6"/>
  <c r="AS125" i="6"/>
  <c r="C128" i="6"/>
  <c r="DH128" i="6" s="1"/>
  <c r="DI128" i="6" s="1"/>
  <c r="EA128" i="6" s="1"/>
  <c r="Z123" i="6"/>
  <c r="BQ123" i="6"/>
  <c r="CA123" i="6" s="1"/>
  <c r="DR123" i="6"/>
  <c r="DX123" i="6" s="1"/>
  <c r="ED123" i="6" s="1"/>
  <c r="AX122" i="6"/>
  <c r="BD122" i="6" s="1"/>
  <c r="DS125" i="6"/>
  <c r="DT125" i="6" s="1"/>
  <c r="P124" i="6"/>
  <c r="W124" i="6"/>
  <c r="Z124" i="6" s="1"/>
  <c r="O124" i="6"/>
  <c r="Y124" i="6" s="1"/>
  <c r="N124" i="6"/>
  <c r="R124" i="6" s="1"/>
  <c r="CW124" i="6"/>
  <c r="CP124" i="6"/>
  <c r="CN124" i="6"/>
  <c r="CR124" i="6" s="1"/>
  <c r="CO124" i="6"/>
  <c r="CY124" i="6" s="1"/>
  <c r="DW124" i="6"/>
  <c r="DO124" i="6"/>
  <c r="DY124" i="6" s="1"/>
  <c r="DN124" i="6"/>
  <c r="DR124" i="6" s="1"/>
  <c r="DP124" i="6"/>
  <c r="BN124" i="6"/>
  <c r="BW124" i="6"/>
  <c r="BP124" i="6"/>
  <c r="BO124" i="6"/>
  <c r="BY124" i="6" s="1"/>
  <c r="BS125" i="6"/>
  <c r="AU125" i="6"/>
  <c r="AV125" i="6" s="1"/>
  <c r="AL125" i="6"/>
  <c r="AM125" i="6" s="1"/>
  <c r="AP125" i="6" s="1"/>
  <c r="DU125" i="6"/>
  <c r="DV125" i="6" s="1"/>
  <c r="DL125" i="6"/>
  <c r="DM125" i="6" s="1"/>
  <c r="DS126" i="6"/>
  <c r="DT126" i="6" s="1"/>
  <c r="BK126" i="6"/>
  <c r="S126" i="6"/>
  <c r="AS126" i="6"/>
  <c r="CK126" i="6"/>
  <c r="U125" i="6"/>
  <c r="V125" i="6" s="1"/>
  <c r="L125" i="6"/>
  <c r="BU125" i="6"/>
  <c r="BV125" i="6" s="1"/>
  <c r="BL125" i="6"/>
  <c r="BM125" i="6" s="1"/>
  <c r="CU125" i="6"/>
  <c r="CV125" i="6" s="1"/>
  <c r="CL125" i="6"/>
  <c r="CM125" i="6" s="1"/>
  <c r="A127" i="6"/>
  <c r="EF127" i="6" s="1"/>
  <c r="CJ126" i="6"/>
  <c r="J126" i="6"/>
  <c r="BJ126" i="6"/>
  <c r="DJ126" i="6"/>
  <c r="AJ126" i="6"/>
  <c r="AA124" i="6" l="1"/>
  <c r="BT125" i="6"/>
  <c r="CT125" i="6"/>
  <c r="T126" i="6"/>
  <c r="AT125" i="6"/>
  <c r="AT126" i="6"/>
  <c r="AN124" i="6"/>
  <c r="AQ124" i="6" s="1"/>
  <c r="AO124" i="6"/>
  <c r="AY124" i="6" s="1"/>
  <c r="AP124" i="6"/>
  <c r="EC123" i="6"/>
  <c r="BD121" i="6"/>
  <c r="CD122" i="6"/>
  <c r="CD121" i="6"/>
  <c r="EG120" i="6"/>
  <c r="EH120" i="6" s="1"/>
  <c r="DZ124" i="6"/>
  <c r="EB124" i="6"/>
  <c r="AC122" i="6"/>
  <c r="G128" i="6"/>
  <c r="CG128" i="6"/>
  <c r="BG128" i="6"/>
  <c r="AG128" i="6"/>
  <c r="DG128" i="6"/>
  <c r="DD123" i="6"/>
  <c r="DD121" i="6"/>
  <c r="BB123" i="6"/>
  <c r="DD122" i="6"/>
  <c r="CZ124" i="6"/>
  <c r="DB124" i="6"/>
  <c r="CB124" i="6"/>
  <c r="BZ124" i="6"/>
  <c r="CC123" i="6"/>
  <c r="BX123" i="6"/>
  <c r="B129" i="6"/>
  <c r="AR123" i="6"/>
  <c r="AD122" i="6"/>
  <c r="BH128" i="6"/>
  <c r="BI128" i="6" s="1"/>
  <c r="CH128" i="6"/>
  <c r="CI128" i="6" s="1"/>
  <c r="H128" i="6"/>
  <c r="I128" i="6" s="1"/>
  <c r="AH128" i="6"/>
  <c r="AI128" i="6" s="1"/>
  <c r="R123" i="6"/>
  <c r="AA123" i="6" s="1"/>
  <c r="Q123" i="6"/>
  <c r="M125" i="6"/>
  <c r="N125" i="6" s="1"/>
  <c r="AB124" i="6"/>
  <c r="BS126" i="6"/>
  <c r="C129" i="6"/>
  <c r="DH129" i="6" s="1"/>
  <c r="DI129" i="6" s="1"/>
  <c r="EA129" i="6" s="1"/>
  <c r="CQ124" i="6"/>
  <c r="DA124" i="6" s="1"/>
  <c r="AW125" i="6"/>
  <c r="AZ125" i="6" s="1"/>
  <c r="DQ124" i="6"/>
  <c r="DX124" i="6" s="1"/>
  <c r="ED124" i="6" s="1"/>
  <c r="Q124" i="6"/>
  <c r="X124" i="6" s="1"/>
  <c r="AO125" i="6"/>
  <c r="AY125" i="6" s="1"/>
  <c r="AN125" i="6"/>
  <c r="AQ125" i="6" s="1"/>
  <c r="BB124" i="6"/>
  <c r="CP125" i="6"/>
  <c r="CO125" i="6"/>
  <c r="CY125" i="6" s="1"/>
  <c r="CN125" i="6"/>
  <c r="CR125" i="6" s="1"/>
  <c r="CW125" i="6"/>
  <c r="BP125" i="6"/>
  <c r="BW125" i="6"/>
  <c r="DW125" i="6"/>
  <c r="DO125" i="6"/>
  <c r="DY125" i="6" s="1"/>
  <c r="DP125" i="6"/>
  <c r="DN125" i="6"/>
  <c r="DR125" i="6" s="1"/>
  <c r="CS126" i="6"/>
  <c r="AU126" i="6"/>
  <c r="AV126" i="6" s="1"/>
  <c r="AK126" i="6"/>
  <c r="AL126" i="6"/>
  <c r="BU126" i="6"/>
  <c r="BV126" i="6" s="1"/>
  <c r="BL126" i="6"/>
  <c r="BM126" i="6" s="1"/>
  <c r="DU126" i="6"/>
  <c r="DV126" i="6" s="1"/>
  <c r="DL126" i="6"/>
  <c r="DK126" i="6"/>
  <c r="CU126" i="6"/>
  <c r="CV126" i="6" s="1"/>
  <c r="CL126" i="6"/>
  <c r="CM126" i="6" s="1"/>
  <c r="U126" i="6"/>
  <c r="V126" i="6" s="1"/>
  <c r="L126" i="6"/>
  <c r="K126" i="6"/>
  <c r="CK127" i="6"/>
  <c r="BS127" i="6"/>
  <c r="DS127" i="6"/>
  <c r="DT127" i="6" s="1"/>
  <c r="S127" i="6"/>
  <c r="AS127" i="6"/>
  <c r="BQ124" i="6"/>
  <c r="CA124" i="6" s="1"/>
  <c r="BR124" i="6"/>
  <c r="BO125" i="6"/>
  <c r="BY125" i="6" s="1"/>
  <c r="BN125" i="6"/>
  <c r="BR125" i="6" s="1"/>
  <c r="A128" i="6"/>
  <c r="EF128" i="6" s="1"/>
  <c r="CJ127" i="6"/>
  <c r="BJ127" i="6"/>
  <c r="J127" i="6"/>
  <c r="AJ127" i="6"/>
  <c r="DJ127" i="6"/>
  <c r="BT126" i="6" l="1"/>
  <c r="CT126" i="6"/>
  <c r="T127" i="6"/>
  <c r="BT127" i="6"/>
  <c r="BC123" i="6"/>
  <c r="BA123" i="6"/>
  <c r="AT127" i="6"/>
  <c r="AR124" i="6"/>
  <c r="AX124" i="6" s="1"/>
  <c r="BD124" i="6" s="1"/>
  <c r="EG121" i="6"/>
  <c r="EH121" i="6" s="1"/>
  <c r="CD123" i="6"/>
  <c r="EB125" i="6"/>
  <c r="DZ125" i="6"/>
  <c r="EC124" i="6"/>
  <c r="G129" i="6"/>
  <c r="CG129" i="6"/>
  <c r="BG129" i="6"/>
  <c r="AG129" i="6"/>
  <c r="DG129" i="6"/>
  <c r="EG122" i="6"/>
  <c r="EH122" i="6" s="1"/>
  <c r="CZ125" i="6"/>
  <c r="DB125" i="6"/>
  <c r="DC124" i="6"/>
  <c r="CX124" i="6"/>
  <c r="BZ125" i="6"/>
  <c r="CB125" i="6"/>
  <c r="CC124" i="6"/>
  <c r="BX124" i="6"/>
  <c r="AX123" i="6"/>
  <c r="B130" i="6"/>
  <c r="O125" i="6"/>
  <c r="Y125" i="6" s="1"/>
  <c r="W125" i="6"/>
  <c r="Z125" i="6" s="1"/>
  <c r="BH129" i="6"/>
  <c r="BI129" i="6" s="1"/>
  <c r="CH129" i="6"/>
  <c r="CI129" i="6" s="1"/>
  <c r="H129" i="6"/>
  <c r="I129" i="6" s="1"/>
  <c r="AH129" i="6"/>
  <c r="AI129" i="6" s="1"/>
  <c r="P125" i="6"/>
  <c r="AC123" i="6"/>
  <c r="X123" i="6"/>
  <c r="AR125" i="6"/>
  <c r="C130" i="6"/>
  <c r="DH130" i="6" s="1"/>
  <c r="DI130" i="6" s="1"/>
  <c r="EA130" i="6" s="1"/>
  <c r="BB125" i="6"/>
  <c r="DQ125" i="6"/>
  <c r="CQ125" i="6"/>
  <c r="DA125" i="6" s="1"/>
  <c r="AC124" i="6"/>
  <c r="BQ125" i="6"/>
  <c r="CA125" i="6" s="1"/>
  <c r="CS127" i="6"/>
  <c r="M126" i="6"/>
  <c r="N126" i="6" s="1"/>
  <c r="DM126" i="6"/>
  <c r="DN126" i="6" s="1"/>
  <c r="AM126" i="6"/>
  <c r="AW126" i="6" s="1"/>
  <c r="Q125" i="6"/>
  <c r="R125" i="6"/>
  <c r="BO126" i="6"/>
  <c r="BY126" i="6" s="1"/>
  <c r="BN126" i="6"/>
  <c r="BQ126" i="6" s="1"/>
  <c r="BW126" i="6"/>
  <c r="BP126" i="6"/>
  <c r="CO126" i="6"/>
  <c r="CY126" i="6" s="1"/>
  <c r="CN126" i="6"/>
  <c r="CR126" i="6" s="1"/>
  <c r="CP126" i="6"/>
  <c r="CW126" i="6"/>
  <c r="AU127" i="6"/>
  <c r="AV127" i="6" s="1"/>
  <c r="AL127" i="6"/>
  <c r="AK127" i="6"/>
  <c r="DU127" i="6"/>
  <c r="DV127" i="6" s="1"/>
  <c r="DL127" i="6"/>
  <c r="DS128" i="6"/>
  <c r="DT128" i="6" s="1"/>
  <c r="BS128" i="6"/>
  <c r="S128" i="6"/>
  <c r="CS128" i="6"/>
  <c r="AS128" i="6"/>
  <c r="U127" i="6"/>
  <c r="V127" i="6" s="1"/>
  <c r="K127" i="6"/>
  <c r="L127" i="6"/>
  <c r="BU127" i="6"/>
  <c r="BV127" i="6" s="1"/>
  <c r="BK127" i="6"/>
  <c r="BL127" i="6"/>
  <c r="CU127" i="6"/>
  <c r="CV127" i="6" s="1"/>
  <c r="CL127" i="6"/>
  <c r="CM127" i="6" s="1"/>
  <c r="DK127" i="6"/>
  <c r="A129" i="6"/>
  <c r="EF129" i="6" s="1"/>
  <c r="BJ128" i="6"/>
  <c r="J128" i="6"/>
  <c r="AJ128" i="6"/>
  <c r="DJ128" i="6"/>
  <c r="CJ128" i="6"/>
  <c r="CA126" i="6" l="1"/>
  <c r="AA125" i="6"/>
  <c r="BT128" i="6"/>
  <c r="BC125" i="6"/>
  <c r="BA125" i="6"/>
  <c r="CT127" i="6"/>
  <c r="AT128" i="6"/>
  <c r="CT128" i="6"/>
  <c r="T128" i="6"/>
  <c r="BC124" i="6"/>
  <c r="BA124" i="6"/>
  <c r="DW126" i="6"/>
  <c r="DZ126" i="6" s="1"/>
  <c r="AD124" i="6"/>
  <c r="EB126" i="6"/>
  <c r="EC125" i="6"/>
  <c r="DX125" i="6"/>
  <c r="ED125" i="6" s="1"/>
  <c r="G130" i="6"/>
  <c r="CG130" i="6"/>
  <c r="AG130" i="6"/>
  <c r="BG130" i="6"/>
  <c r="DG130" i="6"/>
  <c r="CD124" i="6"/>
  <c r="DD124" i="6"/>
  <c r="BD123" i="6"/>
  <c r="DC125" i="6"/>
  <c r="CZ126" i="6"/>
  <c r="DB126" i="6"/>
  <c r="CX125" i="6"/>
  <c r="DD125" i="6" s="1"/>
  <c r="CB126" i="6"/>
  <c r="BZ126" i="6"/>
  <c r="CC125" i="6"/>
  <c r="AX125" i="6"/>
  <c r="BX125" i="6"/>
  <c r="CD125" i="6" s="1"/>
  <c r="AD123" i="6"/>
  <c r="B131" i="6"/>
  <c r="AB125" i="6"/>
  <c r="BH130" i="6"/>
  <c r="BI130" i="6" s="1"/>
  <c r="CH130" i="6"/>
  <c r="CI130" i="6" s="1"/>
  <c r="H130" i="6"/>
  <c r="I130" i="6" s="1"/>
  <c r="AH130" i="6"/>
  <c r="AI130" i="6" s="1"/>
  <c r="C131" i="6"/>
  <c r="DH131" i="6" s="1"/>
  <c r="DI131" i="6" s="1"/>
  <c r="EA131" i="6" s="1"/>
  <c r="AP126" i="6"/>
  <c r="P126" i="6"/>
  <c r="AN126" i="6"/>
  <c r="AQ126" i="6" s="1"/>
  <c r="W126" i="6"/>
  <c r="Z126" i="6" s="1"/>
  <c r="BR126" i="6"/>
  <c r="CQ126" i="6"/>
  <c r="DP126" i="6"/>
  <c r="DQ126" i="6"/>
  <c r="DR126" i="6"/>
  <c r="DO126" i="6"/>
  <c r="AZ126" i="6"/>
  <c r="BB126" i="6"/>
  <c r="R126" i="6"/>
  <c r="Q126" i="6"/>
  <c r="DM127" i="6"/>
  <c r="DN127" i="6" s="1"/>
  <c r="AM127" i="6"/>
  <c r="AO126" i="6"/>
  <c r="AY126" i="6" s="1"/>
  <c r="O126" i="6"/>
  <c r="Y126" i="6" s="1"/>
  <c r="M127" i="6"/>
  <c r="N127" i="6" s="1"/>
  <c r="AC125" i="6"/>
  <c r="X125" i="6"/>
  <c r="CO127" i="6"/>
  <c r="CY127" i="6" s="1"/>
  <c r="CP127" i="6"/>
  <c r="CW127" i="6"/>
  <c r="CN127" i="6"/>
  <c r="CR127" i="6" s="1"/>
  <c r="BM127" i="6"/>
  <c r="AU128" i="6"/>
  <c r="AV128" i="6" s="1"/>
  <c r="AL128" i="6"/>
  <c r="AK128" i="6"/>
  <c r="U128" i="6"/>
  <c r="V128" i="6" s="1"/>
  <c r="K128" i="6"/>
  <c r="L128" i="6"/>
  <c r="DU128" i="6"/>
  <c r="DV128" i="6" s="1"/>
  <c r="DL128" i="6"/>
  <c r="DK128" i="6"/>
  <c r="CU128" i="6"/>
  <c r="CV128" i="6" s="1"/>
  <c r="CL128" i="6"/>
  <c r="CK128" i="6"/>
  <c r="BU128" i="6"/>
  <c r="BV128" i="6" s="1"/>
  <c r="BK128" i="6"/>
  <c r="BL128" i="6"/>
  <c r="CK129" i="6"/>
  <c r="DS129" i="6"/>
  <c r="DT129" i="6" s="1"/>
  <c r="BK129" i="6"/>
  <c r="K129" i="6"/>
  <c r="AS129" i="6"/>
  <c r="A130" i="6"/>
  <c r="EF130" i="6" s="1"/>
  <c r="AJ129" i="6"/>
  <c r="CJ129" i="6"/>
  <c r="J129" i="6"/>
  <c r="BJ129" i="6"/>
  <c r="DJ129" i="6"/>
  <c r="AA126" i="6" l="1"/>
  <c r="DO127" i="6"/>
  <c r="DY127" i="6" s="1"/>
  <c r="AT129" i="6"/>
  <c r="CX126" i="6"/>
  <c r="DA126" i="6"/>
  <c r="AR126" i="6"/>
  <c r="BA126" i="6" s="1"/>
  <c r="CC126" i="6"/>
  <c r="BX126" i="6"/>
  <c r="CD126" i="6" s="1"/>
  <c r="AB126" i="6"/>
  <c r="DY126" i="6"/>
  <c r="DX126" i="6"/>
  <c r="ED126" i="6" s="1"/>
  <c r="EC126" i="6"/>
  <c r="G131" i="6"/>
  <c r="BG131" i="6"/>
  <c r="CG131" i="6"/>
  <c r="AG131" i="6"/>
  <c r="DG131" i="6"/>
  <c r="EG123" i="6"/>
  <c r="EH123" i="6" s="1"/>
  <c r="EG124" i="6"/>
  <c r="EH124" i="6" s="1"/>
  <c r="BD125" i="6"/>
  <c r="AC126" i="6"/>
  <c r="DB127" i="6"/>
  <c r="CZ127" i="6"/>
  <c r="DC126" i="6"/>
  <c r="AD125" i="6"/>
  <c r="B132" i="6"/>
  <c r="BH131" i="6"/>
  <c r="BI131" i="6" s="1"/>
  <c r="CH131" i="6"/>
  <c r="CI131" i="6" s="1"/>
  <c r="H131" i="6"/>
  <c r="I131" i="6" s="1"/>
  <c r="AH131" i="6"/>
  <c r="AI131" i="6" s="1"/>
  <c r="AX126" i="6"/>
  <c r="C132" i="6"/>
  <c r="DH132" i="6" s="1"/>
  <c r="DI132" i="6" s="1"/>
  <c r="EA132" i="6" s="1"/>
  <c r="BS129" i="6"/>
  <c r="X126" i="6"/>
  <c r="CQ127" i="6"/>
  <c r="W127" i="6"/>
  <c r="DP127" i="6"/>
  <c r="DQ127" i="6"/>
  <c r="DR127" i="6"/>
  <c r="P127" i="6"/>
  <c r="DW127" i="6"/>
  <c r="BM128" i="6"/>
  <c r="BP128" i="6" s="1"/>
  <c r="CS129" i="6"/>
  <c r="AP127" i="6"/>
  <c r="AN127" i="6"/>
  <c r="AO127" i="6"/>
  <c r="AW127" i="6"/>
  <c r="AM128" i="6"/>
  <c r="AO128" i="6" s="1"/>
  <c r="AY128" i="6" s="1"/>
  <c r="R127" i="6"/>
  <c r="Q127" i="6"/>
  <c r="S129" i="6"/>
  <c r="DM128" i="6"/>
  <c r="DW128" i="6" s="1"/>
  <c r="M128" i="6"/>
  <c r="W128" i="6" s="1"/>
  <c r="O127" i="6"/>
  <c r="Y127" i="6" s="1"/>
  <c r="AU129" i="6"/>
  <c r="AV129" i="6" s="1"/>
  <c r="AK129" i="6"/>
  <c r="AL129" i="6"/>
  <c r="BU129" i="6"/>
  <c r="BV129" i="6" s="1"/>
  <c r="BL129" i="6"/>
  <c r="BM129" i="6" s="1"/>
  <c r="BW129" i="6" s="1"/>
  <c r="DK130" i="6"/>
  <c r="BK130" i="6"/>
  <c r="K130" i="6"/>
  <c r="CS130" i="6"/>
  <c r="AS130" i="6"/>
  <c r="CM128" i="6"/>
  <c r="BO127" i="6"/>
  <c r="BW127" i="6"/>
  <c r="BN127" i="6"/>
  <c r="BP127" i="6"/>
  <c r="U129" i="6"/>
  <c r="V129" i="6" s="1"/>
  <c r="L129" i="6"/>
  <c r="M129" i="6" s="1"/>
  <c r="P129" i="6" s="1"/>
  <c r="DU129" i="6"/>
  <c r="DV129" i="6" s="1"/>
  <c r="DL129" i="6"/>
  <c r="CU129" i="6"/>
  <c r="CV129" i="6" s="1"/>
  <c r="CL129" i="6"/>
  <c r="CM129" i="6" s="1"/>
  <c r="DK129" i="6"/>
  <c r="A131" i="6"/>
  <c r="EF131" i="6" s="1"/>
  <c r="BJ130" i="6"/>
  <c r="J130" i="6"/>
  <c r="CJ130" i="6"/>
  <c r="DJ130" i="6"/>
  <c r="AJ130" i="6"/>
  <c r="BT129" i="6" l="1"/>
  <c r="CT129" i="6"/>
  <c r="CT130" i="6"/>
  <c r="T129" i="6"/>
  <c r="AT130" i="6"/>
  <c r="AA127" i="6"/>
  <c r="BC126" i="6"/>
  <c r="CX127" i="6"/>
  <c r="DA127" i="6"/>
  <c r="AD126" i="6"/>
  <c r="DD126" i="6"/>
  <c r="DZ128" i="6"/>
  <c r="EB128" i="6"/>
  <c r="EC127" i="6"/>
  <c r="DX127" i="6"/>
  <c r="ED127" i="6" s="1"/>
  <c r="EB127" i="6"/>
  <c r="DZ127" i="6"/>
  <c r="BD126" i="6"/>
  <c r="O128" i="6"/>
  <c r="Y128" i="6" s="1"/>
  <c r="G132" i="6"/>
  <c r="CG132" i="6"/>
  <c r="BG132" i="6"/>
  <c r="AG132" i="6"/>
  <c r="DG132" i="6"/>
  <c r="EG125" i="6"/>
  <c r="EH125" i="6" s="1"/>
  <c r="DM129" i="6"/>
  <c r="DW129" i="6" s="1"/>
  <c r="BZ129" i="6"/>
  <c r="CB129" i="6"/>
  <c r="AC127" i="6"/>
  <c r="DC127" i="6"/>
  <c r="BY127" i="6"/>
  <c r="CB127" i="6"/>
  <c r="BZ127" i="6"/>
  <c r="B133" i="6"/>
  <c r="BH132" i="6"/>
  <c r="BI132" i="6" s="1"/>
  <c r="CH132" i="6"/>
  <c r="CI132" i="6" s="1"/>
  <c r="H132" i="6"/>
  <c r="I132" i="6" s="1"/>
  <c r="AH132" i="6"/>
  <c r="AI132" i="6" s="1"/>
  <c r="S130" i="6"/>
  <c r="DS130" i="6"/>
  <c r="DT130" i="6" s="1"/>
  <c r="C133" i="6"/>
  <c r="DH133" i="6" s="1"/>
  <c r="DI133" i="6" s="1"/>
  <c r="EA133" i="6" s="1"/>
  <c r="BS130" i="6"/>
  <c r="BW128" i="6"/>
  <c r="BO128" i="6"/>
  <c r="AW128" i="6"/>
  <c r="BB128" i="6" s="1"/>
  <c r="AB127" i="6"/>
  <c r="Z127" i="6"/>
  <c r="DP128" i="6"/>
  <c r="DO128" i="6"/>
  <c r="BN128" i="6"/>
  <c r="BR128" i="6" s="1"/>
  <c r="AN128" i="6"/>
  <c r="DN128" i="6"/>
  <c r="DR128" i="6" s="1"/>
  <c r="AP128" i="6"/>
  <c r="AM129" i="6"/>
  <c r="AP129" i="6" s="1"/>
  <c r="BB127" i="6"/>
  <c r="AZ127" i="6"/>
  <c r="AQ127" i="6"/>
  <c r="AR127" i="6"/>
  <c r="BA127" i="6" s="1"/>
  <c r="N128" i="6"/>
  <c r="AY127" i="6"/>
  <c r="AB128" i="6"/>
  <c r="Z128" i="6"/>
  <c r="P128" i="6"/>
  <c r="X127" i="6"/>
  <c r="CW129" i="6"/>
  <c r="CO129" i="6"/>
  <c r="CY129" i="6" s="1"/>
  <c r="CP129" i="6"/>
  <c r="CN129" i="6"/>
  <c r="CQ129" i="6" s="1"/>
  <c r="CN128" i="6"/>
  <c r="CO128" i="6"/>
  <c r="CW128" i="6"/>
  <c r="CP128" i="6"/>
  <c r="CU130" i="6"/>
  <c r="CV130" i="6" s="1"/>
  <c r="CK130" i="6"/>
  <c r="CL130" i="6"/>
  <c r="BU130" i="6"/>
  <c r="BV130" i="6" s="1"/>
  <c r="BL130" i="6"/>
  <c r="BM130" i="6" s="1"/>
  <c r="BW130" i="6" s="1"/>
  <c r="DU130" i="6"/>
  <c r="DV130" i="6" s="1"/>
  <c r="DL130" i="6"/>
  <c r="DM130" i="6" s="1"/>
  <c r="BQ127" i="6"/>
  <c r="CA127" i="6" s="1"/>
  <c r="BR127" i="6"/>
  <c r="AU130" i="6"/>
  <c r="AV130" i="6" s="1"/>
  <c r="AL130" i="6"/>
  <c r="AK130" i="6"/>
  <c r="U130" i="6"/>
  <c r="V130" i="6" s="1"/>
  <c r="L130" i="6"/>
  <c r="M130" i="6" s="1"/>
  <c r="N130" i="6" s="1"/>
  <c r="CS131" i="6"/>
  <c r="S131" i="6"/>
  <c r="DS131" i="6"/>
  <c r="DT131" i="6" s="1"/>
  <c r="BS131" i="6"/>
  <c r="BP129" i="6"/>
  <c r="BO129" i="6"/>
  <c r="BY129" i="6" s="1"/>
  <c r="N129" i="6"/>
  <c r="Q129" i="6" s="1"/>
  <c r="W129" i="6"/>
  <c r="Z129" i="6" s="1"/>
  <c r="O129" i="6"/>
  <c r="Y129" i="6" s="1"/>
  <c r="BN129" i="6"/>
  <c r="BQ129" i="6" s="1"/>
  <c r="CA129" i="6" s="1"/>
  <c r="A132" i="6"/>
  <c r="EF132" i="6" s="1"/>
  <c r="AJ131" i="6"/>
  <c r="BJ131" i="6"/>
  <c r="CJ131" i="6"/>
  <c r="DJ131" i="6"/>
  <c r="J131" i="6"/>
  <c r="DA129" i="6" l="1"/>
  <c r="BT131" i="6"/>
  <c r="T130" i="6"/>
  <c r="BT130" i="6"/>
  <c r="T131" i="6"/>
  <c r="CT131" i="6"/>
  <c r="EG126" i="6"/>
  <c r="EH126" i="6" s="1"/>
  <c r="DD127" i="6"/>
  <c r="DY128" i="6"/>
  <c r="EB129" i="6"/>
  <c r="DZ129" i="6"/>
  <c r="G133" i="6"/>
  <c r="CG133" i="6"/>
  <c r="BG133" i="6"/>
  <c r="AG133" i="6"/>
  <c r="DG133" i="6"/>
  <c r="AD127" i="6"/>
  <c r="DN129" i="6"/>
  <c r="DR129" i="6" s="1"/>
  <c r="DO129" i="6"/>
  <c r="DP129" i="6"/>
  <c r="CB130" i="6"/>
  <c r="BZ130" i="6"/>
  <c r="CY128" i="6"/>
  <c r="DC129" i="6"/>
  <c r="CZ128" i="6"/>
  <c r="DB128" i="6"/>
  <c r="DB129" i="6"/>
  <c r="CZ129" i="6"/>
  <c r="CX129" i="6"/>
  <c r="CC127" i="6"/>
  <c r="AX127" i="6"/>
  <c r="BY128" i="6"/>
  <c r="BX127" i="6"/>
  <c r="BZ128" i="6"/>
  <c r="CB128" i="6"/>
  <c r="AZ128" i="6"/>
  <c r="B134" i="6"/>
  <c r="BH133" i="6"/>
  <c r="BI133" i="6" s="1"/>
  <c r="CH133" i="6"/>
  <c r="CI133" i="6" s="1"/>
  <c r="H133" i="6"/>
  <c r="I133" i="6" s="1"/>
  <c r="AH133" i="6"/>
  <c r="AI133" i="6" s="1"/>
  <c r="BK131" i="6"/>
  <c r="CK131" i="6"/>
  <c r="C134" i="6"/>
  <c r="DH134" i="6" s="1"/>
  <c r="DI134" i="6" s="1"/>
  <c r="EA134" i="6" s="1"/>
  <c r="CR129" i="6"/>
  <c r="AO129" i="6"/>
  <c r="AY129" i="6" s="1"/>
  <c r="BQ128" i="6"/>
  <c r="CA128" i="6" s="1"/>
  <c r="AR128" i="6"/>
  <c r="BA128" i="6" s="1"/>
  <c r="AQ128" i="6"/>
  <c r="DQ128" i="6"/>
  <c r="AW129" i="6"/>
  <c r="AN129" i="6"/>
  <c r="R129" i="6"/>
  <c r="AA129" i="6" s="1"/>
  <c r="R128" i="6"/>
  <c r="AA128" i="6" s="1"/>
  <c r="Q128" i="6"/>
  <c r="AM130" i="6"/>
  <c r="AN130" i="6" s="1"/>
  <c r="BC127" i="6"/>
  <c r="CM130" i="6"/>
  <c r="CP130" i="6" s="1"/>
  <c r="DO130" i="6"/>
  <c r="DY130" i="6" s="1"/>
  <c r="DP130" i="6"/>
  <c r="DN130" i="6"/>
  <c r="DR130" i="6" s="1"/>
  <c r="DW130" i="6"/>
  <c r="AU131" i="6"/>
  <c r="AV131" i="6" s="1"/>
  <c r="AK131" i="6"/>
  <c r="AL131" i="6"/>
  <c r="U131" i="6"/>
  <c r="V131" i="6" s="1"/>
  <c r="L131" i="6"/>
  <c r="CU131" i="6"/>
  <c r="CV131" i="6" s="1"/>
  <c r="CL131" i="6"/>
  <c r="CR128" i="6"/>
  <c r="CQ128" i="6"/>
  <c r="DA128" i="6" s="1"/>
  <c r="AS131" i="6"/>
  <c r="BU131" i="6"/>
  <c r="BV131" i="6" s="1"/>
  <c r="BL131" i="6"/>
  <c r="DU131" i="6"/>
  <c r="DV131" i="6" s="1"/>
  <c r="DK131" i="6"/>
  <c r="DL131" i="6"/>
  <c r="K132" i="6"/>
  <c r="BS132" i="6"/>
  <c r="AS132" i="6"/>
  <c r="CS132" i="6"/>
  <c r="K131" i="6"/>
  <c r="W130" i="6"/>
  <c r="AB130" i="6" s="1"/>
  <c r="AB129" i="6"/>
  <c r="BN130" i="6"/>
  <c r="BR130" i="6" s="1"/>
  <c r="BP130" i="6"/>
  <c r="BR129" i="6"/>
  <c r="O130" i="6"/>
  <c r="Y130" i="6" s="1"/>
  <c r="P130" i="6"/>
  <c r="BO130" i="6"/>
  <c r="BY130" i="6" s="1"/>
  <c r="A133" i="6"/>
  <c r="EF133" i="6" s="1"/>
  <c r="BJ132" i="6"/>
  <c r="J132" i="6"/>
  <c r="AJ132" i="6"/>
  <c r="DJ132" i="6"/>
  <c r="CJ132" i="6"/>
  <c r="R130" i="6"/>
  <c r="Q130" i="6"/>
  <c r="AA130" i="6" l="1"/>
  <c r="AT132" i="6"/>
  <c r="BT132" i="6"/>
  <c r="AT131" i="6"/>
  <c r="CT132" i="6"/>
  <c r="CC129" i="6"/>
  <c r="BX129" i="6"/>
  <c r="CD129" i="6" s="1"/>
  <c r="EB130" i="6"/>
  <c r="DZ130" i="6"/>
  <c r="EC128" i="6"/>
  <c r="DY129" i="6"/>
  <c r="DX128" i="6"/>
  <c r="ED128" i="6" s="1"/>
  <c r="AW130" i="6"/>
  <c r="BB130" i="6" s="1"/>
  <c r="G134" i="6"/>
  <c r="CG134" i="6"/>
  <c r="BG134" i="6"/>
  <c r="AG134" i="6"/>
  <c r="DG134" i="6"/>
  <c r="CD127" i="6"/>
  <c r="BD127" i="6"/>
  <c r="DQ129" i="6"/>
  <c r="DX129" i="6" s="1"/>
  <c r="ED129" i="6" s="1"/>
  <c r="DD129" i="6"/>
  <c r="AC129" i="6"/>
  <c r="X129" i="6"/>
  <c r="AD129" i="6" s="1"/>
  <c r="DC128" i="6"/>
  <c r="CX128" i="6"/>
  <c r="CC128" i="6"/>
  <c r="BX128" i="6"/>
  <c r="B135" i="6"/>
  <c r="CM131" i="6"/>
  <c r="CN131" i="6" s="1"/>
  <c r="CQ131" i="6" s="1"/>
  <c r="BH134" i="6"/>
  <c r="BI134" i="6" s="1"/>
  <c r="CH134" i="6"/>
  <c r="CI134" i="6" s="1"/>
  <c r="H134" i="6"/>
  <c r="I134" i="6" s="1"/>
  <c r="AH134" i="6"/>
  <c r="AI134" i="6" s="1"/>
  <c r="BM131" i="6"/>
  <c r="BN131" i="6" s="1"/>
  <c r="BQ131" i="6" s="1"/>
  <c r="S132" i="6"/>
  <c r="M131" i="6"/>
  <c r="N131" i="6" s="1"/>
  <c r="Q131" i="6" s="1"/>
  <c r="C135" i="6"/>
  <c r="DH135" i="6" s="1"/>
  <c r="DI135" i="6" s="1"/>
  <c r="EA135" i="6" s="1"/>
  <c r="Z130" i="6"/>
  <c r="AP130" i="6"/>
  <c r="AR130" i="6"/>
  <c r="AQ130" i="6"/>
  <c r="AO130" i="6"/>
  <c r="AY130" i="6" s="1"/>
  <c r="BQ130" i="6"/>
  <c r="CA130" i="6" s="1"/>
  <c r="BC128" i="6"/>
  <c r="AX128" i="6"/>
  <c r="CO130" i="6"/>
  <c r="AZ129" i="6"/>
  <c r="BB129" i="6"/>
  <c r="CN130" i="6"/>
  <c r="CR130" i="6" s="1"/>
  <c r="AQ129" i="6"/>
  <c r="AR129" i="6"/>
  <c r="BA129" i="6" s="1"/>
  <c r="AC128" i="6"/>
  <c r="X128" i="6"/>
  <c r="DQ130" i="6"/>
  <c r="CW130" i="6"/>
  <c r="DM131" i="6"/>
  <c r="DO131" i="6" s="1"/>
  <c r="DY131" i="6" s="1"/>
  <c r="AM131" i="6"/>
  <c r="AO131" i="6" s="1"/>
  <c r="AY131" i="6" s="1"/>
  <c r="AU132" i="6"/>
  <c r="AV132" i="6" s="1"/>
  <c r="AL132" i="6"/>
  <c r="AK132" i="6"/>
  <c r="DU132" i="6"/>
  <c r="DV132" i="6" s="1"/>
  <c r="DL132" i="6"/>
  <c r="CK133" i="6"/>
  <c r="DS133" i="6"/>
  <c r="DT133" i="6" s="1"/>
  <c r="BS133" i="6"/>
  <c r="K133" i="6"/>
  <c r="AK133" i="6"/>
  <c r="DK132" i="6"/>
  <c r="DS132" i="6"/>
  <c r="DT132" i="6" s="1"/>
  <c r="CU132" i="6"/>
  <c r="CV132" i="6" s="1"/>
  <c r="CL132" i="6"/>
  <c r="CK132" i="6"/>
  <c r="BU132" i="6"/>
  <c r="BV132" i="6" s="1"/>
  <c r="BK132" i="6"/>
  <c r="BL132" i="6"/>
  <c r="U132" i="6"/>
  <c r="V132" i="6" s="1"/>
  <c r="L132" i="6"/>
  <c r="M132" i="6" s="1"/>
  <c r="A134" i="6"/>
  <c r="EF134" i="6" s="1"/>
  <c r="J133" i="6"/>
  <c r="AJ133" i="6"/>
  <c r="CJ133" i="6"/>
  <c r="DJ133" i="6"/>
  <c r="BJ133" i="6"/>
  <c r="X130" i="6"/>
  <c r="AC130" i="6"/>
  <c r="BA130" i="6" l="1"/>
  <c r="T132" i="6"/>
  <c r="BT133" i="6"/>
  <c r="BD128" i="6"/>
  <c r="CD128" i="6"/>
  <c r="CP131" i="6"/>
  <c r="EC130" i="6"/>
  <c r="EC129" i="6"/>
  <c r="DX130" i="6"/>
  <c r="ED130" i="6" s="1"/>
  <c r="AZ130" i="6"/>
  <c r="G135" i="6"/>
  <c r="CG135" i="6"/>
  <c r="BG135" i="6"/>
  <c r="DG135" i="6"/>
  <c r="AG135" i="6"/>
  <c r="EG127" i="6"/>
  <c r="EH127" i="6" s="1"/>
  <c r="DD128" i="6"/>
  <c r="AD130" i="6"/>
  <c r="DC131" i="6"/>
  <c r="DB130" i="6"/>
  <c r="CZ130" i="6"/>
  <c r="CY130" i="6"/>
  <c r="CC130" i="6"/>
  <c r="BX130" i="6"/>
  <c r="BC130" i="6"/>
  <c r="AD128" i="6"/>
  <c r="CO131" i="6"/>
  <c r="B136" i="6"/>
  <c r="CW131" i="6"/>
  <c r="BH135" i="6"/>
  <c r="BI135" i="6" s="1"/>
  <c r="CH135" i="6"/>
  <c r="CI135" i="6" s="1"/>
  <c r="H135" i="6"/>
  <c r="I135" i="6" s="1"/>
  <c r="AH135" i="6"/>
  <c r="AI135" i="6" s="1"/>
  <c r="BW131" i="6"/>
  <c r="AS133" i="6"/>
  <c r="BK133" i="6"/>
  <c r="BO131" i="6"/>
  <c r="O131" i="6"/>
  <c r="Y131" i="6" s="1"/>
  <c r="BP131" i="6"/>
  <c r="DW131" i="6"/>
  <c r="BR131" i="6"/>
  <c r="CC131" i="6" s="1"/>
  <c r="AN131" i="6"/>
  <c r="AQ131" i="6" s="1"/>
  <c r="P131" i="6"/>
  <c r="W131" i="6"/>
  <c r="Z131" i="6" s="1"/>
  <c r="C136" i="6"/>
  <c r="DH136" i="6" s="1"/>
  <c r="DI136" i="6" s="1"/>
  <c r="EA136" i="6" s="1"/>
  <c r="CR131" i="6"/>
  <c r="CQ130" i="6"/>
  <c r="DA130" i="6" s="1"/>
  <c r="AX130" i="6"/>
  <c r="BD130" i="6" s="1"/>
  <c r="R131" i="6"/>
  <c r="AP131" i="6"/>
  <c r="DM132" i="6"/>
  <c r="DW132" i="6" s="1"/>
  <c r="AM132" i="6"/>
  <c r="AW132" i="6" s="1"/>
  <c r="BC129" i="6"/>
  <c r="AX129" i="6"/>
  <c r="AW131" i="6"/>
  <c r="CM132" i="6"/>
  <c r="CO132" i="6" s="1"/>
  <c r="CY132" i="6" s="1"/>
  <c r="DP131" i="6"/>
  <c r="N132" i="6"/>
  <c r="Q132" i="6" s="1"/>
  <c r="P132" i="6"/>
  <c r="O132" i="6"/>
  <c r="Y132" i="6" s="1"/>
  <c r="BM132" i="6"/>
  <c r="BO132" i="6" s="1"/>
  <c r="BY132" i="6" s="1"/>
  <c r="DN131" i="6"/>
  <c r="U133" i="6"/>
  <c r="V133" i="6" s="1"/>
  <c r="L133" i="6"/>
  <c r="M133" i="6" s="1"/>
  <c r="DU133" i="6"/>
  <c r="DV133" i="6" s="1"/>
  <c r="DL133" i="6"/>
  <c r="DK133" i="6"/>
  <c r="CU133" i="6"/>
  <c r="CV133" i="6" s="1"/>
  <c r="CL133" i="6"/>
  <c r="CM133" i="6" s="1"/>
  <c r="CO133" i="6" s="1"/>
  <c r="W132" i="6"/>
  <c r="Z132" i="6" s="1"/>
  <c r="S133" i="6"/>
  <c r="CS133" i="6"/>
  <c r="AU133" i="6"/>
  <c r="AV133" i="6" s="1"/>
  <c r="AL133" i="6"/>
  <c r="AM133" i="6" s="1"/>
  <c r="BU133" i="6"/>
  <c r="BV133" i="6" s="1"/>
  <c r="BL133" i="6"/>
  <c r="DS134" i="6"/>
  <c r="DT134" i="6" s="1"/>
  <c r="S134" i="6"/>
  <c r="CS134" i="6"/>
  <c r="AK134" i="6"/>
  <c r="A135" i="6"/>
  <c r="EF135" i="6" s="1"/>
  <c r="DJ134" i="6"/>
  <c r="AJ134" i="6"/>
  <c r="CJ134" i="6"/>
  <c r="J134" i="6"/>
  <c r="BJ134" i="6"/>
  <c r="DA131" i="6" l="1"/>
  <c r="CA131" i="6"/>
  <c r="T134" i="6"/>
  <c r="AC131" i="6"/>
  <c r="AA131" i="6"/>
  <c r="CT134" i="6"/>
  <c r="CT133" i="6"/>
  <c r="T133" i="6"/>
  <c r="AT133" i="6"/>
  <c r="AO132" i="6"/>
  <c r="AY132" i="6" s="1"/>
  <c r="CD130" i="6"/>
  <c r="DZ132" i="6"/>
  <c r="EB132" i="6"/>
  <c r="DZ131" i="6"/>
  <c r="EB131" i="6"/>
  <c r="G136" i="6"/>
  <c r="CG136" i="6"/>
  <c r="BG136" i="6"/>
  <c r="AG136" i="6"/>
  <c r="DG136" i="6"/>
  <c r="EG128" i="6"/>
  <c r="EH128" i="6" s="1"/>
  <c r="CY133" i="6"/>
  <c r="DC130" i="6"/>
  <c r="CY131" i="6"/>
  <c r="CX131" i="6"/>
  <c r="CZ131" i="6"/>
  <c r="DB131" i="6"/>
  <c r="CX130" i="6"/>
  <c r="BY131" i="6"/>
  <c r="BX131" i="6"/>
  <c r="BZ131" i="6"/>
  <c r="CB131" i="6"/>
  <c r="BD129" i="6"/>
  <c r="EG129" i="6" s="1"/>
  <c r="B137" i="6"/>
  <c r="BH136" i="6"/>
  <c r="BI136" i="6" s="1"/>
  <c r="CH136" i="6"/>
  <c r="CI136" i="6" s="1"/>
  <c r="H136" i="6"/>
  <c r="I136" i="6" s="1"/>
  <c r="AH136" i="6"/>
  <c r="AI136" i="6" s="1"/>
  <c r="X131" i="6"/>
  <c r="BM133" i="6"/>
  <c r="BP133" i="6" s="1"/>
  <c r="AR131" i="6"/>
  <c r="AB131" i="6"/>
  <c r="AB132" i="6"/>
  <c r="AS134" i="6"/>
  <c r="C137" i="6"/>
  <c r="DH137" i="6" s="1"/>
  <c r="DI137" i="6" s="1"/>
  <c r="EA137" i="6" s="1"/>
  <c r="AP132" i="6"/>
  <c r="DP132" i="6"/>
  <c r="CN132" i="6"/>
  <c r="BB132" i="6"/>
  <c r="AZ132" i="6"/>
  <c r="BN132" i="6"/>
  <c r="AN132" i="6"/>
  <c r="DN132" i="6"/>
  <c r="CP132" i="6"/>
  <c r="R132" i="6"/>
  <c r="DO132" i="6"/>
  <c r="CW132" i="6"/>
  <c r="CK134" i="6"/>
  <c r="AZ131" i="6"/>
  <c r="BB131" i="6"/>
  <c r="P133" i="6"/>
  <c r="N133" i="6"/>
  <c r="R133" i="6" s="1"/>
  <c r="DM133" i="6"/>
  <c r="DN133" i="6" s="1"/>
  <c r="BP132" i="6"/>
  <c r="BW132" i="6"/>
  <c r="DQ131" i="6"/>
  <c r="DR131" i="6"/>
  <c r="AW133" i="6"/>
  <c r="AZ133" i="6" s="1"/>
  <c r="AP133" i="6"/>
  <c r="AO133" i="6"/>
  <c r="AY133" i="6" s="1"/>
  <c r="AN133" i="6"/>
  <c r="AQ133" i="6" s="1"/>
  <c r="CU134" i="6"/>
  <c r="CV134" i="6" s="1"/>
  <c r="CL134" i="6"/>
  <c r="BU134" i="6"/>
  <c r="BV134" i="6" s="1"/>
  <c r="BL134" i="6"/>
  <c r="DU134" i="6"/>
  <c r="DV134" i="6" s="1"/>
  <c r="DL134" i="6"/>
  <c r="BS134" i="6"/>
  <c r="DK134" i="6"/>
  <c r="AU134" i="6"/>
  <c r="AV134" i="6" s="1"/>
  <c r="AL134" i="6"/>
  <c r="AM134" i="6" s="1"/>
  <c r="U134" i="6"/>
  <c r="V134" i="6" s="1"/>
  <c r="L134" i="6"/>
  <c r="CS135" i="6"/>
  <c r="S135" i="6"/>
  <c r="DK135" i="6"/>
  <c r="AS135" i="6"/>
  <c r="K134" i="6"/>
  <c r="BK134" i="6"/>
  <c r="W133" i="6"/>
  <c r="AB133" i="6" s="1"/>
  <c r="O133" i="6"/>
  <c r="Y133" i="6" s="1"/>
  <c r="CN133" i="6"/>
  <c r="CQ133" i="6" s="1"/>
  <c r="CP133" i="6"/>
  <c r="CW133" i="6"/>
  <c r="A136" i="6"/>
  <c r="EF136" i="6" s="1"/>
  <c r="J135" i="6"/>
  <c r="CJ135" i="6"/>
  <c r="BJ135" i="6"/>
  <c r="DJ135" i="6"/>
  <c r="AJ135" i="6"/>
  <c r="AA133" i="6" l="1"/>
  <c r="DA133" i="6"/>
  <c r="AT134" i="6"/>
  <c r="BC131" i="6"/>
  <c r="BA131" i="6"/>
  <c r="X132" i="6"/>
  <c r="AA132" i="6"/>
  <c r="BT134" i="6"/>
  <c r="AT135" i="6"/>
  <c r="T135" i="6"/>
  <c r="CT135" i="6"/>
  <c r="EC131" i="6"/>
  <c r="DX131" i="6"/>
  <c r="ED131" i="6" s="1"/>
  <c r="DY132" i="6"/>
  <c r="DD130" i="6"/>
  <c r="EG130" i="6" s="1"/>
  <c r="EH130" i="6" s="1"/>
  <c r="G137" i="6"/>
  <c r="CG137" i="6"/>
  <c r="BG137" i="6"/>
  <c r="AG137" i="6"/>
  <c r="DG137" i="6"/>
  <c r="AD131" i="6"/>
  <c r="CD131" i="6"/>
  <c r="DD131" i="6"/>
  <c r="EH129" i="6"/>
  <c r="CZ133" i="6"/>
  <c r="DB133" i="6"/>
  <c r="DC133" i="6"/>
  <c r="DB132" i="6"/>
  <c r="CZ132" i="6"/>
  <c r="CX133" i="6"/>
  <c r="CB132" i="6"/>
  <c r="BZ132" i="6"/>
  <c r="AX131" i="6"/>
  <c r="AC132" i="6"/>
  <c r="B138" i="6"/>
  <c r="BN133" i="6"/>
  <c r="BQ133" i="6" s="1"/>
  <c r="BH137" i="6"/>
  <c r="BI137" i="6" s="1"/>
  <c r="CH137" i="6"/>
  <c r="CI137" i="6" s="1"/>
  <c r="H137" i="6"/>
  <c r="I137" i="6" s="1"/>
  <c r="AH137" i="6"/>
  <c r="AI137" i="6" s="1"/>
  <c r="BW133" i="6"/>
  <c r="BO133" i="6"/>
  <c r="DM134" i="6"/>
  <c r="DP134" i="6" s="1"/>
  <c r="DS135" i="6"/>
  <c r="DT135" i="6" s="1"/>
  <c r="CM134" i="6"/>
  <c r="CW134" i="6" s="1"/>
  <c r="C138" i="6"/>
  <c r="DH138" i="6" s="1"/>
  <c r="DI138" i="6" s="1"/>
  <c r="EA138" i="6" s="1"/>
  <c r="BB133" i="6"/>
  <c r="AR133" i="6"/>
  <c r="CR132" i="6"/>
  <c r="CQ132" i="6"/>
  <c r="DA132" i="6" s="1"/>
  <c r="BQ132" i="6"/>
  <c r="CA132" i="6" s="1"/>
  <c r="BR132" i="6"/>
  <c r="AQ132" i="6"/>
  <c r="AR132" i="6"/>
  <c r="BA132" i="6" s="1"/>
  <c r="DQ132" i="6"/>
  <c r="DR132" i="6"/>
  <c r="AW134" i="6"/>
  <c r="BB134" i="6" s="1"/>
  <c r="AP134" i="6"/>
  <c r="DP133" i="6"/>
  <c r="Q133" i="6"/>
  <c r="X133" i="6" s="1"/>
  <c r="DO133" i="6"/>
  <c r="M134" i="6"/>
  <c r="N134" i="6" s="1"/>
  <c r="DW133" i="6"/>
  <c r="BM134" i="6"/>
  <c r="BN134" i="6" s="1"/>
  <c r="BQ134" i="6" s="1"/>
  <c r="BU135" i="6"/>
  <c r="BV135" i="6" s="1"/>
  <c r="BK135" i="6"/>
  <c r="BL135" i="6"/>
  <c r="U135" i="6"/>
  <c r="V135" i="6" s="1"/>
  <c r="K135" i="6"/>
  <c r="L135" i="6"/>
  <c r="CU135" i="6"/>
  <c r="CV135" i="6" s="1"/>
  <c r="CK135" i="6"/>
  <c r="CL135" i="6"/>
  <c r="DQ133" i="6"/>
  <c r="DR133" i="6"/>
  <c r="BS135" i="6"/>
  <c r="AU135" i="6"/>
  <c r="AV135" i="6" s="1"/>
  <c r="AK135" i="6"/>
  <c r="AL135" i="6"/>
  <c r="DU135" i="6"/>
  <c r="DV135" i="6" s="1"/>
  <c r="DL135" i="6"/>
  <c r="DM135" i="6" s="1"/>
  <c r="BS136" i="6"/>
  <c r="CK136" i="6"/>
  <c r="AS136" i="6"/>
  <c r="CR133" i="6"/>
  <c r="Z133" i="6"/>
  <c r="AO134" i="6"/>
  <c r="AY134" i="6" s="1"/>
  <c r="AN134" i="6"/>
  <c r="AR134" i="6" s="1"/>
  <c r="A137" i="6"/>
  <c r="EF137" i="6" s="1"/>
  <c r="J136" i="6"/>
  <c r="AJ136" i="6"/>
  <c r="BJ136" i="6"/>
  <c r="DJ136" i="6"/>
  <c r="CJ136" i="6"/>
  <c r="BA134" i="6" l="1"/>
  <c r="BT135" i="6"/>
  <c r="BC133" i="6"/>
  <c r="BA133" i="6"/>
  <c r="CA133" i="6"/>
  <c r="AT136" i="6"/>
  <c r="BT136" i="6"/>
  <c r="AD132" i="6"/>
  <c r="EC133" i="6"/>
  <c r="EB133" i="6"/>
  <c r="DZ133" i="6"/>
  <c r="DY133" i="6"/>
  <c r="DX133" i="6"/>
  <c r="ED133" i="6" s="1"/>
  <c r="EC132" i="6"/>
  <c r="DX132" i="6"/>
  <c r="ED132" i="6" s="1"/>
  <c r="CO134" i="6"/>
  <c r="CY134" i="6" s="1"/>
  <c r="CP134" i="6"/>
  <c r="G138" i="6"/>
  <c r="CG138" i="6"/>
  <c r="BG138" i="6"/>
  <c r="AG138" i="6"/>
  <c r="DG138" i="6"/>
  <c r="DD133" i="6"/>
  <c r="BD131" i="6"/>
  <c r="EG131" i="6" s="1"/>
  <c r="EH131" i="6" s="1"/>
  <c r="AX133" i="6"/>
  <c r="BR133" i="6"/>
  <c r="DC132" i="6"/>
  <c r="CX132" i="6"/>
  <c r="DB134" i="6"/>
  <c r="CZ134" i="6"/>
  <c r="CC132" i="6"/>
  <c r="BX132" i="6"/>
  <c r="CD132" i="6" s="1"/>
  <c r="BZ133" i="6"/>
  <c r="CB133" i="6"/>
  <c r="BY133" i="6"/>
  <c r="BX133" i="6"/>
  <c r="CC133" i="6"/>
  <c r="B139" i="6"/>
  <c r="CN134" i="6"/>
  <c r="CQ134" i="6" s="1"/>
  <c r="BH138" i="6"/>
  <c r="BI138" i="6" s="1"/>
  <c r="CH138" i="6"/>
  <c r="CI138" i="6" s="1"/>
  <c r="H138" i="6"/>
  <c r="I138" i="6" s="1"/>
  <c r="AH138" i="6"/>
  <c r="AI138" i="6" s="1"/>
  <c r="DW134" i="6"/>
  <c r="DO134" i="6"/>
  <c r="DN134" i="6"/>
  <c r="DR134" i="6" s="1"/>
  <c r="C139" i="6"/>
  <c r="DH139" i="6" s="1"/>
  <c r="DI139" i="6" s="1"/>
  <c r="EA139" i="6" s="1"/>
  <c r="AC133" i="6"/>
  <c r="AZ134" i="6"/>
  <c r="BO134" i="6"/>
  <c r="AX132" i="6"/>
  <c r="BC132" i="6"/>
  <c r="W134" i="6"/>
  <c r="CS136" i="6"/>
  <c r="BW134" i="6"/>
  <c r="O134" i="6"/>
  <c r="Y134" i="6" s="1"/>
  <c r="AM135" i="6"/>
  <c r="AN135" i="6" s="1"/>
  <c r="CM135" i="6"/>
  <c r="CW135" i="6" s="1"/>
  <c r="Q134" i="6"/>
  <c r="R134" i="6"/>
  <c r="M135" i="6"/>
  <c r="W135" i="6" s="1"/>
  <c r="BM135" i="6"/>
  <c r="BN135" i="6" s="1"/>
  <c r="BP134" i="6"/>
  <c r="P134" i="6"/>
  <c r="DP135" i="6"/>
  <c r="DN135" i="6"/>
  <c r="DQ135" i="6" s="1"/>
  <c r="DW135" i="6"/>
  <c r="DO135" i="6"/>
  <c r="DY135" i="6" s="1"/>
  <c r="AU136" i="6"/>
  <c r="AV136" i="6" s="1"/>
  <c r="AK136" i="6"/>
  <c r="AL136" i="6"/>
  <c r="U136" i="6"/>
  <c r="V136" i="6" s="1"/>
  <c r="K136" i="6"/>
  <c r="L136" i="6"/>
  <c r="DU136" i="6"/>
  <c r="DV136" i="6" s="1"/>
  <c r="DK136" i="6"/>
  <c r="DL136" i="6"/>
  <c r="S136" i="6"/>
  <c r="DS136" i="6"/>
  <c r="DT136" i="6" s="1"/>
  <c r="BR134" i="6"/>
  <c r="CC134" i="6" s="1"/>
  <c r="CU136" i="6"/>
  <c r="CV136" i="6" s="1"/>
  <c r="CL136" i="6"/>
  <c r="CM136" i="6" s="1"/>
  <c r="BU136" i="6"/>
  <c r="BV136" i="6" s="1"/>
  <c r="BK136" i="6"/>
  <c r="BL136" i="6"/>
  <c r="DS137" i="6"/>
  <c r="DT137" i="6" s="1"/>
  <c r="S137" i="6"/>
  <c r="AK137" i="6"/>
  <c r="AQ134" i="6"/>
  <c r="A138" i="6"/>
  <c r="EF138" i="6" s="1"/>
  <c r="CJ137" i="6"/>
  <c r="AJ137" i="6"/>
  <c r="BJ137" i="6"/>
  <c r="DJ137" i="6"/>
  <c r="J137" i="6"/>
  <c r="DA134" i="6" l="1"/>
  <c r="CA134" i="6"/>
  <c r="T136" i="6"/>
  <c r="CT136" i="6"/>
  <c r="AA134" i="6"/>
  <c r="T137" i="6"/>
  <c r="P135" i="6"/>
  <c r="AP135" i="6"/>
  <c r="BO135" i="6"/>
  <c r="BY135" i="6" s="1"/>
  <c r="CN135" i="6"/>
  <c r="CQ135" i="6" s="1"/>
  <c r="CR134" i="6"/>
  <c r="AD133" i="6"/>
  <c r="EB135" i="6"/>
  <c r="DZ135" i="6"/>
  <c r="DZ134" i="6"/>
  <c r="EB134" i="6"/>
  <c r="DY134" i="6"/>
  <c r="BD133" i="6"/>
  <c r="CX134" i="6"/>
  <c r="G139" i="6"/>
  <c r="BG139" i="6"/>
  <c r="CG139" i="6"/>
  <c r="AG139" i="6"/>
  <c r="DG139" i="6"/>
  <c r="BD132" i="6"/>
  <c r="DD132" i="6"/>
  <c r="CD133" i="6"/>
  <c r="CZ135" i="6"/>
  <c r="DB135" i="6"/>
  <c r="DC134" i="6"/>
  <c r="CB134" i="6"/>
  <c r="BZ134" i="6"/>
  <c r="BY134" i="6"/>
  <c r="BX134" i="6"/>
  <c r="AC134" i="6"/>
  <c r="B140" i="6"/>
  <c r="DQ134" i="6"/>
  <c r="DX134" i="6" s="1"/>
  <c r="ED134" i="6" s="1"/>
  <c r="BH139" i="6"/>
  <c r="BI139" i="6" s="1"/>
  <c r="CH139" i="6"/>
  <c r="CI139" i="6" s="1"/>
  <c r="H139" i="6"/>
  <c r="I139" i="6" s="1"/>
  <c r="AH139" i="6"/>
  <c r="AI139" i="6" s="1"/>
  <c r="AS137" i="6"/>
  <c r="C140" i="6"/>
  <c r="DH140" i="6" s="1"/>
  <c r="DI140" i="6" s="1"/>
  <c r="EA140" i="6" s="1"/>
  <c r="BC134" i="6"/>
  <c r="DR135" i="6"/>
  <c r="AW135" i="6"/>
  <c r="AR135" i="6"/>
  <c r="AQ135" i="6"/>
  <c r="DM136" i="6"/>
  <c r="DO136" i="6" s="1"/>
  <c r="DY136" i="6" s="1"/>
  <c r="AM136" i="6"/>
  <c r="AN136" i="6" s="1"/>
  <c r="AO135" i="6"/>
  <c r="AY135" i="6" s="1"/>
  <c r="O135" i="6"/>
  <c r="Y135" i="6" s="1"/>
  <c r="AB134" i="6"/>
  <c r="Z134" i="6"/>
  <c r="CO135" i="6"/>
  <c r="BP135" i="6"/>
  <c r="X134" i="6"/>
  <c r="BQ135" i="6"/>
  <c r="BR135" i="6"/>
  <c r="CP135" i="6"/>
  <c r="BW135" i="6"/>
  <c r="CP136" i="6"/>
  <c r="CW136" i="6"/>
  <c r="CN136" i="6"/>
  <c r="CQ136" i="6" s="1"/>
  <c r="AB135" i="6"/>
  <c r="Z135" i="6"/>
  <c r="BM136" i="6"/>
  <c r="BP136" i="6" s="1"/>
  <c r="M136" i="6"/>
  <c r="P136" i="6" s="1"/>
  <c r="N135" i="6"/>
  <c r="CU137" i="6"/>
  <c r="CV137" i="6" s="1"/>
  <c r="CL137" i="6"/>
  <c r="CK137" i="6"/>
  <c r="BU137" i="6"/>
  <c r="BV137" i="6" s="1"/>
  <c r="BL137" i="6"/>
  <c r="DU137" i="6"/>
  <c r="DV137" i="6" s="1"/>
  <c r="DL137" i="6"/>
  <c r="CO136" i="6"/>
  <c r="CY136" i="6" s="1"/>
  <c r="CS137" i="6"/>
  <c r="BS137" i="6"/>
  <c r="AU137" i="6"/>
  <c r="AV137" i="6" s="1"/>
  <c r="AL137" i="6"/>
  <c r="AM137" i="6" s="1"/>
  <c r="U137" i="6"/>
  <c r="V137" i="6" s="1"/>
  <c r="L137" i="6"/>
  <c r="K137" i="6"/>
  <c r="DK138" i="6"/>
  <c r="BK138" i="6"/>
  <c r="S138" i="6"/>
  <c r="CK138" i="6"/>
  <c r="BK137" i="6"/>
  <c r="DK137" i="6"/>
  <c r="AX134" i="6"/>
  <c r="BD134" i="6" s="1"/>
  <c r="A139" i="6"/>
  <c r="EF139" i="6" s="1"/>
  <c r="DJ138" i="6"/>
  <c r="J138" i="6"/>
  <c r="AJ138" i="6"/>
  <c r="CJ138" i="6"/>
  <c r="BJ138" i="6"/>
  <c r="BA135" i="6" l="1"/>
  <c r="CA135" i="6"/>
  <c r="DA136" i="6"/>
  <c r="DC135" i="6"/>
  <c r="DA135" i="6"/>
  <c r="AT137" i="6"/>
  <c r="CT137" i="6"/>
  <c r="T138" i="6"/>
  <c r="BT137" i="6"/>
  <c r="AW136" i="6"/>
  <c r="BB136" i="6" s="1"/>
  <c r="BX135" i="6"/>
  <c r="CR135" i="6"/>
  <c r="EC135" i="6"/>
  <c r="DX135" i="6"/>
  <c r="ED135" i="6" s="1"/>
  <c r="EC134" i="6"/>
  <c r="EG133" i="6"/>
  <c r="EH133" i="6" s="1"/>
  <c r="DD134" i="6"/>
  <c r="G140" i="6"/>
  <c r="CG140" i="6"/>
  <c r="BG140" i="6"/>
  <c r="AG140" i="6"/>
  <c r="DG140" i="6"/>
  <c r="EG132" i="6"/>
  <c r="EH132" i="6" s="1"/>
  <c r="CD134" i="6"/>
  <c r="AD134" i="6"/>
  <c r="DC136" i="6"/>
  <c r="CZ136" i="6"/>
  <c r="DB136" i="6"/>
  <c r="CY135" i="6"/>
  <c r="CX135" i="6"/>
  <c r="CX136" i="6"/>
  <c r="CB135" i="6"/>
  <c r="BZ135" i="6"/>
  <c r="CC135" i="6"/>
  <c r="BC135" i="6"/>
  <c r="B141" i="6"/>
  <c r="BH140" i="6"/>
  <c r="BI140" i="6" s="1"/>
  <c r="CH140" i="6"/>
  <c r="CI140" i="6" s="1"/>
  <c r="H140" i="6"/>
  <c r="I140" i="6" s="1"/>
  <c r="AH140" i="6"/>
  <c r="AI140" i="6" s="1"/>
  <c r="C141" i="6"/>
  <c r="DH141" i="6" s="1"/>
  <c r="DI141" i="6" s="1"/>
  <c r="EA141" i="6" s="1"/>
  <c r="W136" i="6"/>
  <c r="Z136" i="6" s="1"/>
  <c r="DN136" i="6"/>
  <c r="AO136" i="6"/>
  <c r="AY136" i="6" s="1"/>
  <c r="BN136" i="6"/>
  <c r="BW136" i="6"/>
  <c r="DW136" i="6"/>
  <c r="DP136" i="6"/>
  <c r="AR136" i="6"/>
  <c r="AQ136" i="6"/>
  <c r="AP136" i="6"/>
  <c r="AZ135" i="6"/>
  <c r="BB135" i="6"/>
  <c r="DS138" i="6"/>
  <c r="DT138" i="6" s="1"/>
  <c r="DM137" i="6"/>
  <c r="DO137" i="6" s="1"/>
  <c r="DY137" i="6" s="1"/>
  <c r="AX135" i="6"/>
  <c r="O136" i="6"/>
  <c r="Y136" i="6" s="1"/>
  <c r="BM137" i="6"/>
  <c r="BP137" i="6" s="1"/>
  <c r="N136" i="6"/>
  <c r="Q135" i="6"/>
  <c r="R135" i="6"/>
  <c r="AA135" i="6" s="1"/>
  <c r="CR136" i="6"/>
  <c r="CS138" i="6"/>
  <c r="BS138" i="6"/>
  <c r="M137" i="6"/>
  <c r="O137" i="6" s="1"/>
  <c r="CM137" i="6"/>
  <c r="CP137" i="6" s="1"/>
  <c r="BO136" i="6"/>
  <c r="AW137" i="6"/>
  <c r="AZ137" i="6" s="1"/>
  <c r="AO137" i="6"/>
  <c r="AY137" i="6" s="1"/>
  <c r="AP137" i="6"/>
  <c r="AN137" i="6"/>
  <c r="AR137" i="6" s="1"/>
  <c r="AU138" i="6"/>
  <c r="AV138" i="6" s="1"/>
  <c r="AL138" i="6"/>
  <c r="U138" i="6"/>
  <c r="V138" i="6" s="1"/>
  <c r="L138" i="6"/>
  <c r="CK139" i="6"/>
  <c r="BK139" i="6"/>
  <c r="AK139" i="6"/>
  <c r="AS138" i="6"/>
  <c r="K138" i="6"/>
  <c r="AK138" i="6"/>
  <c r="CU138" i="6"/>
  <c r="CV138" i="6" s="1"/>
  <c r="CL138" i="6"/>
  <c r="CM138" i="6" s="1"/>
  <c r="BU138" i="6"/>
  <c r="BV138" i="6" s="1"/>
  <c r="BL138" i="6"/>
  <c r="BM138" i="6" s="1"/>
  <c r="BP138" i="6" s="1"/>
  <c r="DU138" i="6"/>
  <c r="DV138" i="6" s="1"/>
  <c r="DL138" i="6"/>
  <c r="DM138" i="6" s="1"/>
  <c r="DN138" i="6" s="1"/>
  <c r="A140" i="6"/>
  <c r="EF140" i="6" s="1"/>
  <c r="AJ139" i="6"/>
  <c r="BJ139" i="6"/>
  <c r="J139" i="6"/>
  <c r="CJ139" i="6"/>
  <c r="DJ139" i="6"/>
  <c r="BA137" i="6" l="1"/>
  <c r="CT138" i="6"/>
  <c r="AZ136" i="6"/>
  <c r="BT138" i="6"/>
  <c r="AT138" i="6"/>
  <c r="BA136" i="6"/>
  <c r="DZ136" i="6"/>
  <c r="EB136" i="6"/>
  <c r="BW137" i="6"/>
  <c r="CB137" i="6" s="1"/>
  <c r="G141" i="6"/>
  <c r="CG141" i="6"/>
  <c r="BG141" i="6"/>
  <c r="AG141" i="6"/>
  <c r="DG141" i="6"/>
  <c r="DD135" i="6"/>
  <c r="DD136" i="6"/>
  <c r="BD135" i="6"/>
  <c r="CD135" i="6"/>
  <c r="EG134" i="6"/>
  <c r="EH134" i="6" s="1"/>
  <c r="BY136" i="6"/>
  <c r="CB136" i="6"/>
  <c r="BZ136" i="6"/>
  <c r="B142" i="6"/>
  <c r="BH141" i="6"/>
  <c r="BI141" i="6" s="1"/>
  <c r="CH141" i="6"/>
  <c r="CI141" i="6" s="1"/>
  <c r="H141" i="6"/>
  <c r="I141" i="6" s="1"/>
  <c r="AH141" i="6"/>
  <c r="AI141" i="6" s="1"/>
  <c r="CW137" i="6"/>
  <c r="M138" i="6"/>
  <c r="N138" i="6" s="1"/>
  <c r="Q138" i="6" s="1"/>
  <c r="AQ137" i="6"/>
  <c r="AX137" i="6" s="1"/>
  <c r="AS139" i="6"/>
  <c r="C142" i="6"/>
  <c r="DH142" i="6" s="1"/>
  <c r="DI142" i="6" s="1"/>
  <c r="EA142" i="6" s="1"/>
  <c r="BC136" i="6"/>
  <c r="AB136" i="6"/>
  <c r="BS139" i="6"/>
  <c r="AX136" i="6"/>
  <c r="BB137" i="6"/>
  <c r="DQ136" i="6"/>
  <c r="DR136" i="6"/>
  <c r="BQ136" i="6"/>
  <c r="CA136" i="6" s="1"/>
  <c r="BR136" i="6"/>
  <c r="BN137" i="6"/>
  <c r="P137" i="6"/>
  <c r="DP137" i="6"/>
  <c r="BO137" i="6"/>
  <c r="N137" i="6"/>
  <c r="DN137" i="6"/>
  <c r="DQ137" i="6" s="1"/>
  <c r="AM138" i="6"/>
  <c r="AN138" i="6" s="1"/>
  <c r="DW137" i="6"/>
  <c r="CN137" i="6"/>
  <c r="CQ137" i="6" s="1"/>
  <c r="R136" i="6"/>
  <c r="AA136" i="6" s="1"/>
  <c r="Q136" i="6"/>
  <c r="BO138" i="6"/>
  <c r="BY138" i="6" s="1"/>
  <c r="CS139" i="6"/>
  <c r="CO137" i="6"/>
  <c r="Y137" i="6"/>
  <c r="BN138" i="6"/>
  <c r="BQ138" i="6" s="1"/>
  <c r="BW138" i="6"/>
  <c r="W137" i="6"/>
  <c r="X135" i="6"/>
  <c r="AC135" i="6"/>
  <c r="CP138" i="6"/>
  <c r="CO138" i="6"/>
  <c r="CY138" i="6" s="1"/>
  <c r="CW138" i="6"/>
  <c r="CN138" i="6"/>
  <c r="CR138" i="6" s="1"/>
  <c r="U139" i="6"/>
  <c r="V139" i="6" s="1"/>
  <c r="L139" i="6"/>
  <c r="DU139" i="6"/>
  <c r="DV139" i="6" s="1"/>
  <c r="DL139" i="6"/>
  <c r="DK139" i="6"/>
  <c r="CU139" i="6"/>
  <c r="CV139" i="6" s="1"/>
  <c r="CL139" i="6"/>
  <c r="CM139" i="6" s="1"/>
  <c r="DS139" i="6"/>
  <c r="DT139" i="6" s="1"/>
  <c r="S139" i="6"/>
  <c r="K139" i="6"/>
  <c r="AU139" i="6"/>
  <c r="AV139" i="6" s="1"/>
  <c r="AL139" i="6"/>
  <c r="AM139" i="6" s="1"/>
  <c r="BU139" i="6"/>
  <c r="BV139" i="6" s="1"/>
  <c r="BL139" i="6"/>
  <c r="BM139" i="6" s="1"/>
  <c r="DS140" i="6"/>
  <c r="DT140" i="6" s="1"/>
  <c r="S140" i="6"/>
  <c r="BS140" i="6"/>
  <c r="CS140" i="6"/>
  <c r="AS140" i="6"/>
  <c r="DO138" i="6"/>
  <c r="DY138" i="6" s="1"/>
  <c r="DP138" i="6"/>
  <c r="DW138" i="6"/>
  <c r="A141" i="6"/>
  <c r="EF141" i="6" s="1"/>
  <c r="AJ140" i="6"/>
  <c r="BJ140" i="6"/>
  <c r="CJ140" i="6"/>
  <c r="DJ140" i="6"/>
  <c r="J140" i="6"/>
  <c r="DR138" i="6"/>
  <c r="DQ138" i="6"/>
  <c r="CA138" i="6" l="1"/>
  <c r="T140" i="6"/>
  <c r="AT139" i="6"/>
  <c r="BT140" i="6"/>
  <c r="CT139" i="6"/>
  <c r="DA137" i="6"/>
  <c r="T139" i="6"/>
  <c r="AT140" i="6"/>
  <c r="CT140" i="6"/>
  <c r="BT139" i="6"/>
  <c r="BZ137" i="6"/>
  <c r="AW138" i="6"/>
  <c r="AZ138" i="6" s="1"/>
  <c r="BD136" i="6"/>
  <c r="EC138" i="6"/>
  <c r="EB138" i="6"/>
  <c r="DZ138" i="6"/>
  <c r="EC136" i="6"/>
  <c r="DX136" i="6"/>
  <c r="ED136" i="6" s="1"/>
  <c r="DZ137" i="6"/>
  <c r="EB137" i="6"/>
  <c r="DX138" i="6"/>
  <c r="ED138" i="6" s="1"/>
  <c r="G142" i="6"/>
  <c r="CG142" i="6"/>
  <c r="BG142" i="6"/>
  <c r="AG142" i="6"/>
  <c r="DG142" i="6"/>
  <c r="AD135" i="6"/>
  <c r="EG135" i="6" s="1"/>
  <c r="M139" i="6"/>
  <c r="P139" i="6" s="1"/>
  <c r="CZ138" i="6"/>
  <c r="DB138" i="6"/>
  <c r="DC137" i="6"/>
  <c r="DB137" i="6"/>
  <c r="CZ137" i="6"/>
  <c r="CY137" i="6"/>
  <c r="CX137" i="6"/>
  <c r="CB138" i="6"/>
  <c r="BZ138" i="6"/>
  <c r="BY137" i="6"/>
  <c r="CC136" i="6"/>
  <c r="BX136" i="6"/>
  <c r="BC137" i="6"/>
  <c r="B143" i="6"/>
  <c r="CQ138" i="6"/>
  <c r="BH142" i="6"/>
  <c r="BI142" i="6" s="1"/>
  <c r="CH142" i="6"/>
  <c r="CI142" i="6" s="1"/>
  <c r="H142" i="6"/>
  <c r="I142" i="6" s="1"/>
  <c r="AH142" i="6"/>
  <c r="AI142" i="6" s="1"/>
  <c r="W138" i="6"/>
  <c r="AB138" i="6" s="1"/>
  <c r="P138" i="6"/>
  <c r="R138" i="6"/>
  <c r="O138" i="6"/>
  <c r="Y138" i="6" s="1"/>
  <c r="BD137" i="6"/>
  <c r="C143" i="6"/>
  <c r="DH143" i="6" s="1"/>
  <c r="DI143" i="6" s="1"/>
  <c r="EA143" i="6" s="1"/>
  <c r="BR138" i="6"/>
  <c r="CC138" i="6" s="1"/>
  <c r="AO138" i="6"/>
  <c r="AY138" i="6" s="1"/>
  <c r="BQ137" i="6"/>
  <c r="CA137" i="6" s="1"/>
  <c r="BR137" i="6"/>
  <c r="DR137" i="6"/>
  <c r="DX137" i="6" s="1"/>
  <c r="ED137" i="6" s="1"/>
  <c r="AP138" i="6"/>
  <c r="Q137" i="6"/>
  <c r="R137" i="6"/>
  <c r="AA137" i="6" s="1"/>
  <c r="AR138" i="6"/>
  <c r="AQ138" i="6"/>
  <c r="DM139" i="6"/>
  <c r="DW139" i="6" s="1"/>
  <c r="CR137" i="6"/>
  <c r="AC136" i="6"/>
  <c r="X136" i="6"/>
  <c r="AB137" i="6"/>
  <c r="Z137" i="6"/>
  <c r="BO139" i="6"/>
  <c r="BY139" i="6" s="1"/>
  <c r="BP139" i="6"/>
  <c r="BW139" i="6"/>
  <c r="BN139" i="6"/>
  <c r="BQ139" i="6" s="1"/>
  <c r="AN139" i="6"/>
  <c r="AR139" i="6" s="1"/>
  <c r="AO139" i="6"/>
  <c r="AY139" i="6" s="1"/>
  <c r="AP139" i="6"/>
  <c r="AW139" i="6"/>
  <c r="AZ139" i="6" s="1"/>
  <c r="CN139" i="6"/>
  <c r="CR139" i="6" s="1"/>
  <c r="CW139" i="6"/>
  <c r="CP139" i="6"/>
  <c r="CO139" i="6"/>
  <c r="CY139" i="6" s="1"/>
  <c r="CU140" i="6"/>
  <c r="CV140" i="6" s="1"/>
  <c r="CK140" i="6"/>
  <c r="CL140" i="6"/>
  <c r="U140" i="6"/>
  <c r="V140" i="6" s="1"/>
  <c r="K140" i="6"/>
  <c r="L140" i="6"/>
  <c r="CK141" i="6"/>
  <c r="BK141" i="6"/>
  <c r="DS141" i="6"/>
  <c r="DT141" i="6" s="1"/>
  <c r="K141" i="6"/>
  <c r="AK141" i="6"/>
  <c r="AU140" i="6"/>
  <c r="AV140" i="6" s="1"/>
  <c r="AK140" i="6"/>
  <c r="AL140" i="6"/>
  <c r="BU140" i="6"/>
  <c r="BV140" i="6" s="1"/>
  <c r="BK140" i="6"/>
  <c r="BL140" i="6"/>
  <c r="DU140" i="6"/>
  <c r="DV140" i="6" s="1"/>
  <c r="DK140" i="6"/>
  <c r="DL140" i="6"/>
  <c r="A142" i="6"/>
  <c r="EF142" i="6" s="1"/>
  <c r="BJ141" i="6"/>
  <c r="CJ141" i="6"/>
  <c r="AJ141" i="6"/>
  <c r="DJ141" i="6"/>
  <c r="J141" i="6"/>
  <c r="CA139" i="6" l="1"/>
  <c r="BA139" i="6"/>
  <c r="BA138" i="6"/>
  <c r="AC138" i="6"/>
  <c r="AA138" i="6"/>
  <c r="CX138" i="6"/>
  <c r="DA138" i="6"/>
  <c r="BB138" i="6"/>
  <c r="EC137" i="6"/>
  <c r="BX138" i="6"/>
  <c r="CD138" i="6" s="1"/>
  <c r="BS141" i="6"/>
  <c r="CD136" i="6"/>
  <c r="DZ139" i="6"/>
  <c r="EB139" i="6"/>
  <c r="G143" i="6"/>
  <c r="CG143" i="6"/>
  <c r="BG143" i="6"/>
  <c r="DG143" i="6"/>
  <c r="AG143" i="6"/>
  <c r="DD137" i="6"/>
  <c r="O139" i="6"/>
  <c r="Y139" i="6" s="1"/>
  <c r="W139" i="6"/>
  <c r="AB139" i="6" s="1"/>
  <c r="N139" i="6"/>
  <c r="R139" i="6" s="1"/>
  <c r="EH135" i="6"/>
  <c r="DB139" i="6"/>
  <c r="CZ139" i="6"/>
  <c r="DC138" i="6"/>
  <c r="BZ139" i="6"/>
  <c r="CB139" i="6"/>
  <c r="CC137" i="6"/>
  <c r="BX137" i="6"/>
  <c r="BC138" i="6"/>
  <c r="AD136" i="6"/>
  <c r="Z138" i="6"/>
  <c r="B144" i="6"/>
  <c r="BH143" i="6"/>
  <c r="BI143" i="6" s="1"/>
  <c r="CH143" i="6"/>
  <c r="CI143" i="6" s="1"/>
  <c r="H143" i="6"/>
  <c r="I143" i="6" s="1"/>
  <c r="AH143" i="6"/>
  <c r="AI143" i="6" s="1"/>
  <c r="CS141" i="6"/>
  <c r="DK141" i="6"/>
  <c r="X138" i="6"/>
  <c r="S141" i="6"/>
  <c r="C144" i="6"/>
  <c r="DH144" i="6" s="1"/>
  <c r="DI144" i="6" s="1"/>
  <c r="EA144" i="6" s="1"/>
  <c r="BB139" i="6"/>
  <c r="DO139" i="6"/>
  <c r="AX138" i="6"/>
  <c r="BR139" i="6"/>
  <c r="CC139" i="6" s="1"/>
  <c r="DN139" i="6"/>
  <c r="DR139" i="6" s="1"/>
  <c r="AQ139" i="6"/>
  <c r="DP139" i="6"/>
  <c r="AC137" i="6"/>
  <c r="X137" i="6"/>
  <c r="CM140" i="6"/>
  <c r="CP140" i="6" s="1"/>
  <c r="CQ139" i="6"/>
  <c r="AM140" i="6"/>
  <c r="AO140" i="6" s="1"/>
  <c r="AY140" i="6" s="1"/>
  <c r="AS141" i="6"/>
  <c r="DM140" i="6"/>
  <c r="DO140" i="6" s="1"/>
  <c r="DY140" i="6" s="1"/>
  <c r="BM140" i="6"/>
  <c r="BO140" i="6" s="1"/>
  <c r="BY140" i="6" s="1"/>
  <c r="M140" i="6"/>
  <c r="AU141" i="6"/>
  <c r="AV141" i="6" s="1"/>
  <c r="AL141" i="6"/>
  <c r="AM141" i="6" s="1"/>
  <c r="DU141" i="6"/>
  <c r="DV141" i="6" s="1"/>
  <c r="DL141" i="6"/>
  <c r="DK142" i="6"/>
  <c r="S142" i="6"/>
  <c r="BS142" i="6"/>
  <c r="AS142" i="6"/>
  <c r="CS142" i="6"/>
  <c r="U141" i="6"/>
  <c r="V141" i="6" s="1"/>
  <c r="L141" i="6"/>
  <c r="M141" i="6" s="1"/>
  <c r="N141" i="6" s="1"/>
  <c r="BU141" i="6"/>
  <c r="BV141" i="6" s="1"/>
  <c r="BL141" i="6"/>
  <c r="BM141" i="6" s="1"/>
  <c r="CU141" i="6"/>
  <c r="CV141" i="6" s="1"/>
  <c r="CL141" i="6"/>
  <c r="CM141" i="6" s="1"/>
  <c r="A143" i="6"/>
  <c r="EF143" i="6" s="1"/>
  <c r="BJ142" i="6"/>
  <c r="DJ142" i="6"/>
  <c r="J142" i="6"/>
  <c r="AJ142" i="6"/>
  <c r="CJ142" i="6"/>
  <c r="AA139" i="6" l="1"/>
  <c r="BT141" i="6"/>
  <c r="BT142" i="6"/>
  <c r="CX139" i="6"/>
  <c r="DA139" i="6"/>
  <c r="T141" i="6"/>
  <c r="AT141" i="6"/>
  <c r="T142" i="6"/>
  <c r="CT142" i="6"/>
  <c r="AT142" i="6"/>
  <c r="CT141" i="6"/>
  <c r="DQ139" i="6"/>
  <c r="EG136" i="6"/>
  <c r="EH136" i="6" s="1"/>
  <c r="BX139" i="6"/>
  <c r="CD139" i="6" s="1"/>
  <c r="CD137" i="6"/>
  <c r="DD138" i="6"/>
  <c r="DY139" i="6"/>
  <c r="DX139" i="6"/>
  <c r="ED139" i="6" s="1"/>
  <c r="EC139" i="6"/>
  <c r="G144" i="6"/>
  <c r="CG144" i="6"/>
  <c r="BG144" i="6"/>
  <c r="AG144" i="6"/>
  <c r="DG144" i="6"/>
  <c r="BD138" i="6"/>
  <c r="AD138" i="6"/>
  <c r="Z139" i="6"/>
  <c r="Q139" i="6"/>
  <c r="AC139" i="6" s="1"/>
  <c r="DC139" i="6"/>
  <c r="AD137" i="6"/>
  <c r="B145" i="6"/>
  <c r="BH144" i="6"/>
  <c r="BI144" i="6" s="1"/>
  <c r="CH144" i="6"/>
  <c r="CI144" i="6" s="1"/>
  <c r="CK142" i="6"/>
  <c r="H144" i="6"/>
  <c r="I144" i="6" s="1"/>
  <c r="AH144" i="6"/>
  <c r="AI144" i="6" s="1"/>
  <c r="DM141" i="6"/>
  <c r="DP141" i="6" s="1"/>
  <c r="DS142" i="6"/>
  <c r="DT142" i="6" s="1"/>
  <c r="C145" i="6"/>
  <c r="DH145" i="6" s="1"/>
  <c r="DI145" i="6" s="1"/>
  <c r="EA145" i="6" s="1"/>
  <c r="BC139" i="6"/>
  <c r="AX139" i="6"/>
  <c r="DW140" i="6"/>
  <c r="BW140" i="6"/>
  <c r="CW140" i="6"/>
  <c r="AN140" i="6"/>
  <c r="CN140" i="6"/>
  <c r="DP140" i="6"/>
  <c r="AP140" i="6"/>
  <c r="CO140" i="6"/>
  <c r="BP140" i="6"/>
  <c r="DN140" i="6"/>
  <c r="AW140" i="6"/>
  <c r="BW141" i="6"/>
  <c r="BO141" i="6"/>
  <c r="BY141" i="6" s="1"/>
  <c r="BP141" i="6"/>
  <c r="BN141" i="6"/>
  <c r="BR141" i="6" s="1"/>
  <c r="BN140" i="6"/>
  <c r="P140" i="6"/>
  <c r="W140" i="6"/>
  <c r="N140" i="6"/>
  <c r="O140" i="6"/>
  <c r="Y140" i="6" s="1"/>
  <c r="CN141" i="6"/>
  <c r="CO141" i="6"/>
  <c r="CY141" i="6" s="1"/>
  <c r="CP141" i="6"/>
  <c r="CW141" i="6"/>
  <c r="AN141" i="6"/>
  <c r="AQ141" i="6" s="1"/>
  <c r="AP141" i="6"/>
  <c r="AO141" i="6"/>
  <c r="AY141" i="6" s="1"/>
  <c r="AW141" i="6"/>
  <c r="BB141" i="6" s="1"/>
  <c r="CU142" i="6"/>
  <c r="CV142" i="6" s="1"/>
  <c r="CL142" i="6"/>
  <c r="BU142" i="6"/>
  <c r="BV142" i="6" s="1"/>
  <c r="BL142" i="6"/>
  <c r="BK142" i="6"/>
  <c r="DS143" i="6"/>
  <c r="DT143" i="6" s="1"/>
  <c r="K143" i="6"/>
  <c r="BK143" i="6"/>
  <c r="CK143" i="6"/>
  <c r="AS143" i="6"/>
  <c r="AU142" i="6"/>
  <c r="AV142" i="6" s="1"/>
  <c r="AL142" i="6"/>
  <c r="U142" i="6"/>
  <c r="V142" i="6" s="1"/>
  <c r="L142" i="6"/>
  <c r="K142" i="6"/>
  <c r="DU142" i="6"/>
  <c r="DV142" i="6" s="1"/>
  <c r="DL142" i="6"/>
  <c r="DM142" i="6" s="1"/>
  <c r="AK142" i="6"/>
  <c r="P141" i="6"/>
  <c r="O141" i="6"/>
  <c r="Y141" i="6" s="1"/>
  <c r="W141" i="6"/>
  <c r="Z141" i="6" s="1"/>
  <c r="A144" i="6"/>
  <c r="EF144" i="6" s="1"/>
  <c r="AJ143" i="6"/>
  <c r="CJ143" i="6"/>
  <c r="DJ143" i="6"/>
  <c r="BJ143" i="6"/>
  <c r="J143" i="6"/>
  <c r="R141" i="6"/>
  <c r="Q141" i="6"/>
  <c r="AA141" i="6" l="1"/>
  <c r="AT143" i="6"/>
  <c r="EG137" i="6"/>
  <c r="EH137" i="6" s="1"/>
  <c r="BD139" i="6"/>
  <c r="DD139" i="6"/>
  <c r="X139" i="6"/>
  <c r="AD139" i="6" s="1"/>
  <c r="EB140" i="6"/>
  <c r="DZ140" i="6"/>
  <c r="G145" i="6"/>
  <c r="CG145" i="6"/>
  <c r="BG145" i="6"/>
  <c r="AG145" i="6"/>
  <c r="DG145" i="6"/>
  <c r="DW141" i="6"/>
  <c r="EG138" i="6"/>
  <c r="EH138" i="6" s="1"/>
  <c r="DB140" i="6"/>
  <c r="CZ140" i="6"/>
  <c r="CZ141" i="6"/>
  <c r="DB141" i="6"/>
  <c r="CY140" i="6"/>
  <c r="CB141" i="6"/>
  <c r="BZ141" i="6"/>
  <c r="CB140" i="6"/>
  <c r="BZ140" i="6"/>
  <c r="B146" i="6"/>
  <c r="CM142" i="6"/>
  <c r="CW142" i="6" s="1"/>
  <c r="DO141" i="6"/>
  <c r="DN141" i="6"/>
  <c r="DR141" i="6" s="1"/>
  <c r="BH145" i="6"/>
  <c r="BI145" i="6" s="1"/>
  <c r="CH145" i="6"/>
  <c r="CI145" i="6" s="1"/>
  <c r="H145" i="6"/>
  <c r="I145" i="6" s="1"/>
  <c r="AH145" i="6"/>
  <c r="AI145" i="6" s="1"/>
  <c r="S143" i="6"/>
  <c r="BS143" i="6"/>
  <c r="AZ141" i="6"/>
  <c r="AK143" i="6"/>
  <c r="DK143" i="6"/>
  <c r="C146" i="6"/>
  <c r="DH146" i="6" s="1"/>
  <c r="DI146" i="6" s="1"/>
  <c r="EA146" i="6" s="1"/>
  <c r="AR141" i="6"/>
  <c r="CR140" i="6"/>
  <c r="CQ140" i="6"/>
  <c r="AR140" i="6"/>
  <c r="BA140" i="6" s="1"/>
  <c r="AQ140" i="6"/>
  <c r="BB140" i="6"/>
  <c r="AZ140" i="6"/>
  <c r="BQ141" i="6"/>
  <c r="CS143" i="6"/>
  <c r="BM142" i="6"/>
  <c r="BN142" i="6" s="1"/>
  <c r="DQ140" i="6"/>
  <c r="DR140" i="6"/>
  <c r="R140" i="6"/>
  <c r="AA140" i="6" s="1"/>
  <c r="Q140" i="6"/>
  <c r="AM142" i="6"/>
  <c r="AN142" i="6" s="1"/>
  <c r="M142" i="6"/>
  <c r="N142" i="6" s="1"/>
  <c r="Z140" i="6"/>
  <c r="AB140" i="6"/>
  <c r="BR140" i="6"/>
  <c r="BQ140" i="6"/>
  <c r="CA140" i="6" s="1"/>
  <c r="DN142" i="6"/>
  <c r="DW142" i="6"/>
  <c r="DO142" i="6"/>
  <c r="DY142" i="6" s="1"/>
  <c r="DP142" i="6"/>
  <c r="AU143" i="6"/>
  <c r="AV143" i="6" s="1"/>
  <c r="AL143" i="6"/>
  <c r="BU143" i="6"/>
  <c r="BV143" i="6" s="1"/>
  <c r="BL143" i="6"/>
  <c r="BM143" i="6" s="1"/>
  <c r="CS144" i="6"/>
  <c r="S144" i="6"/>
  <c r="DS144" i="6"/>
  <c r="DT144" i="6" s="1"/>
  <c r="BS144" i="6"/>
  <c r="AK144" i="6"/>
  <c r="CU143" i="6"/>
  <c r="CV143" i="6" s="1"/>
  <c r="CL143" i="6"/>
  <c r="CM143" i="6" s="1"/>
  <c r="U143" i="6"/>
  <c r="V143" i="6" s="1"/>
  <c r="L143" i="6"/>
  <c r="M143" i="6" s="1"/>
  <c r="DU143" i="6"/>
  <c r="DV143" i="6" s="1"/>
  <c r="DL143" i="6"/>
  <c r="CR141" i="6"/>
  <c r="CQ141" i="6"/>
  <c r="AB141" i="6"/>
  <c r="X141" i="6"/>
  <c r="A145" i="6"/>
  <c r="EF145" i="6" s="1"/>
  <c r="J144" i="6"/>
  <c r="BJ144" i="6"/>
  <c r="DJ144" i="6"/>
  <c r="AJ144" i="6"/>
  <c r="CJ144" i="6"/>
  <c r="AC141" i="6"/>
  <c r="BX141" i="6" l="1"/>
  <c r="CD141" i="6" s="1"/>
  <c r="CA141" i="6"/>
  <c r="BT143" i="6"/>
  <c r="T143" i="6"/>
  <c r="BT144" i="6"/>
  <c r="CX141" i="6"/>
  <c r="DA141" i="6"/>
  <c r="CX140" i="6"/>
  <c r="DD140" i="6" s="1"/>
  <c r="DA140" i="6"/>
  <c r="CT143" i="6"/>
  <c r="BC141" i="6"/>
  <c r="BA141" i="6"/>
  <c r="T144" i="6"/>
  <c r="CT144" i="6"/>
  <c r="BO142" i="6"/>
  <c r="BY142" i="6" s="1"/>
  <c r="AX141" i="6"/>
  <c r="BD141" i="6" s="1"/>
  <c r="BK144" i="6"/>
  <c r="AW142" i="6"/>
  <c r="AZ142" i="6" s="1"/>
  <c r="EG139" i="6"/>
  <c r="EH139" i="6" s="1"/>
  <c r="EB142" i="6"/>
  <c r="DZ142" i="6"/>
  <c r="DY141" i="6"/>
  <c r="EC140" i="6"/>
  <c r="DX140" i="6"/>
  <c r="ED140" i="6" s="1"/>
  <c r="EB141" i="6"/>
  <c r="DZ141" i="6"/>
  <c r="G146" i="6"/>
  <c r="CG146" i="6"/>
  <c r="AG146" i="6"/>
  <c r="BG146" i="6"/>
  <c r="DG146" i="6"/>
  <c r="AD141" i="6"/>
  <c r="CO142" i="6"/>
  <c r="CY142" i="6" s="1"/>
  <c r="DC140" i="6"/>
  <c r="DB142" i="6"/>
  <c r="CZ142" i="6"/>
  <c r="DC141" i="6"/>
  <c r="CC140" i="6"/>
  <c r="BX140" i="6"/>
  <c r="CC141" i="6"/>
  <c r="B147" i="6"/>
  <c r="CP142" i="6"/>
  <c r="CN142" i="6"/>
  <c r="CQ142" i="6" s="1"/>
  <c r="DQ141" i="6"/>
  <c r="DM143" i="6"/>
  <c r="DP143" i="6" s="1"/>
  <c r="BH146" i="6"/>
  <c r="BI146" i="6" s="1"/>
  <c r="CH146" i="6"/>
  <c r="CI146" i="6" s="1"/>
  <c r="H146" i="6"/>
  <c r="I146" i="6" s="1"/>
  <c r="AH146" i="6"/>
  <c r="AI146" i="6" s="1"/>
  <c r="AM143" i="6"/>
  <c r="AP143" i="6" s="1"/>
  <c r="C147" i="6"/>
  <c r="DH147" i="6" s="1"/>
  <c r="DI147" i="6" s="1"/>
  <c r="EA147" i="6" s="1"/>
  <c r="AX140" i="6"/>
  <c r="BC140" i="6"/>
  <c r="AP142" i="6"/>
  <c r="W142" i="6"/>
  <c r="BP142" i="6"/>
  <c r="BQ142" i="6"/>
  <c r="BR142" i="6"/>
  <c r="P142" i="6"/>
  <c r="BW142" i="6"/>
  <c r="AQ142" i="6"/>
  <c r="AR142" i="6"/>
  <c r="AS144" i="6"/>
  <c r="AO142" i="6"/>
  <c r="Q142" i="6"/>
  <c r="R142" i="6"/>
  <c r="O142" i="6"/>
  <c r="Y142" i="6" s="1"/>
  <c r="X140" i="6"/>
  <c r="AC140" i="6"/>
  <c r="O143" i="6"/>
  <c r="Y143" i="6" s="1"/>
  <c r="N143" i="6"/>
  <c r="Q143" i="6" s="1"/>
  <c r="P143" i="6"/>
  <c r="W143" i="6"/>
  <c r="Z143" i="6" s="1"/>
  <c r="BP143" i="6"/>
  <c r="BW143" i="6"/>
  <c r="BN143" i="6"/>
  <c r="BR143" i="6" s="1"/>
  <c r="BO143" i="6"/>
  <c r="BY143" i="6" s="1"/>
  <c r="CP143" i="6"/>
  <c r="CN143" i="6"/>
  <c r="CQ143" i="6" s="1"/>
  <c r="CO143" i="6"/>
  <c r="CY143" i="6" s="1"/>
  <c r="CW143" i="6"/>
  <c r="BU144" i="6"/>
  <c r="BV144" i="6" s="1"/>
  <c r="BL144" i="6"/>
  <c r="U144" i="6"/>
  <c r="V144" i="6" s="1"/>
  <c r="L144" i="6"/>
  <c r="K144" i="6"/>
  <c r="K145" i="6"/>
  <c r="DK145" i="6"/>
  <c r="BS145" i="6"/>
  <c r="CS145" i="6"/>
  <c r="AS145" i="6"/>
  <c r="AU144" i="6"/>
  <c r="AV144" i="6" s="1"/>
  <c r="AL144" i="6"/>
  <c r="AM144" i="6" s="1"/>
  <c r="AN144" i="6" s="1"/>
  <c r="AR144" i="6" s="1"/>
  <c r="DU144" i="6"/>
  <c r="DV144" i="6" s="1"/>
  <c r="DK144" i="6"/>
  <c r="DL144" i="6"/>
  <c r="CU144" i="6"/>
  <c r="CV144" i="6" s="1"/>
  <c r="CL144" i="6"/>
  <c r="CK144" i="6"/>
  <c r="DQ142" i="6"/>
  <c r="DR142" i="6"/>
  <c r="A146" i="6"/>
  <c r="EF146" i="6" s="1"/>
  <c r="BJ145" i="6"/>
  <c r="DJ145" i="6"/>
  <c r="AJ145" i="6"/>
  <c r="J145" i="6"/>
  <c r="CJ145" i="6"/>
  <c r="DA142" i="6" l="1"/>
  <c r="BA142" i="6"/>
  <c r="DA143" i="6"/>
  <c r="CA142" i="6"/>
  <c r="AT144" i="6"/>
  <c r="AT145" i="6"/>
  <c r="AA142" i="6"/>
  <c r="CT145" i="6"/>
  <c r="BT145" i="6"/>
  <c r="BB142" i="6"/>
  <c r="BM144" i="6"/>
  <c r="BW144" i="6" s="1"/>
  <c r="AO143" i="6"/>
  <c r="AY143" i="6" s="1"/>
  <c r="CR142" i="6"/>
  <c r="DD141" i="6"/>
  <c r="EC142" i="6"/>
  <c r="EC141" i="6"/>
  <c r="DX142" i="6"/>
  <c r="ED142" i="6" s="1"/>
  <c r="DX141" i="6"/>
  <c r="ED141" i="6" s="1"/>
  <c r="G147" i="6"/>
  <c r="BG147" i="6"/>
  <c r="CG147" i="6"/>
  <c r="AG147" i="6"/>
  <c r="DG147" i="6"/>
  <c r="CX142" i="6"/>
  <c r="AD140" i="6"/>
  <c r="CD140" i="6"/>
  <c r="BD140" i="6"/>
  <c r="CZ143" i="6"/>
  <c r="DB143" i="6"/>
  <c r="DC143" i="6"/>
  <c r="DC142" i="6"/>
  <c r="CX143" i="6"/>
  <c r="CC142" i="6"/>
  <c r="BZ143" i="6"/>
  <c r="CB143" i="6"/>
  <c r="BZ142" i="6"/>
  <c r="CB142" i="6"/>
  <c r="BX142" i="6"/>
  <c r="AC142" i="6"/>
  <c r="B148" i="6"/>
  <c r="DN143" i="6"/>
  <c r="DQ143" i="6" s="1"/>
  <c r="DO143" i="6"/>
  <c r="AW143" i="6"/>
  <c r="BB143" i="6" s="1"/>
  <c r="DW143" i="6"/>
  <c r="AN143" i="6"/>
  <c r="AQ143" i="6" s="1"/>
  <c r="BH147" i="6"/>
  <c r="BI147" i="6" s="1"/>
  <c r="CH147" i="6"/>
  <c r="CI147" i="6" s="1"/>
  <c r="H147" i="6"/>
  <c r="I147" i="6" s="1"/>
  <c r="AH147" i="6"/>
  <c r="AI147" i="6" s="1"/>
  <c r="DS145" i="6"/>
  <c r="DT145" i="6" s="1"/>
  <c r="S145" i="6"/>
  <c r="C148" i="6"/>
  <c r="DH148" i="6" s="1"/>
  <c r="DI148" i="6" s="1"/>
  <c r="EA148" i="6" s="1"/>
  <c r="BQ143" i="6"/>
  <c r="CR143" i="6"/>
  <c r="AB142" i="6"/>
  <c r="Z142" i="6"/>
  <c r="M144" i="6"/>
  <c r="O144" i="6" s="1"/>
  <c r="Y144" i="6" s="1"/>
  <c r="X142" i="6"/>
  <c r="AB143" i="6"/>
  <c r="DM144" i="6"/>
  <c r="DP144" i="6" s="1"/>
  <c r="AY142" i="6"/>
  <c r="AX142" i="6"/>
  <c r="BC142" i="6"/>
  <c r="R143" i="6"/>
  <c r="CM144" i="6"/>
  <c r="CP144" i="6" s="1"/>
  <c r="AU145" i="6"/>
  <c r="AV145" i="6" s="1"/>
  <c r="AL145" i="6"/>
  <c r="BU145" i="6"/>
  <c r="BV145" i="6" s="1"/>
  <c r="BL145" i="6"/>
  <c r="BK145" i="6"/>
  <c r="CS146" i="6"/>
  <c r="BS146" i="6"/>
  <c r="DS146" i="6"/>
  <c r="DT146" i="6" s="1"/>
  <c r="K146" i="6"/>
  <c r="AS146" i="6"/>
  <c r="AK145" i="6"/>
  <c r="CU145" i="6"/>
  <c r="CV145" i="6" s="1"/>
  <c r="CL145" i="6"/>
  <c r="CK145" i="6"/>
  <c r="DU145" i="6"/>
  <c r="DV145" i="6" s="1"/>
  <c r="DL145" i="6"/>
  <c r="DM145" i="6" s="1"/>
  <c r="DP145" i="6" s="1"/>
  <c r="U145" i="6"/>
  <c r="V145" i="6" s="1"/>
  <c r="L145" i="6"/>
  <c r="M145" i="6" s="1"/>
  <c r="AP144" i="6"/>
  <c r="AW144" i="6"/>
  <c r="AZ144" i="6" s="1"/>
  <c r="AO144" i="6"/>
  <c r="AY144" i="6" s="1"/>
  <c r="AQ144" i="6"/>
  <c r="A147" i="6"/>
  <c r="EF147" i="6" s="1"/>
  <c r="J146" i="6"/>
  <c r="CJ146" i="6"/>
  <c r="AJ146" i="6"/>
  <c r="DJ146" i="6"/>
  <c r="BJ146" i="6"/>
  <c r="BA144" i="6" l="1"/>
  <c r="AC143" i="6"/>
  <c r="AA143" i="6"/>
  <c r="CT146" i="6"/>
  <c r="AT146" i="6"/>
  <c r="T145" i="6"/>
  <c r="BX143" i="6"/>
  <c r="CA143" i="6"/>
  <c r="BT146" i="6"/>
  <c r="BN144" i="6"/>
  <c r="BR144" i="6" s="1"/>
  <c r="DD142" i="6"/>
  <c r="BO144" i="6"/>
  <c r="BY144" i="6" s="1"/>
  <c r="BP144" i="6"/>
  <c r="EG141" i="6"/>
  <c r="EH141" i="6" s="1"/>
  <c r="DZ143" i="6"/>
  <c r="EB143" i="6"/>
  <c r="DY143" i="6"/>
  <c r="G148" i="6"/>
  <c r="CG148" i="6"/>
  <c r="BG148" i="6"/>
  <c r="AG148" i="6"/>
  <c r="DG148" i="6"/>
  <c r="DD143" i="6"/>
  <c r="EG140" i="6"/>
  <c r="EH140" i="6" s="1"/>
  <c r="CD142" i="6"/>
  <c r="BD142" i="6"/>
  <c r="AD142" i="6"/>
  <c r="DK146" i="6"/>
  <c r="DR143" i="6"/>
  <c r="EC143" i="6" s="1"/>
  <c r="CC143" i="6"/>
  <c r="BZ144" i="6"/>
  <c r="CB144" i="6"/>
  <c r="DO144" i="6"/>
  <c r="W144" i="6"/>
  <c r="Z144" i="6" s="1"/>
  <c r="X143" i="6"/>
  <c r="B149" i="6"/>
  <c r="AZ143" i="6"/>
  <c r="AR143" i="6"/>
  <c r="BH148" i="6"/>
  <c r="BI148" i="6" s="1"/>
  <c r="CH148" i="6"/>
  <c r="CI148" i="6" s="1"/>
  <c r="H148" i="6"/>
  <c r="I148" i="6" s="1"/>
  <c r="AH148" i="6"/>
  <c r="AI148" i="6" s="1"/>
  <c r="BK146" i="6"/>
  <c r="C149" i="6"/>
  <c r="DH149" i="6" s="1"/>
  <c r="DI149" i="6" s="1"/>
  <c r="EA149" i="6" s="1"/>
  <c r="P144" i="6"/>
  <c r="N144" i="6"/>
  <c r="DN144" i="6"/>
  <c r="CW144" i="6"/>
  <c r="CO144" i="6"/>
  <c r="AM145" i="6"/>
  <c r="AN145" i="6" s="1"/>
  <c r="DW144" i="6"/>
  <c r="CN144" i="6"/>
  <c r="S146" i="6"/>
  <c r="CM145" i="6"/>
  <c r="CN145" i="6" s="1"/>
  <c r="BM145" i="6"/>
  <c r="BP145" i="6" s="1"/>
  <c r="W145" i="6"/>
  <c r="Z145" i="6" s="1"/>
  <c r="O145" i="6"/>
  <c r="Y145" i="6" s="1"/>
  <c r="P145" i="6"/>
  <c r="N145" i="6"/>
  <c r="Q145" i="6" s="1"/>
  <c r="U146" i="6"/>
  <c r="V146" i="6" s="1"/>
  <c r="L146" i="6"/>
  <c r="M146" i="6" s="1"/>
  <c r="BU146" i="6"/>
  <c r="BV146" i="6" s="1"/>
  <c r="BL146" i="6"/>
  <c r="DS147" i="6"/>
  <c r="DT147" i="6" s="1"/>
  <c r="BS147" i="6"/>
  <c r="S147" i="6"/>
  <c r="CS147" i="6"/>
  <c r="AS147" i="6"/>
  <c r="AU146" i="6"/>
  <c r="AV146" i="6" s="1"/>
  <c r="AL146" i="6"/>
  <c r="AK146" i="6"/>
  <c r="DU146" i="6"/>
  <c r="DV146" i="6" s="1"/>
  <c r="DL146" i="6"/>
  <c r="CU146" i="6"/>
  <c r="CV146" i="6" s="1"/>
  <c r="CL146" i="6"/>
  <c r="CK146" i="6"/>
  <c r="DO145" i="6"/>
  <c r="DY145" i="6" s="1"/>
  <c r="DN145" i="6"/>
  <c r="DQ145" i="6" s="1"/>
  <c r="DW145" i="6"/>
  <c r="BB144" i="6"/>
  <c r="AX144" i="6"/>
  <c r="BC144" i="6"/>
  <c r="A148" i="6"/>
  <c r="EF148" i="6" s="1"/>
  <c r="CJ147" i="6"/>
  <c r="BJ147" i="6"/>
  <c r="AJ147" i="6"/>
  <c r="J147" i="6"/>
  <c r="DJ147" i="6"/>
  <c r="BT147" i="6" l="1"/>
  <c r="CT147" i="6"/>
  <c r="AX143" i="6"/>
  <c r="BD143" i="6" s="1"/>
  <c r="BA143" i="6"/>
  <c r="T146" i="6"/>
  <c r="AT147" i="6"/>
  <c r="T147" i="6"/>
  <c r="BQ144" i="6"/>
  <c r="DX143" i="6"/>
  <c r="ED143" i="6" s="1"/>
  <c r="CD143" i="6"/>
  <c r="DZ145" i="6"/>
  <c r="EB145" i="6"/>
  <c r="DZ144" i="6"/>
  <c r="EB144" i="6"/>
  <c r="DY144" i="6"/>
  <c r="BD144" i="6"/>
  <c r="G149" i="6"/>
  <c r="CG149" i="6"/>
  <c r="BG149" i="6"/>
  <c r="AG149" i="6"/>
  <c r="DG149" i="6"/>
  <c r="EG142" i="6"/>
  <c r="EH142" i="6" s="1"/>
  <c r="AD143" i="6"/>
  <c r="AP145" i="6"/>
  <c r="AB144" i="6"/>
  <c r="DM146" i="6"/>
  <c r="DO146" i="6" s="1"/>
  <c r="DY146" i="6" s="1"/>
  <c r="BN145" i="6"/>
  <c r="BR145" i="6" s="1"/>
  <c r="CO145" i="6"/>
  <c r="CY145" i="6" s="1"/>
  <c r="DB144" i="6"/>
  <c r="CZ144" i="6"/>
  <c r="CY144" i="6"/>
  <c r="BC143" i="6"/>
  <c r="B150" i="6"/>
  <c r="BH149" i="6"/>
  <c r="BI149" i="6" s="1"/>
  <c r="CH149" i="6"/>
  <c r="CI149" i="6" s="1"/>
  <c r="H149" i="6"/>
  <c r="I149" i="6" s="1"/>
  <c r="AH149" i="6"/>
  <c r="AI149" i="6" s="1"/>
  <c r="BM146" i="6"/>
  <c r="BO146" i="6" s="1"/>
  <c r="BY146" i="6" s="1"/>
  <c r="C150" i="6"/>
  <c r="DH150" i="6" s="1"/>
  <c r="DI150" i="6" s="1"/>
  <c r="EA150" i="6" s="1"/>
  <c r="R145" i="6"/>
  <c r="N146" i="6"/>
  <c r="Q146" i="6" s="1"/>
  <c r="O146" i="6"/>
  <c r="Y146" i="6" s="1"/>
  <c r="W146" i="6"/>
  <c r="Z146" i="6" s="1"/>
  <c r="R144" i="6"/>
  <c r="AA144" i="6" s="1"/>
  <c r="Q144" i="6"/>
  <c r="P146" i="6"/>
  <c r="DR144" i="6"/>
  <c r="DQ144" i="6"/>
  <c r="AM146" i="6"/>
  <c r="AP146" i="6" s="1"/>
  <c r="AW145" i="6"/>
  <c r="AR145" i="6"/>
  <c r="AQ145" i="6"/>
  <c r="AO145" i="6"/>
  <c r="AY145" i="6" s="1"/>
  <c r="CR144" i="6"/>
  <c r="CQ144" i="6"/>
  <c r="DA144" i="6" s="1"/>
  <c r="BO145" i="6"/>
  <c r="BW145" i="6"/>
  <c r="AB145" i="6"/>
  <c r="CW145" i="6"/>
  <c r="CQ145" i="6"/>
  <c r="CR145" i="6"/>
  <c r="CM146" i="6"/>
  <c r="CN146" i="6" s="1"/>
  <c r="CP145" i="6"/>
  <c r="CU147" i="6"/>
  <c r="CV147" i="6" s="1"/>
  <c r="CK147" i="6"/>
  <c r="CL147" i="6"/>
  <c r="BU147" i="6"/>
  <c r="BV147" i="6" s="1"/>
  <c r="BL147" i="6"/>
  <c r="BK147" i="6"/>
  <c r="DU147" i="6"/>
  <c r="DV147" i="6" s="1"/>
  <c r="DL147" i="6"/>
  <c r="DK147" i="6"/>
  <c r="AU147" i="6"/>
  <c r="AV147" i="6" s="1"/>
  <c r="AK147" i="6"/>
  <c r="AL147" i="6"/>
  <c r="U147" i="6"/>
  <c r="V147" i="6" s="1"/>
  <c r="L147" i="6"/>
  <c r="K147" i="6"/>
  <c r="AS148" i="6"/>
  <c r="DK148" i="6"/>
  <c r="K148" i="6"/>
  <c r="BS148" i="6"/>
  <c r="CS148" i="6"/>
  <c r="DR145" i="6"/>
  <c r="A149" i="6"/>
  <c r="EF149" i="6" s="1"/>
  <c r="DJ148" i="6"/>
  <c r="AJ148" i="6"/>
  <c r="CJ148" i="6"/>
  <c r="J148" i="6"/>
  <c r="BJ148" i="6"/>
  <c r="DA145" i="6" l="1"/>
  <c r="BA145" i="6"/>
  <c r="AC145" i="6"/>
  <c r="AA145" i="6"/>
  <c r="CT148" i="6"/>
  <c r="BT148" i="6"/>
  <c r="AT148" i="6"/>
  <c r="BX144" i="6"/>
  <c r="CD144" i="6" s="1"/>
  <c r="CA144" i="6"/>
  <c r="CC144" i="6"/>
  <c r="X145" i="6"/>
  <c r="EC145" i="6"/>
  <c r="DX145" i="6"/>
  <c r="ED145" i="6" s="1"/>
  <c r="EC144" i="6"/>
  <c r="DX144" i="6"/>
  <c r="ED144" i="6" s="1"/>
  <c r="G150" i="6"/>
  <c r="CG150" i="6"/>
  <c r="AG150" i="6"/>
  <c r="BG150" i="6"/>
  <c r="DG150" i="6"/>
  <c r="EG143" i="6"/>
  <c r="EH143" i="6" s="1"/>
  <c r="BQ145" i="6"/>
  <c r="DP146" i="6"/>
  <c r="DN146" i="6"/>
  <c r="DQ146" i="6" s="1"/>
  <c r="DW146" i="6"/>
  <c r="CZ145" i="6"/>
  <c r="DB145" i="6"/>
  <c r="DC145" i="6"/>
  <c r="BC145" i="6"/>
  <c r="CX145" i="6"/>
  <c r="DC144" i="6"/>
  <c r="CX144" i="6"/>
  <c r="CB145" i="6"/>
  <c r="BZ145" i="6"/>
  <c r="BY145" i="6"/>
  <c r="BH150" i="6"/>
  <c r="BI150" i="6" s="1"/>
  <c r="CH150" i="6"/>
  <c r="CI150" i="6" s="1"/>
  <c r="H150" i="6"/>
  <c r="I150" i="6" s="1"/>
  <c r="AH150" i="6"/>
  <c r="AI150" i="6" s="1"/>
  <c r="BN146" i="6"/>
  <c r="BQ146" i="6" s="1"/>
  <c r="CW146" i="6"/>
  <c r="S148" i="6"/>
  <c r="BP146" i="6"/>
  <c r="BK148" i="6"/>
  <c r="BW146" i="6"/>
  <c r="CK148" i="6"/>
  <c r="R146" i="6"/>
  <c r="AA146" i="6" s="1"/>
  <c r="AB146" i="6"/>
  <c r="AC144" i="6"/>
  <c r="X144" i="6"/>
  <c r="AN146" i="6"/>
  <c r="AQ146" i="6" s="1"/>
  <c r="AO146" i="6"/>
  <c r="AY146" i="6" s="1"/>
  <c r="AW146" i="6"/>
  <c r="BB146" i="6" s="1"/>
  <c r="AZ145" i="6"/>
  <c r="BB145" i="6"/>
  <c r="AX145" i="6"/>
  <c r="CO146" i="6"/>
  <c r="AM147" i="6"/>
  <c r="AO147" i="6" s="1"/>
  <c r="AY147" i="6" s="1"/>
  <c r="CQ146" i="6"/>
  <c r="CR146" i="6"/>
  <c r="DM147" i="6"/>
  <c r="DO147" i="6" s="1"/>
  <c r="DY147" i="6" s="1"/>
  <c r="BM147" i="6"/>
  <c r="CM147" i="6"/>
  <c r="CP147" i="6" s="1"/>
  <c r="CP146" i="6"/>
  <c r="DS148" i="6"/>
  <c r="DT148" i="6" s="1"/>
  <c r="CU148" i="6"/>
  <c r="CV148" i="6" s="1"/>
  <c r="CL148" i="6"/>
  <c r="U148" i="6"/>
  <c r="V148" i="6" s="1"/>
  <c r="L148" i="6"/>
  <c r="M148" i="6" s="1"/>
  <c r="AU148" i="6"/>
  <c r="AV148" i="6" s="1"/>
  <c r="AL148" i="6"/>
  <c r="M147" i="6"/>
  <c r="AK148" i="6"/>
  <c r="BU148" i="6"/>
  <c r="BV148" i="6" s="1"/>
  <c r="BL148" i="6"/>
  <c r="DU148" i="6"/>
  <c r="DV148" i="6" s="1"/>
  <c r="DL148" i="6"/>
  <c r="DM148" i="6" s="1"/>
  <c r="BK149" i="6"/>
  <c r="S149" i="6"/>
  <c r="DK149" i="6"/>
  <c r="CS149" i="6"/>
  <c r="AS149" i="6"/>
  <c r="A150" i="6"/>
  <c r="BJ149" i="6"/>
  <c r="CJ149" i="6"/>
  <c r="DJ149" i="6"/>
  <c r="J149" i="6"/>
  <c r="AJ149" i="6"/>
  <c r="CC145" i="6" l="1"/>
  <c r="CA145" i="6"/>
  <c r="CT149" i="6"/>
  <c r="T149" i="6"/>
  <c r="T148" i="6"/>
  <c r="CA146" i="6"/>
  <c r="AT149" i="6"/>
  <c r="DA146" i="6"/>
  <c r="AM148" i="6"/>
  <c r="AO148" i="6" s="1"/>
  <c r="AY148" i="6" s="1"/>
  <c r="AD145" i="6"/>
  <c r="BS149" i="6"/>
  <c r="CK149" i="6"/>
  <c r="DZ146" i="6"/>
  <c r="EB146" i="6"/>
  <c r="DD145" i="6"/>
  <c r="X146" i="6"/>
  <c r="DD144" i="6"/>
  <c r="AK149" i="6"/>
  <c r="DR146" i="6"/>
  <c r="DX146" i="6" s="1"/>
  <c r="ED146" i="6" s="1"/>
  <c r="BX145" i="6"/>
  <c r="EF150" i="6"/>
  <c r="CW147" i="6"/>
  <c r="DB147" i="6" s="1"/>
  <c r="AC146" i="6"/>
  <c r="DC146" i="6"/>
  <c r="CY146" i="6"/>
  <c r="CX146" i="6"/>
  <c r="DB146" i="6"/>
  <c r="CZ146" i="6"/>
  <c r="CB146" i="6"/>
  <c r="BZ146" i="6"/>
  <c r="BD145" i="6"/>
  <c r="AD144" i="6"/>
  <c r="BM148" i="6"/>
  <c r="BN148" i="6" s="1"/>
  <c r="BQ148" i="6" s="1"/>
  <c r="AR146" i="6"/>
  <c r="BR146" i="6"/>
  <c r="CM148" i="6"/>
  <c r="CN148" i="6" s="1"/>
  <c r="CQ148" i="6" s="1"/>
  <c r="AZ146" i="6"/>
  <c r="AW147" i="6"/>
  <c r="DP147" i="6"/>
  <c r="AP147" i="6"/>
  <c r="CN147" i="6"/>
  <c r="CQ147" i="6" s="1"/>
  <c r="DN147" i="6"/>
  <c r="N148" i="6"/>
  <c r="Q148" i="6" s="1"/>
  <c r="O148" i="6"/>
  <c r="Y148" i="6" s="1"/>
  <c r="P148" i="6"/>
  <c r="AN147" i="6"/>
  <c r="W148" i="6"/>
  <c r="AB148" i="6" s="1"/>
  <c r="CO147" i="6"/>
  <c r="DW147" i="6"/>
  <c r="BO147" i="6"/>
  <c r="BW147" i="6"/>
  <c r="BN147" i="6"/>
  <c r="BP147" i="6"/>
  <c r="DP148" i="6"/>
  <c r="DN148" i="6"/>
  <c r="DR148" i="6" s="1"/>
  <c r="DO148" i="6"/>
  <c r="DY148" i="6" s="1"/>
  <c r="DW148" i="6"/>
  <c r="DS149" i="6"/>
  <c r="DT149" i="6" s="1"/>
  <c r="CU149" i="6"/>
  <c r="CV149" i="6" s="1"/>
  <c r="CL149" i="6"/>
  <c r="U149" i="6"/>
  <c r="V149" i="6" s="1"/>
  <c r="K149" i="6"/>
  <c r="L149" i="6"/>
  <c r="BU149" i="6"/>
  <c r="BV149" i="6" s="1"/>
  <c r="BL149" i="6"/>
  <c r="BM149" i="6" s="1"/>
  <c r="AU149" i="6"/>
  <c r="AV149" i="6" s="1"/>
  <c r="AL149" i="6"/>
  <c r="DU149" i="6"/>
  <c r="DV149" i="6" s="1"/>
  <c r="DL149" i="6"/>
  <c r="DM149" i="6" s="1"/>
  <c r="CS150" i="6"/>
  <c r="BS150" i="6"/>
  <c r="DS150" i="6"/>
  <c r="DT150" i="6" s="1"/>
  <c r="S150" i="6"/>
  <c r="AS150" i="6"/>
  <c r="P147" i="6"/>
  <c r="O147" i="6"/>
  <c r="N147" i="6"/>
  <c r="W147" i="6"/>
  <c r="J150" i="6"/>
  <c r="BJ150" i="6"/>
  <c r="AJ150" i="6"/>
  <c r="DJ150" i="6"/>
  <c r="CJ150" i="6"/>
  <c r="DA147" i="6" l="1"/>
  <c r="T150" i="6"/>
  <c r="BT150" i="6"/>
  <c r="BT149" i="6"/>
  <c r="AT150" i="6"/>
  <c r="CT150" i="6"/>
  <c r="BC146" i="6"/>
  <c r="BA146" i="6"/>
  <c r="AW148" i="6"/>
  <c r="AZ148" i="6" s="1"/>
  <c r="AP148" i="6"/>
  <c r="AN148" i="6"/>
  <c r="AQ148" i="6" s="1"/>
  <c r="CM149" i="6"/>
  <c r="CW149" i="6" s="1"/>
  <c r="CZ149" i="6" s="1"/>
  <c r="EC146" i="6"/>
  <c r="BX146" i="6"/>
  <c r="CD146" i="6" s="1"/>
  <c r="CC146" i="6"/>
  <c r="AD146" i="6"/>
  <c r="EB148" i="6"/>
  <c r="DZ148" i="6"/>
  <c r="EB147" i="6"/>
  <c r="DZ147" i="6"/>
  <c r="EG144" i="6"/>
  <c r="EH144" i="6" s="1"/>
  <c r="CD145" i="6"/>
  <c r="EG145" i="6" s="1"/>
  <c r="EH145" i="6" s="1"/>
  <c r="AM149" i="6"/>
  <c r="AW149" i="6" s="1"/>
  <c r="AZ149" i="6" s="1"/>
  <c r="CZ147" i="6"/>
  <c r="DD146" i="6"/>
  <c r="CR148" i="6"/>
  <c r="CR147" i="6"/>
  <c r="DC148" i="6"/>
  <c r="CY147" i="6"/>
  <c r="CX147" i="6"/>
  <c r="DC147" i="6"/>
  <c r="CB147" i="6"/>
  <c r="BZ147" i="6"/>
  <c r="BY147" i="6"/>
  <c r="BO148" i="6"/>
  <c r="AX146" i="6"/>
  <c r="BD146" i="6" s="1"/>
  <c r="BW148" i="6"/>
  <c r="BP148" i="6"/>
  <c r="CP148" i="6"/>
  <c r="Z148" i="6"/>
  <c r="CO148" i="6"/>
  <c r="CW148" i="6"/>
  <c r="BR148" i="6"/>
  <c r="CC148" i="6" s="1"/>
  <c r="R148" i="6"/>
  <c r="DQ148" i="6"/>
  <c r="DX148" i="6" s="1"/>
  <c r="ED148" i="6" s="1"/>
  <c r="BB147" i="6"/>
  <c r="AZ147" i="6"/>
  <c r="DR147" i="6"/>
  <c r="DQ147" i="6"/>
  <c r="AR147" i="6"/>
  <c r="BA147" i="6" s="1"/>
  <c r="AQ147" i="6"/>
  <c r="BQ147" i="6"/>
  <c r="CA147" i="6" s="1"/>
  <c r="BR147" i="6"/>
  <c r="Z147" i="6"/>
  <c r="AB147" i="6"/>
  <c r="M149" i="6"/>
  <c r="N149" i="6" s="1"/>
  <c r="DN149" i="6"/>
  <c r="DW149" i="6"/>
  <c r="BP149" i="6"/>
  <c r="BW149" i="6"/>
  <c r="BN149" i="6"/>
  <c r="BR149" i="6" s="1"/>
  <c r="BO149" i="6"/>
  <c r="BY149" i="6" s="1"/>
  <c r="Y147" i="6"/>
  <c r="AU150" i="6"/>
  <c r="AV150" i="6" s="1"/>
  <c r="AK150" i="6"/>
  <c r="AL150" i="6"/>
  <c r="DU150" i="6"/>
  <c r="DV150" i="6" s="1"/>
  <c r="DK150" i="6"/>
  <c r="DL150" i="6"/>
  <c r="CU150" i="6"/>
  <c r="CV150" i="6" s="1"/>
  <c r="CL150" i="6"/>
  <c r="CK150" i="6"/>
  <c r="Q147" i="6"/>
  <c r="R147" i="6"/>
  <c r="AA147" i="6" s="1"/>
  <c r="U150" i="6"/>
  <c r="V150" i="6" s="1"/>
  <c r="K150" i="6"/>
  <c r="L150" i="6"/>
  <c r="BU150" i="6"/>
  <c r="BV150" i="6" s="1"/>
  <c r="BK150" i="6"/>
  <c r="BL150" i="6"/>
  <c r="DP149" i="6"/>
  <c r="DO149" i="6"/>
  <c r="DY149" i="6" s="1"/>
  <c r="CA148" i="6" l="1"/>
  <c r="CN149" i="6"/>
  <c r="CR149" i="6" s="1"/>
  <c r="DA148" i="6"/>
  <c r="X148" i="6"/>
  <c r="AA148" i="6"/>
  <c r="CO149" i="6"/>
  <c r="CY149" i="6" s="1"/>
  <c r="CP149" i="6"/>
  <c r="BB148" i="6"/>
  <c r="AR148" i="6"/>
  <c r="BA148" i="6" s="1"/>
  <c r="DB149" i="6"/>
  <c r="BX147" i="6"/>
  <c r="EC147" i="6"/>
  <c r="DX147" i="6"/>
  <c r="ED147" i="6" s="1"/>
  <c r="DZ149" i="6"/>
  <c r="EB149" i="6"/>
  <c r="EC148" i="6"/>
  <c r="AN149" i="6"/>
  <c r="AQ149" i="6" s="1"/>
  <c r="DD147" i="6"/>
  <c r="BB149" i="6"/>
  <c r="AP149" i="6"/>
  <c r="AO149" i="6"/>
  <c r="AY149" i="6" s="1"/>
  <c r="EG146" i="6"/>
  <c r="EH146" i="6" s="1"/>
  <c r="AC148" i="6"/>
  <c r="AD148" i="6"/>
  <c r="CZ148" i="6"/>
  <c r="DB148" i="6"/>
  <c r="CY148" i="6"/>
  <c r="CX148" i="6"/>
  <c r="BZ148" i="6"/>
  <c r="CB148" i="6"/>
  <c r="BZ149" i="6"/>
  <c r="CB149" i="6"/>
  <c r="CC147" i="6"/>
  <c r="BY148" i="6"/>
  <c r="BX148" i="6"/>
  <c r="BQ149" i="6"/>
  <c r="BM150" i="6"/>
  <c r="BN150" i="6" s="1"/>
  <c r="M150" i="6"/>
  <c r="W150" i="6" s="1"/>
  <c r="CM150" i="6"/>
  <c r="CN150" i="6" s="1"/>
  <c r="CR150" i="6" s="1"/>
  <c r="P149" i="6"/>
  <c r="W149" i="6"/>
  <c r="BC147" i="6"/>
  <c r="AX147" i="6"/>
  <c r="Q149" i="6"/>
  <c r="R149" i="6"/>
  <c r="X147" i="6"/>
  <c r="AC147" i="6"/>
  <c r="AM150" i="6"/>
  <c r="AW150" i="6" s="1"/>
  <c r="O149" i="6"/>
  <c r="Y149" i="6" s="1"/>
  <c r="DM150" i="6"/>
  <c r="DR149" i="6"/>
  <c r="DQ149" i="6"/>
  <c r="AA149" i="6" l="1"/>
  <c r="CQ149" i="6"/>
  <c r="DA149" i="6" s="1"/>
  <c r="BX149" i="6"/>
  <c r="CA149" i="6"/>
  <c r="AX148" i="6"/>
  <c r="BD148" i="6" s="1"/>
  <c r="BC148" i="6"/>
  <c r="CD147" i="6"/>
  <c r="BD147" i="6"/>
  <c r="EC149" i="6"/>
  <c r="DX149" i="6"/>
  <c r="ED149" i="6" s="1"/>
  <c r="AR149" i="6"/>
  <c r="DD148" i="6"/>
  <c r="CD148" i="6"/>
  <c r="N150" i="6"/>
  <c r="R150" i="6" s="1"/>
  <c r="AN150" i="6"/>
  <c r="AR150" i="6" s="1"/>
  <c r="CC149" i="6"/>
  <c r="AD147" i="6"/>
  <c r="CW150" i="6"/>
  <c r="BO150" i="6"/>
  <c r="CO150" i="6"/>
  <c r="BP150" i="6"/>
  <c r="P150" i="6"/>
  <c r="BQ150" i="6"/>
  <c r="BR150" i="6"/>
  <c r="CP150" i="6"/>
  <c r="BW150" i="6"/>
  <c r="AB150" i="6"/>
  <c r="Z150" i="6"/>
  <c r="CQ150" i="6"/>
  <c r="O150" i="6"/>
  <c r="Y150" i="6" s="1"/>
  <c r="AO150" i="6"/>
  <c r="AY150" i="6" s="1"/>
  <c r="X149" i="6"/>
  <c r="Z149" i="6"/>
  <c r="AB149" i="6"/>
  <c r="AZ150" i="6"/>
  <c r="BB150" i="6"/>
  <c r="AC149" i="6"/>
  <c r="AP150" i="6"/>
  <c r="DP150" i="6"/>
  <c r="DN150" i="6"/>
  <c r="DW150" i="6"/>
  <c r="DO150" i="6"/>
  <c r="DC149" i="6" l="1"/>
  <c r="CX149" i="6"/>
  <c r="DD149" i="6" s="1"/>
  <c r="CA150" i="6"/>
  <c r="BC149" i="6"/>
  <c r="BA149" i="6"/>
  <c r="DA150" i="6"/>
  <c r="BA150" i="6"/>
  <c r="AA150" i="6"/>
  <c r="EG147" i="6"/>
  <c r="EH147" i="6" s="1"/>
  <c r="CD149" i="6"/>
  <c r="DZ150" i="6"/>
  <c r="EB150" i="6"/>
  <c r="DY150" i="6"/>
  <c r="AX149" i="6"/>
  <c r="EG148" i="6"/>
  <c r="EH148" i="6" s="1"/>
  <c r="AD149" i="6"/>
  <c r="Q150" i="6"/>
  <c r="AC150" i="6" s="1"/>
  <c r="AQ150" i="6"/>
  <c r="AX150" i="6" s="1"/>
  <c r="DC150" i="6"/>
  <c r="CY150" i="6"/>
  <c r="CX150" i="6"/>
  <c r="DB150" i="6"/>
  <c r="CZ150" i="6"/>
  <c r="CC150" i="6"/>
  <c r="BZ150" i="6"/>
  <c r="CB150" i="6"/>
  <c r="BY150" i="6"/>
  <c r="BX150" i="6"/>
  <c r="DQ150" i="6"/>
  <c r="DR150" i="6"/>
  <c r="X150" i="6" l="1"/>
  <c r="AD150" i="6" s="1"/>
  <c r="EC150" i="6"/>
  <c r="DX150" i="6"/>
  <c r="ED150" i="6" s="1"/>
  <c r="BC150" i="6"/>
  <c r="BD150" i="6" s="1"/>
  <c r="BD149" i="6"/>
  <c r="EG149" i="6" s="1"/>
  <c r="EH149" i="6" s="1"/>
  <c r="CD150" i="6"/>
  <c r="DD150" i="6"/>
  <c r="EG150" i="6" l="1"/>
  <c r="EH150" i="6" s="1"/>
  <c r="EH48" i="6" l="1"/>
  <c r="EI48" i="6" s="1"/>
  <c r="EI49" i="6" s="1"/>
  <c r="EI51" i="6" l="1"/>
  <c r="EI52" i="6"/>
  <c r="EJ52" i="6" s="1"/>
  <c r="EI53" i="6"/>
  <c r="EJ53" i="6" s="1"/>
  <c r="EI54" i="6"/>
  <c r="EJ54" i="6" s="1"/>
  <c r="EI55" i="6"/>
  <c r="EJ55" i="6" s="1"/>
  <c r="EI56" i="6"/>
  <c r="EJ56" i="6" s="1"/>
  <c r="EI57" i="6"/>
  <c r="EJ57" i="6" s="1"/>
  <c r="EI58" i="6"/>
  <c r="EJ58" i="6" s="1"/>
  <c r="EI59" i="6"/>
  <c r="EJ59" i="6" s="1"/>
  <c r="EI61" i="6"/>
  <c r="EJ61" i="6" s="1"/>
  <c r="EI60" i="6"/>
  <c r="EJ60" i="6" s="1"/>
  <c r="EI62" i="6"/>
  <c r="EJ62" i="6" s="1"/>
  <c r="EI63" i="6"/>
  <c r="EJ63" i="6" s="1"/>
  <c r="EI65" i="6"/>
  <c r="EJ65" i="6" s="1"/>
  <c r="EI64" i="6"/>
  <c r="EJ64" i="6" s="1"/>
  <c r="EI66" i="6"/>
  <c r="EJ66" i="6" s="1"/>
  <c r="EI67" i="6"/>
  <c r="EJ67" i="6" s="1"/>
  <c r="EI68" i="6"/>
  <c r="EJ68" i="6" s="1"/>
  <c r="EI69" i="6"/>
  <c r="EJ69" i="6" s="1"/>
  <c r="EI70" i="6"/>
  <c r="EJ70" i="6" s="1"/>
  <c r="EI71" i="6"/>
  <c r="EJ71" i="6" s="1"/>
  <c r="EI72" i="6"/>
  <c r="EJ72" i="6" s="1"/>
  <c r="EI73" i="6"/>
  <c r="EJ73" i="6" s="1"/>
  <c r="EI74" i="6"/>
  <c r="EJ74" i="6" s="1"/>
  <c r="EI75" i="6"/>
  <c r="EJ75" i="6" s="1"/>
  <c r="EI76" i="6"/>
  <c r="EJ76" i="6" s="1"/>
  <c r="EI77" i="6"/>
  <c r="EJ77" i="6" s="1"/>
  <c r="EI78" i="6"/>
  <c r="EJ78" i="6" s="1"/>
  <c r="EI79" i="6"/>
  <c r="EJ79" i="6" s="1"/>
  <c r="EI80" i="6"/>
  <c r="EJ80" i="6" s="1"/>
  <c r="EI81" i="6"/>
  <c r="EJ81" i="6" s="1"/>
  <c r="EI82" i="6"/>
  <c r="EJ82" i="6" s="1"/>
  <c r="EI83" i="6"/>
  <c r="EJ83" i="6" s="1"/>
  <c r="EI84" i="6"/>
  <c r="EJ84" i="6" s="1"/>
  <c r="EI85" i="6"/>
  <c r="EJ85" i="6" s="1"/>
  <c r="EI86" i="6"/>
  <c r="EJ86" i="6" s="1"/>
  <c r="EI87" i="6"/>
  <c r="EJ87" i="6" s="1"/>
  <c r="EI88" i="6"/>
  <c r="EJ88" i="6" s="1"/>
  <c r="EI89" i="6"/>
  <c r="EJ89" i="6" s="1"/>
  <c r="EI90" i="6"/>
  <c r="EJ90" i="6" s="1"/>
  <c r="EI91" i="6"/>
  <c r="EJ91" i="6" s="1"/>
  <c r="EI92" i="6"/>
  <c r="EJ92" i="6" s="1"/>
  <c r="EI93" i="6"/>
  <c r="EJ93" i="6" s="1"/>
  <c r="EI94" i="6"/>
  <c r="EJ94" i="6" s="1"/>
  <c r="EI95" i="6"/>
  <c r="EJ95" i="6" s="1"/>
  <c r="EI96" i="6"/>
  <c r="EJ96" i="6" s="1"/>
  <c r="EI97" i="6"/>
  <c r="EJ97" i="6" s="1"/>
  <c r="EI98" i="6"/>
  <c r="EJ98" i="6" s="1"/>
  <c r="EI99" i="6"/>
  <c r="EJ99" i="6" s="1"/>
  <c r="EI100" i="6"/>
  <c r="EJ100" i="6" s="1"/>
  <c r="EI101" i="6"/>
  <c r="EJ101" i="6" s="1"/>
  <c r="EI102" i="6"/>
  <c r="EJ102" i="6" s="1"/>
  <c r="EI103" i="6"/>
  <c r="EJ103" i="6" s="1"/>
  <c r="EI105" i="6"/>
  <c r="EJ105" i="6" s="1"/>
  <c r="EI104" i="6"/>
  <c r="EJ104" i="6" s="1"/>
  <c r="EI107" i="6"/>
  <c r="EJ107" i="6" s="1"/>
  <c r="EI106" i="6"/>
  <c r="EJ106" i="6" s="1"/>
  <c r="EI108" i="6"/>
  <c r="EJ108" i="6" s="1"/>
  <c r="EI109" i="6"/>
  <c r="EJ109" i="6" s="1"/>
  <c r="EI110" i="6"/>
  <c r="EJ110" i="6" s="1"/>
  <c r="EI111" i="6"/>
  <c r="EJ111" i="6" s="1"/>
  <c r="EI112" i="6"/>
  <c r="EJ112" i="6" s="1"/>
  <c r="EI113" i="6"/>
  <c r="EJ113" i="6" s="1"/>
  <c r="EI114" i="6"/>
  <c r="EJ114" i="6" s="1"/>
  <c r="EI115" i="6"/>
  <c r="EJ115" i="6" s="1"/>
  <c r="EI116" i="6"/>
  <c r="EJ116" i="6" s="1"/>
  <c r="EI118" i="6"/>
  <c r="EJ118" i="6" s="1"/>
  <c r="EI117" i="6"/>
  <c r="EJ117" i="6" s="1"/>
  <c r="EI119" i="6"/>
  <c r="EJ119" i="6" s="1"/>
  <c r="EI121" i="6"/>
  <c r="EJ121" i="6" s="1"/>
  <c r="EI120" i="6"/>
  <c r="EJ120" i="6" s="1"/>
  <c r="EI122" i="6"/>
  <c r="EJ122" i="6" s="1"/>
  <c r="EI124" i="6"/>
  <c r="EJ124" i="6" s="1"/>
  <c r="EI123" i="6"/>
  <c r="EJ123" i="6" s="1"/>
  <c r="EI125" i="6"/>
  <c r="EJ125" i="6" s="1"/>
  <c r="EI126" i="6"/>
  <c r="EJ126" i="6" s="1"/>
  <c r="EI127" i="6"/>
  <c r="EJ127" i="6" s="1"/>
  <c r="EI128" i="6"/>
  <c r="EJ128" i="6" s="1"/>
  <c r="EI129" i="6"/>
  <c r="EJ129" i="6" s="1"/>
  <c r="EI130" i="6"/>
  <c r="EJ130" i="6" s="1"/>
  <c r="EI131" i="6"/>
  <c r="EJ131" i="6" s="1"/>
  <c r="EI133" i="6"/>
  <c r="EJ133" i="6" s="1"/>
  <c r="EI132" i="6"/>
  <c r="EJ132" i="6" s="1"/>
  <c r="EI134" i="6"/>
  <c r="EJ134" i="6" s="1"/>
  <c r="EI135" i="6"/>
  <c r="EJ135" i="6" s="1"/>
  <c r="EI136" i="6"/>
  <c r="EJ136" i="6" s="1"/>
  <c r="EI137" i="6"/>
  <c r="EJ137" i="6" s="1"/>
  <c r="EI138" i="6"/>
  <c r="EJ138" i="6" s="1"/>
  <c r="EI139" i="6"/>
  <c r="EJ139" i="6" s="1"/>
  <c r="EI141" i="6"/>
  <c r="EJ141" i="6" s="1"/>
  <c r="EI140" i="6"/>
  <c r="EJ140" i="6" s="1"/>
  <c r="EI142" i="6"/>
  <c r="EJ142" i="6" s="1"/>
  <c r="EI143" i="6"/>
  <c r="EJ143" i="6" s="1"/>
  <c r="EI145" i="6"/>
  <c r="EJ145" i="6" s="1"/>
  <c r="EI144" i="6"/>
  <c r="EJ144" i="6" s="1"/>
  <c r="EI146" i="6"/>
  <c r="EJ146" i="6" s="1"/>
  <c r="EI148" i="6"/>
  <c r="EJ148" i="6" s="1"/>
  <c r="EI147" i="6"/>
  <c r="EJ147" i="6" s="1"/>
  <c r="EI149" i="6"/>
  <c r="EJ149" i="6" s="1"/>
  <c r="EI150" i="6"/>
  <c r="EJ150" i="6" s="1"/>
  <c r="EK64" i="6" l="1"/>
  <c r="EL64" i="6" s="1"/>
  <c r="EK60" i="6"/>
  <c r="EK149" i="6"/>
  <c r="EL149" i="6" s="1"/>
  <c r="EK140" i="6"/>
  <c r="EK132" i="6"/>
  <c r="EK125" i="6"/>
  <c r="EL125" i="6" s="1"/>
  <c r="EK120" i="6"/>
  <c r="EK104" i="6"/>
  <c r="EL104" i="6" s="1"/>
  <c r="EK144" i="6"/>
  <c r="EK107" i="6"/>
  <c r="EK136" i="6"/>
  <c r="EK128" i="6"/>
  <c r="EK121" i="6"/>
  <c r="EK116" i="6"/>
  <c r="EK112" i="6"/>
  <c r="EK105" i="6"/>
  <c r="EK100" i="6"/>
  <c r="EL100" i="6" s="1"/>
  <c r="EK96" i="6"/>
  <c r="EK92" i="6"/>
  <c r="EK88" i="6"/>
  <c r="EK84" i="6"/>
  <c r="EK80" i="6"/>
  <c r="EK76" i="6"/>
  <c r="EK72" i="6"/>
  <c r="EK68" i="6"/>
  <c r="EK56" i="6"/>
  <c r="EK146" i="6"/>
  <c r="EK142" i="6"/>
  <c r="EK138" i="6"/>
  <c r="EK134" i="6"/>
  <c r="EK130" i="6"/>
  <c r="EK126" i="6"/>
  <c r="EK122" i="6"/>
  <c r="EK117" i="6"/>
  <c r="EK114" i="6"/>
  <c r="EK110" i="6"/>
  <c r="EK102" i="6"/>
  <c r="EL102" i="6" s="1"/>
  <c r="EK98" i="6"/>
  <c r="EK94" i="6"/>
  <c r="EK90" i="6"/>
  <c r="EK86" i="6"/>
  <c r="EK82" i="6"/>
  <c r="EK78" i="6"/>
  <c r="EK74" i="6"/>
  <c r="EK70" i="6"/>
  <c r="EK66" i="6"/>
  <c r="EK62" i="6"/>
  <c r="EK54" i="6"/>
  <c r="EL54" i="6" s="1"/>
  <c r="EK57" i="6"/>
  <c r="EK141" i="6"/>
  <c r="EK133" i="6"/>
  <c r="EK145" i="6"/>
  <c r="EK53" i="6"/>
  <c r="EK58" i="6"/>
  <c r="EK65" i="6"/>
  <c r="EK137" i="6"/>
  <c r="EK129" i="6"/>
  <c r="EK118" i="6"/>
  <c r="EK113" i="6"/>
  <c r="EK109" i="6"/>
  <c r="EK101" i="6"/>
  <c r="EK97" i="6"/>
  <c r="EK93" i="6"/>
  <c r="EL93" i="6" s="1"/>
  <c r="EK89" i="6"/>
  <c r="EK85" i="6"/>
  <c r="EK81" i="6"/>
  <c r="EK77" i="6"/>
  <c r="EK73" i="6"/>
  <c r="EK69" i="6"/>
  <c r="EK147" i="6"/>
  <c r="EK108" i="6"/>
  <c r="EL108" i="6" s="1"/>
  <c r="EK61" i="6"/>
  <c r="EK123" i="6"/>
  <c r="EK148" i="6"/>
  <c r="EK143" i="6"/>
  <c r="EK139" i="6"/>
  <c r="EK135" i="6"/>
  <c r="EK131" i="6"/>
  <c r="EK127" i="6"/>
  <c r="EK124" i="6"/>
  <c r="EK119" i="6"/>
  <c r="EK115" i="6"/>
  <c r="EK111" i="6"/>
  <c r="EK106" i="6"/>
  <c r="EK103" i="6"/>
  <c r="EK99" i="6"/>
  <c r="EK95" i="6"/>
  <c r="EK91" i="6"/>
  <c r="EK87" i="6"/>
  <c r="EK83" i="6"/>
  <c r="EL83" i="6" s="1"/>
  <c r="EK79" i="6"/>
  <c r="EK75" i="6"/>
  <c r="EK71" i="6"/>
  <c r="EK67" i="6"/>
  <c r="EK63" i="6"/>
  <c r="EK59" i="6"/>
  <c r="EK55" i="6"/>
  <c r="EL147" i="6" l="1"/>
  <c r="EL117" i="6"/>
  <c r="EL140" i="6"/>
  <c r="EL134" i="6"/>
  <c r="EL132" i="6"/>
  <c r="EL142" i="6"/>
  <c r="EL66" i="6"/>
  <c r="EL60" i="6"/>
  <c r="EL122" i="6"/>
  <c r="EL96" i="6"/>
  <c r="EL123" i="6"/>
  <c r="EL146" i="6"/>
  <c r="EL98" i="6"/>
  <c r="EL62" i="6"/>
  <c r="EL130" i="6"/>
  <c r="EL58" i="6"/>
  <c r="EL70" i="6"/>
  <c r="EL74" i="6"/>
  <c r="EL78" i="6"/>
  <c r="EL82" i="6"/>
  <c r="EL86" i="6"/>
  <c r="EL90" i="6"/>
  <c r="EL120" i="6"/>
  <c r="EL68" i="6"/>
  <c r="EL72" i="6"/>
  <c r="EL76" i="6"/>
  <c r="EL80" i="6"/>
  <c r="EL84" i="6"/>
  <c r="EL128" i="6"/>
  <c r="EL138" i="6"/>
  <c r="EL144" i="6"/>
  <c r="EL55" i="6"/>
  <c r="EL136" i="6"/>
  <c r="EL119" i="6"/>
  <c r="EL57" i="6"/>
  <c r="EL69" i="6"/>
  <c r="EL73" i="6"/>
  <c r="EL139" i="6"/>
  <c r="EL56" i="6"/>
  <c r="EL61" i="6"/>
  <c r="EL67" i="6"/>
  <c r="EL141" i="6"/>
  <c r="EL145" i="6"/>
  <c r="EL59" i="6"/>
  <c r="EL71" i="6"/>
  <c r="EL137" i="6"/>
  <c r="EL143" i="6"/>
  <c r="EL65" i="6"/>
  <c r="EL63" i="6"/>
  <c r="EL148" i="6"/>
  <c r="EL133" i="6"/>
  <c r="EL135" i="6"/>
  <c r="EL126" i="6"/>
  <c r="EL129" i="6"/>
  <c r="EL131" i="6"/>
  <c r="EL88" i="6"/>
  <c r="EL92" i="6"/>
  <c r="EL124" i="6"/>
  <c r="EL127" i="6"/>
  <c r="EL75" i="6"/>
  <c r="EL79" i="6"/>
  <c r="EL87" i="6"/>
  <c r="EL91" i="6"/>
  <c r="EL77" i="6"/>
  <c r="EL81" i="6"/>
  <c r="EL85" i="6"/>
  <c r="EL89" i="6"/>
  <c r="EL121" i="6"/>
  <c r="EL110" i="6"/>
  <c r="EL114" i="6"/>
  <c r="EL112" i="6"/>
  <c r="EL116" i="6"/>
  <c r="EL106" i="6"/>
  <c r="EL95" i="6"/>
  <c r="EL99" i="6"/>
  <c r="EL103" i="6"/>
  <c r="EL113" i="6"/>
  <c r="EL107" i="6"/>
  <c r="EL118" i="6"/>
  <c r="EL105" i="6"/>
  <c r="EL97" i="6"/>
  <c r="EL101" i="6"/>
  <c r="EL111" i="6"/>
  <c r="EL115" i="6"/>
  <c r="EL94" i="6"/>
  <c r="EL109" i="6"/>
  <c r="EL53" i="6" l="1"/>
  <c r="EM53" i="6" s="1"/>
  <c r="EN53" i="6" l="1"/>
  <c r="EM54" i="6"/>
  <c r="EN54" i="6" l="1"/>
  <c r="EM55" i="6"/>
  <c r="EN55" i="6" l="1"/>
  <c r="EM56" i="6"/>
  <c r="EM57" i="6" l="1"/>
  <c r="EN56" i="6"/>
  <c r="EN57" i="6" l="1"/>
  <c r="EM58" i="6"/>
  <c r="EM59" i="6" l="1"/>
  <c r="EN58" i="6"/>
  <c r="EN59" i="6" l="1"/>
  <c r="EM60" i="6"/>
  <c r="EM61" i="6" l="1"/>
  <c r="EN60" i="6"/>
  <c r="EM62" i="6" l="1"/>
  <c r="EN61" i="6"/>
  <c r="EN62" i="6" l="1"/>
  <c r="EM63" i="6"/>
  <c r="EM64" i="6" l="1"/>
  <c r="EN63" i="6"/>
  <c r="EM65" i="6" l="1"/>
  <c r="EN64" i="6"/>
  <c r="EM66" i="6" l="1"/>
  <c r="EN65" i="6"/>
  <c r="EM67" i="6" l="1"/>
  <c r="EN66" i="6"/>
  <c r="EM68" i="6" l="1"/>
  <c r="EN67" i="6"/>
  <c r="EM69" i="6" l="1"/>
  <c r="EN68" i="6"/>
  <c r="EM70" i="6" l="1"/>
  <c r="EN69" i="6"/>
  <c r="EM71" i="6" l="1"/>
  <c r="EN70" i="6"/>
  <c r="EM72" i="6" l="1"/>
  <c r="EN71" i="6"/>
  <c r="EM73" i="6" l="1"/>
  <c r="EN72" i="6"/>
  <c r="EM74" i="6" l="1"/>
  <c r="EN73" i="6"/>
  <c r="EM75" i="6" l="1"/>
  <c r="EN74" i="6"/>
  <c r="EM76" i="6" l="1"/>
  <c r="EN75" i="6"/>
  <c r="EM77" i="6" l="1"/>
  <c r="EN76" i="6"/>
  <c r="EM78" i="6" l="1"/>
  <c r="EN77" i="6"/>
  <c r="EN78" i="6" l="1"/>
  <c r="EM79" i="6"/>
  <c r="EM80" i="6" l="1"/>
  <c r="EN79" i="6"/>
  <c r="EM81" i="6" l="1"/>
  <c r="EN80" i="6"/>
  <c r="EN81" i="6" l="1"/>
  <c r="EM82" i="6"/>
  <c r="EM83" i="6" l="1"/>
  <c r="EN82" i="6"/>
  <c r="EM84" i="6" l="1"/>
  <c r="EN83" i="6"/>
  <c r="EM85" i="6" l="1"/>
  <c r="EN84" i="6"/>
  <c r="EM86" i="6" l="1"/>
  <c r="EN85" i="6"/>
  <c r="EN86" i="6" l="1"/>
  <c r="EM87" i="6"/>
  <c r="EM88" i="6" l="1"/>
  <c r="EN87" i="6"/>
  <c r="EN88" i="6" l="1"/>
  <c r="EM89" i="6"/>
  <c r="EM90" i="6" l="1"/>
  <c r="EN89" i="6"/>
  <c r="EM91" i="6" l="1"/>
  <c r="EN90" i="6"/>
  <c r="EM92" i="6" l="1"/>
  <c r="EN91" i="6"/>
  <c r="EM93" i="6" l="1"/>
  <c r="EN92" i="6"/>
  <c r="EM94" i="6" l="1"/>
  <c r="EN93" i="6"/>
  <c r="EM95" i="6" l="1"/>
  <c r="EN94" i="6"/>
  <c r="EM96" i="6" l="1"/>
  <c r="EN95" i="6"/>
  <c r="EM97" i="6" l="1"/>
  <c r="EN96" i="6"/>
  <c r="EM98" i="6" l="1"/>
  <c r="EN97" i="6"/>
  <c r="EM99" i="6" l="1"/>
  <c r="EN98" i="6"/>
  <c r="EM100" i="6" l="1"/>
  <c r="EN99" i="6"/>
  <c r="EM101" i="6" l="1"/>
  <c r="EN100" i="6"/>
  <c r="EM102" i="6" l="1"/>
  <c r="EN101" i="6"/>
  <c r="EM103" i="6" l="1"/>
  <c r="EN102" i="6"/>
  <c r="EM104" i="6" l="1"/>
  <c r="EN103" i="6"/>
  <c r="EM105" i="6" l="1"/>
  <c r="EN104" i="6"/>
  <c r="EM106" i="6" l="1"/>
  <c r="EN105" i="6"/>
  <c r="EM107" i="6" l="1"/>
  <c r="EN106" i="6"/>
  <c r="EM108" i="6" l="1"/>
  <c r="EN107" i="6"/>
  <c r="EM109" i="6" l="1"/>
  <c r="EN108" i="6"/>
  <c r="EM110" i="6" l="1"/>
  <c r="EN109" i="6"/>
  <c r="EM111" i="6" l="1"/>
  <c r="EN110" i="6"/>
  <c r="EM112" i="6" l="1"/>
  <c r="EN111" i="6"/>
  <c r="EM113" i="6" l="1"/>
  <c r="EN112" i="6"/>
  <c r="EM114" i="6" l="1"/>
  <c r="EN113" i="6"/>
  <c r="EM115" i="6" l="1"/>
  <c r="EN114" i="6"/>
  <c r="EM116" i="6" l="1"/>
  <c r="EN115" i="6"/>
  <c r="EM117" i="6" l="1"/>
  <c r="EN116" i="6"/>
  <c r="EM118" i="6" l="1"/>
  <c r="EN117" i="6"/>
  <c r="EM119" i="6" l="1"/>
  <c r="EN118" i="6"/>
  <c r="EM120" i="6" l="1"/>
  <c r="EN119" i="6"/>
  <c r="EN120" i="6" l="1"/>
  <c r="EM121" i="6"/>
  <c r="EM122" i="6" l="1"/>
  <c r="EN121" i="6"/>
  <c r="EM123" i="6" l="1"/>
  <c r="EN122" i="6"/>
  <c r="EM124" i="6" l="1"/>
  <c r="EN123" i="6"/>
  <c r="EM125" i="6" l="1"/>
  <c r="EN124" i="6"/>
  <c r="EM126" i="6" l="1"/>
  <c r="EN125" i="6"/>
  <c r="EM127" i="6" l="1"/>
  <c r="EN126" i="6"/>
  <c r="EM128" i="6" l="1"/>
  <c r="EN127" i="6"/>
  <c r="EN128" i="6" l="1"/>
  <c r="EM129" i="6"/>
  <c r="EM130" i="6" l="1"/>
  <c r="EN129" i="6"/>
  <c r="EM131" i="6" l="1"/>
  <c r="EN130" i="6"/>
  <c r="EN131" i="6" l="1"/>
  <c r="EM132" i="6"/>
  <c r="EM133" i="6" l="1"/>
  <c r="EN132" i="6"/>
  <c r="EN133" i="6" l="1"/>
  <c r="EM134" i="6"/>
  <c r="EM135" i="6" l="1"/>
  <c r="EN134" i="6"/>
  <c r="EM136" i="6" l="1"/>
  <c r="EN135" i="6"/>
  <c r="EN136" i="6" l="1"/>
  <c r="EM137" i="6"/>
  <c r="EM138" i="6" l="1"/>
  <c r="EN137" i="6"/>
  <c r="EM139" i="6" l="1"/>
  <c r="EN138" i="6"/>
  <c r="EN139" i="6" l="1"/>
  <c r="EM140" i="6"/>
  <c r="EM141" i="6" l="1"/>
  <c r="EN140" i="6"/>
  <c r="EM142" i="6" l="1"/>
  <c r="EN141" i="6"/>
  <c r="EM143" i="6" l="1"/>
  <c r="EN142" i="6"/>
  <c r="EM144" i="6" l="1"/>
  <c r="EN143" i="6"/>
  <c r="EM145" i="6" l="1"/>
  <c r="EN144" i="6"/>
  <c r="EM146" i="6" l="1"/>
  <c r="EN145" i="6"/>
  <c r="EM147" i="6" l="1"/>
  <c r="EN146" i="6"/>
  <c r="EN147" i="6" l="1"/>
  <c r="EM148" i="6"/>
  <c r="EN148" i="6" l="1"/>
  <c r="EM149" i="6"/>
  <c r="EN149" i="6" s="1"/>
  <c r="G182" i="6"/>
  <c r="AG182" i="6"/>
  <c r="BG182" i="6"/>
  <c r="DG182" i="6"/>
  <c r="CG182" i="6"/>
  <c r="G196" i="6"/>
  <c r="BG196" i="6"/>
  <c r="AG196" i="6"/>
  <c r="DG196" i="6"/>
  <c r="CG196" i="6"/>
  <c r="G185" i="6"/>
  <c r="BG185" i="6"/>
  <c r="AG185" i="6"/>
  <c r="DG185" i="6"/>
  <c r="CG185" i="6"/>
  <c r="G189" i="6"/>
  <c r="BG189" i="6"/>
  <c r="AG189" i="6"/>
  <c r="DG189" i="6"/>
  <c r="CG189" i="6"/>
  <c r="G193" i="6"/>
  <c r="BG193" i="6"/>
  <c r="AG193" i="6"/>
  <c r="DG193" i="6"/>
  <c r="CG193" i="6"/>
  <c r="G181" i="6"/>
  <c r="BG181" i="6"/>
  <c r="AG181" i="6"/>
  <c r="DG181" i="6"/>
  <c r="CG181" i="6"/>
  <c r="G186" i="6"/>
  <c r="AG186" i="6"/>
  <c r="BG186" i="6"/>
  <c r="DG186" i="6"/>
  <c r="CG186" i="6"/>
  <c r="G190" i="6"/>
  <c r="AG190" i="6"/>
  <c r="BG190" i="6"/>
  <c r="DG190" i="6"/>
  <c r="CG190" i="6"/>
  <c r="G225" i="6"/>
  <c r="AG225" i="6"/>
  <c r="BG225" i="6"/>
  <c r="DG225" i="6"/>
  <c r="CG225" i="6"/>
  <c r="G227" i="6"/>
  <c r="BG227" i="6"/>
  <c r="AG227" i="6"/>
  <c r="DG227" i="6"/>
  <c r="CG227" i="6"/>
  <c r="G229" i="6"/>
  <c r="AG229" i="6"/>
  <c r="BG229" i="6"/>
  <c r="DG229" i="6"/>
  <c r="CG229" i="6"/>
  <c r="G231" i="6"/>
  <c r="BG231" i="6"/>
  <c r="AG231" i="6"/>
  <c r="DG231" i="6"/>
  <c r="CG231" i="6"/>
  <c r="G233" i="6"/>
  <c r="AG233" i="6"/>
  <c r="BG233" i="6"/>
  <c r="DG233" i="6"/>
  <c r="CG233" i="6"/>
  <c r="G235" i="6"/>
  <c r="BG235" i="6"/>
  <c r="AG235" i="6"/>
  <c r="DG235" i="6"/>
  <c r="CG235" i="6"/>
  <c r="G223" i="6"/>
  <c r="BG223" i="6"/>
  <c r="AG223" i="6"/>
  <c r="DG223" i="6"/>
  <c r="CG223" i="6"/>
  <c r="G226" i="6"/>
  <c r="BG226" i="6"/>
  <c r="AG226" i="6"/>
  <c r="DG226" i="6"/>
  <c r="CG226" i="6"/>
  <c r="G228" i="6"/>
  <c r="BG228" i="6"/>
  <c r="AG228" i="6"/>
  <c r="DG228" i="6"/>
  <c r="CG228" i="6"/>
  <c r="G230" i="6"/>
  <c r="BG230" i="6"/>
  <c r="AG230" i="6"/>
  <c r="DG230" i="6"/>
  <c r="CG230" i="6"/>
  <c r="G232" i="6"/>
  <c r="BG232" i="6"/>
  <c r="AG232" i="6"/>
  <c r="DG232" i="6"/>
  <c r="CG232" i="6"/>
  <c r="G234" i="6"/>
  <c r="BG234" i="6"/>
  <c r="AG234" i="6"/>
  <c r="DG234" i="6"/>
  <c r="CG234" i="6"/>
  <c r="G201" i="6"/>
  <c r="BG201" i="6"/>
  <c r="AG201" i="6"/>
  <c r="DG201" i="6"/>
  <c r="CG201" i="6"/>
  <c r="G205" i="6"/>
  <c r="BG205" i="6"/>
  <c r="AG205" i="6"/>
  <c r="DG205" i="6"/>
  <c r="CG205" i="6"/>
  <c r="G200" i="6"/>
  <c r="BG200" i="6"/>
  <c r="AG200" i="6"/>
  <c r="DG200" i="6"/>
  <c r="CG200" i="6"/>
  <c r="G204" i="6"/>
  <c r="BG204" i="6"/>
  <c r="AG204" i="6"/>
  <c r="DG204" i="6"/>
  <c r="CG204" i="6"/>
  <c r="G210" i="6"/>
  <c r="BG210" i="6"/>
  <c r="AG210" i="6"/>
  <c r="DG210" i="6"/>
  <c r="CG210" i="6"/>
  <c r="G224" i="6"/>
  <c r="BG224" i="6"/>
  <c r="AG224" i="6"/>
  <c r="DG224" i="6"/>
  <c r="CG224" i="6"/>
  <c r="G211" i="6"/>
  <c r="BG211" i="6"/>
  <c r="AG211" i="6"/>
  <c r="DG211" i="6"/>
  <c r="CG211" i="6"/>
  <c r="G213" i="6"/>
  <c r="BG213" i="6"/>
  <c r="AG213" i="6"/>
  <c r="DG213" i="6"/>
  <c r="CG213" i="6"/>
  <c r="G215" i="6"/>
  <c r="BG215" i="6"/>
  <c r="AG215" i="6"/>
  <c r="DG215" i="6"/>
  <c r="CG215" i="6"/>
  <c r="G217" i="6"/>
  <c r="BG217" i="6"/>
  <c r="AG217" i="6"/>
  <c r="DG217" i="6"/>
  <c r="CG217" i="6"/>
  <c r="G219" i="6"/>
  <c r="BG219" i="6"/>
  <c r="AG219" i="6"/>
  <c r="DG219" i="6"/>
  <c r="CG219" i="6"/>
  <c r="G221" i="6"/>
  <c r="BG221" i="6"/>
  <c r="AG221" i="6"/>
  <c r="DG221" i="6"/>
  <c r="CG221" i="6"/>
  <c r="G209" i="6"/>
  <c r="BG209" i="6"/>
  <c r="AG209" i="6"/>
  <c r="DG209" i="6"/>
  <c r="CG209" i="6"/>
  <c r="G212" i="6"/>
  <c r="AG212" i="6"/>
  <c r="BG212" i="6"/>
  <c r="DG212" i="6"/>
  <c r="CG212" i="6"/>
  <c r="G214" i="6"/>
  <c r="BG214" i="6"/>
  <c r="AG214" i="6"/>
  <c r="DG214" i="6"/>
  <c r="CG214" i="6"/>
  <c r="G216" i="6"/>
  <c r="AG216" i="6"/>
  <c r="BG216" i="6"/>
  <c r="DG216" i="6"/>
  <c r="CG216" i="6"/>
  <c r="G218" i="6"/>
  <c r="BG218" i="6"/>
  <c r="AG218" i="6"/>
  <c r="DG218" i="6"/>
  <c r="CG218" i="6"/>
  <c r="G220" i="6"/>
  <c r="AG220" i="6"/>
  <c r="BG220" i="6"/>
  <c r="DG220" i="6"/>
  <c r="CG220" i="6"/>
  <c r="G183" i="6"/>
  <c r="BG183" i="6"/>
  <c r="AG183" i="6"/>
  <c r="DG183" i="6"/>
  <c r="CG183" i="6"/>
  <c r="G187" i="6"/>
  <c r="BG187" i="6"/>
  <c r="AG187" i="6"/>
  <c r="DG187" i="6"/>
  <c r="CG187" i="6"/>
  <c r="G191" i="6"/>
  <c r="BG191" i="6"/>
  <c r="AG191" i="6"/>
  <c r="DG191" i="6"/>
  <c r="CG191" i="6"/>
  <c r="G184" i="6"/>
  <c r="BG184" i="6"/>
  <c r="AG184" i="6"/>
  <c r="DG184" i="6"/>
  <c r="CG184" i="6"/>
  <c r="G188" i="6"/>
  <c r="BG188" i="6"/>
  <c r="AG188" i="6"/>
  <c r="DG188" i="6"/>
  <c r="CG188" i="6"/>
  <c r="G192" i="6"/>
  <c r="BG192" i="6"/>
  <c r="AG192" i="6"/>
  <c r="DG192" i="6"/>
  <c r="CG192" i="6"/>
  <c r="G197" i="6"/>
  <c r="BG197" i="6"/>
  <c r="AG197" i="6"/>
  <c r="DG197" i="6"/>
  <c r="CG197" i="6"/>
  <c r="G195" i="6"/>
  <c r="AG195" i="6"/>
  <c r="BG195" i="6"/>
  <c r="DG195" i="6"/>
  <c r="CG195" i="6"/>
  <c r="G199" i="6"/>
  <c r="AG199" i="6"/>
  <c r="BG199" i="6"/>
  <c r="DG199" i="6"/>
  <c r="CG199" i="6"/>
  <c r="G203" i="6"/>
  <c r="AG203" i="6"/>
  <c r="BG203" i="6"/>
  <c r="DG203" i="6"/>
  <c r="CG203" i="6"/>
  <c r="G207" i="6"/>
  <c r="AG207" i="6"/>
  <c r="BG207" i="6"/>
  <c r="DG207" i="6"/>
  <c r="CG207" i="6"/>
  <c r="G198" i="6"/>
  <c r="BG198" i="6"/>
  <c r="AG198" i="6"/>
  <c r="DG198" i="6"/>
  <c r="CG198" i="6"/>
  <c r="G202" i="6"/>
  <c r="BG202" i="6"/>
  <c r="AG202" i="6"/>
  <c r="DG202" i="6"/>
  <c r="CG202" i="6"/>
  <c r="G206" i="6"/>
  <c r="BG206" i="6"/>
  <c r="AG206" i="6"/>
  <c r="DG206" i="6"/>
  <c r="CG206" i="6"/>
  <c r="B152" i="6" l="1"/>
  <c r="C152" i="6" s="1"/>
  <c r="E152" i="6" s="1"/>
  <c r="B166" i="6"/>
  <c r="E177" i="6" s="1"/>
  <c r="B180" i="6"/>
  <c r="E193" i="6" s="1"/>
  <c r="B194" i="6"/>
  <c r="B206" i="6" s="1"/>
  <c r="B208" i="6"/>
  <c r="B222" i="6"/>
  <c r="D230" i="6" s="1"/>
  <c r="B153" i="6" l="1"/>
  <c r="E153" i="6"/>
  <c r="D152" i="6"/>
  <c r="N34" i="6" s="1"/>
  <c r="D154" i="6"/>
  <c r="D155" i="6" s="1"/>
  <c r="D156" i="6" s="1"/>
  <c r="D157" i="6" s="1"/>
  <c r="D158" i="6" s="1"/>
  <c r="D159" i="6" s="1"/>
  <c r="D160" i="6" s="1"/>
  <c r="D161" i="6" s="1"/>
  <c r="D162" i="6" s="1"/>
  <c r="D163" i="6" s="1"/>
  <c r="D164" i="6" s="1"/>
  <c r="D165" i="6" s="1"/>
  <c r="C154" i="6"/>
  <c r="DH154" i="6" s="1"/>
  <c r="DI154" i="6" s="1"/>
  <c r="EA154" i="6" s="1"/>
  <c r="D153" i="6"/>
  <c r="C153" i="6"/>
  <c r="CH153" i="6" s="1"/>
  <c r="CI153" i="6" s="1"/>
  <c r="E154" i="6"/>
  <c r="E155" i="6" s="1"/>
  <c r="E156" i="6" s="1"/>
  <c r="E157" i="6" s="1"/>
  <c r="E158" i="6" s="1"/>
  <c r="E159" i="6" s="1"/>
  <c r="E160" i="6" s="1"/>
  <c r="E161" i="6" s="1"/>
  <c r="E162" i="6" s="1"/>
  <c r="B154" i="6"/>
  <c r="F152" i="6"/>
  <c r="A153" i="6" s="1"/>
  <c r="CJ153" i="6" s="1"/>
  <c r="D174" i="6"/>
  <c r="E168" i="6"/>
  <c r="C166" i="6"/>
  <c r="D166" i="6" s="1"/>
  <c r="N36" i="6" s="1"/>
  <c r="D173" i="6"/>
  <c r="E174" i="6"/>
  <c r="D175" i="6"/>
  <c r="E167" i="6"/>
  <c r="D177" i="6"/>
  <c r="E178" i="6"/>
  <c r="D179" i="6"/>
  <c r="D170" i="6"/>
  <c r="E179" i="6"/>
  <c r="D168" i="6"/>
  <c r="E172" i="6"/>
  <c r="D178" i="6"/>
  <c r="E171" i="6"/>
  <c r="E169" i="6"/>
  <c r="D172" i="6"/>
  <c r="D167" i="6"/>
  <c r="E173" i="6"/>
  <c r="E176" i="6"/>
  <c r="D169" i="6"/>
  <c r="E175" i="6"/>
  <c r="E170" i="6"/>
  <c r="D176" i="6"/>
  <c r="D171" i="6"/>
  <c r="B193" i="6"/>
  <c r="E187" i="6"/>
  <c r="E191" i="6"/>
  <c r="B184" i="6"/>
  <c r="D185" i="6"/>
  <c r="D186" i="6"/>
  <c r="B187" i="6"/>
  <c r="E181" i="6"/>
  <c r="B189" i="6"/>
  <c r="E185" i="6"/>
  <c r="D193" i="6"/>
  <c r="B185" i="6"/>
  <c r="E183" i="6"/>
  <c r="C180" i="6"/>
  <c r="D180" i="6" s="1"/>
  <c r="N38" i="6" s="1"/>
  <c r="D182" i="6"/>
  <c r="D191" i="6"/>
  <c r="B190" i="6"/>
  <c r="B192" i="6"/>
  <c r="D189" i="6"/>
  <c r="B188" i="6"/>
  <c r="E189" i="6"/>
  <c r="D187" i="6"/>
  <c r="B186" i="6"/>
  <c r="B183" i="6"/>
  <c r="D183" i="6"/>
  <c r="B181" i="6"/>
  <c r="D192" i="6"/>
  <c r="B182" i="6"/>
  <c r="E192" i="6"/>
  <c r="D190" i="6"/>
  <c r="E182" i="6"/>
  <c r="E190" i="6"/>
  <c r="D188" i="6"/>
  <c r="B191" i="6"/>
  <c r="E186" i="6"/>
  <c r="D184" i="6"/>
  <c r="E188" i="6"/>
  <c r="E184" i="6"/>
  <c r="D181" i="6"/>
  <c r="B207" i="6"/>
  <c r="D207" i="6"/>
  <c r="D229" i="6"/>
  <c r="E224" i="6"/>
  <c r="C233" i="6"/>
  <c r="H233" i="6" s="1"/>
  <c r="I233" i="6" s="1"/>
  <c r="E207" i="6"/>
  <c r="E198" i="6"/>
  <c r="B235" i="6"/>
  <c r="B232" i="6"/>
  <c r="D233" i="6"/>
  <c r="C226" i="6"/>
  <c r="CH226" i="6" s="1"/>
  <c r="CI226" i="6" s="1"/>
  <c r="E228" i="6"/>
  <c r="E196" i="6"/>
  <c r="D206" i="6"/>
  <c r="E197" i="6"/>
  <c r="E229" i="6"/>
  <c r="B223" i="6"/>
  <c r="D223" i="6"/>
  <c r="B195" i="6"/>
  <c r="D195" i="6"/>
  <c r="B198" i="6"/>
  <c r="B225" i="6"/>
  <c r="D231" i="6"/>
  <c r="E233" i="6"/>
  <c r="C223" i="6"/>
  <c r="CH223" i="6" s="1"/>
  <c r="CI223" i="6" s="1"/>
  <c r="B228" i="6"/>
  <c r="D224" i="6"/>
  <c r="D232" i="6"/>
  <c r="D203" i="6"/>
  <c r="B199" i="6"/>
  <c r="E199" i="6"/>
  <c r="D197" i="6"/>
  <c r="B196" i="6"/>
  <c r="D199" i="6"/>
  <c r="B200" i="6"/>
  <c r="E206" i="6"/>
  <c r="E200" i="6"/>
  <c r="D200" i="6"/>
  <c r="E201" i="6"/>
  <c r="D201" i="6"/>
  <c r="B202" i="6"/>
  <c r="B201" i="6"/>
  <c r="C194" i="6"/>
  <c r="D194" i="6" s="1"/>
  <c r="N40" i="6" s="1"/>
  <c r="E202" i="6"/>
  <c r="D202" i="6"/>
  <c r="D196" i="6"/>
  <c r="B203" i="6"/>
  <c r="E203" i="6"/>
  <c r="C231" i="6"/>
  <c r="BH231" i="6" s="1"/>
  <c r="BI231" i="6" s="1"/>
  <c r="E227" i="6"/>
  <c r="C227" i="6"/>
  <c r="DH227" i="6" s="1"/>
  <c r="DI227" i="6" s="1"/>
  <c r="EA227" i="6" s="1"/>
  <c r="C228" i="6"/>
  <c r="BH228" i="6" s="1"/>
  <c r="BI228" i="6" s="1"/>
  <c r="C225" i="6"/>
  <c r="AH225" i="6" s="1"/>
  <c r="AI225" i="6" s="1"/>
  <c r="E232" i="6"/>
  <c r="B204" i="6"/>
  <c r="E204" i="6"/>
  <c r="D204" i="6"/>
  <c r="D198" i="6"/>
  <c r="E195" i="6"/>
  <c r="B205" i="6"/>
  <c r="E205" i="6"/>
  <c r="B197" i="6"/>
  <c r="D205" i="6"/>
  <c r="D225" i="6"/>
  <c r="E225" i="6"/>
  <c r="E235" i="6"/>
  <c r="C224" i="6"/>
  <c r="AH224" i="6" s="1"/>
  <c r="AI224" i="6" s="1"/>
  <c r="C232" i="6"/>
  <c r="H232" i="6" s="1"/>
  <c r="I232" i="6" s="1"/>
  <c r="B227" i="6"/>
  <c r="E223" i="6"/>
  <c r="D228" i="6"/>
  <c r="B229" i="6"/>
  <c r="D227" i="6"/>
  <c r="D235" i="6"/>
  <c r="E231" i="6"/>
  <c r="B231" i="6"/>
  <c r="C222" i="6"/>
  <c r="D222" i="6" s="1"/>
  <c r="N44" i="6" s="1"/>
  <c r="C230" i="6"/>
  <c r="H230" i="6" s="1"/>
  <c r="I230" i="6" s="1"/>
  <c r="B226" i="6"/>
  <c r="B234" i="6"/>
  <c r="C229" i="6"/>
  <c r="BH229" i="6" s="1"/>
  <c r="B224" i="6"/>
  <c r="E230" i="6"/>
  <c r="D226" i="6"/>
  <c r="D234" i="6"/>
  <c r="C234" i="6"/>
  <c r="BH234" i="6" s="1"/>
  <c r="BI234" i="6" s="1"/>
  <c r="B230" i="6"/>
  <c r="B233" i="6"/>
  <c r="C235" i="6"/>
  <c r="DH235" i="6" s="1"/>
  <c r="DI235" i="6" s="1"/>
  <c r="EA235" i="6" s="1"/>
  <c r="E226" i="6"/>
  <c r="E234" i="6"/>
  <c r="C208" i="6"/>
  <c r="B220" i="6"/>
  <c r="B218" i="6"/>
  <c r="B216" i="6"/>
  <c r="B214" i="6"/>
  <c r="B212" i="6"/>
  <c r="B209" i="6"/>
  <c r="C220" i="6"/>
  <c r="C218" i="6"/>
  <c r="C216" i="6"/>
  <c r="C214" i="6"/>
  <c r="C212" i="6"/>
  <c r="C209" i="6"/>
  <c r="D210" i="6"/>
  <c r="E210" i="6"/>
  <c r="C210" i="6"/>
  <c r="D216" i="6"/>
  <c r="D209" i="6"/>
  <c r="E218" i="6"/>
  <c r="E212" i="6"/>
  <c r="B210" i="6"/>
  <c r="E221" i="6"/>
  <c r="E219" i="6"/>
  <c r="E217" i="6"/>
  <c r="E215" i="6"/>
  <c r="E213" i="6"/>
  <c r="E211" i="6"/>
  <c r="D221" i="6"/>
  <c r="D219" i="6"/>
  <c r="D217" i="6"/>
  <c r="D215" i="6"/>
  <c r="D213" i="6"/>
  <c r="D211" i="6"/>
  <c r="D220" i="6"/>
  <c r="D214" i="6"/>
  <c r="E220" i="6"/>
  <c r="E214" i="6"/>
  <c r="E209" i="6"/>
  <c r="C221" i="6"/>
  <c r="C219" i="6"/>
  <c r="C217" i="6"/>
  <c r="C215" i="6"/>
  <c r="C213" i="6"/>
  <c r="C211" i="6"/>
  <c r="B221" i="6"/>
  <c r="B219" i="6"/>
  <c r="B217" i="6"/>
  <c r="B215" i="6"/>
  <c r="B213" i="6"/>
  <c r="B211" i="6"/>
  <c r="D218" i="6"/>
  <c r="D212" i="6"/>
  <c r="E216" i="6"/>
  <c r="BH233" i="6"/>
  <c r="B167" i="6"/>
  <c r="B168" i="6"/>
  <c r="G154" i="6"/>
  <c r="BG154" i="6"/>
  <c r="AG154" i="6"/>
  <c r="DG154" i="6"/>
  <c r="CG154" i="6"/>
  <c r="B155" i="6"/>
  <c r="G153" i="6"/>
  <c r="BG153" i="6"/>
  <c r="AG153" i="6"/>
  <c r="DG153" i="6"/>
  <c r="CG153" i="6"/>
  <c r="C181" i="6"/>
  <c r="C182" i="6"/>
  <c r="C196" i="6"/>
  <c r="C195" i="6"/>
  <c r="C168" i="6"/>
  <c r="C167" i="6"/>
  <c r="H153" i="6"/>
  <c r="I153" i="6" s="1"/>
  <c r="C155" i="6"/>
  <c r="E163" i="6"/>
  <c r="BH153" i="6" l="1"/>
  <c r="BI153" i="6" s="1"/>
  <c r="DH153" i="6"/>
  <c r="DI153" i="6" s="1"/>
  <c r="EA153" i="6" s="1"/>
  <c r="J153" i="6"/>
  <c r="BJ153" i="6"/>
  <c r="AJ153" i="6"/>
  <c r="EF153" i="6"/>
  <c r="DJ153" i="6"/>
  <c r="BI229" i="6"/>
  <c r="BI233" i="6"/>
  <c r="BL233" i="6" s="1"/>
  <c r="DU154" i="6"/>
  <c r="AH153" i="6"/>
  <c r="BH154" i="6"/>
  <c r="CH154" i="6"/>
  <c r="H154" i="6"/>
  <c r="AH154" i="6"/>
  <c r="A154" i="6"/>
  <c r="DJ154" i="6" s="1"/>
  <c r="BH226" i="6"/>
  <c r="H226" i="6"/>
  <c r="AH227" i="6"/>
  <c r="BH224" i="6"/>
  <c r="E166" i="6"/>
  <c r="F166" i="6" s="1"/>
  <c r="E180" i="6"/>
  <c r="F180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CH227" i="6"/>
  <c r="DH226" i="6"/>
  <c r="CH224" i="6"/>
  <c r="BH227" i="6"/>
  <c r="AH226" i="6"/>
  <c r="H227" i="6"/>
  <c r="DH224" i="6"/>
  <c r="AH232" i="6"/>
  <c r="H224" i="6"/>
  <c r="DH233" i="6"/>
  <c r="AH233" i="6"/>
  <c r="CH230" i="6"/>
  <c r="BH225" i="6"/>
  <c r="CH233" i="6"/>
  <c r="DH230" i="6"/>
  <c r="BH235" i="6"/>
  <c r="E194" i="6"/>
  <c r="F194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H235" i="6"/>
  <c r="H228" i="6"/>
  <c r="DH234" i="6"/>
  <c r="K233" i="6"/>
  <c r="DH232" i="6"/>
  <c r="AH228" i="6"/>
  <c r="H234" i="6"/>
  <c r="CH232" i="6"/>
  <c r="BH232" i="6"/>
  <c r="CH228" i="6"/>
  <c r="DH228" i="6"/>
  <c r="AH234" i="6"/>
  <c r="CH234" i="6"/>
  <c r="S233" i="6"/>
  <c r="T233" i="6" s="1"/>
  <c r="BU234" i="6"/>
  <c r="DH225" i="6"/>
  <c r="H231" i="6"/>
  <c r="BH223" i="6"/>
  <c r="CH229" i="6"/>
  <c r="E222" i="6"/>
  <c r="F222" i="6" s="1"/>
  <c r="CH231" i="6"/>
  <c r="AH223" i="6"/>
  <c r="H229" i="6"/>
  <c r="H225" i="6"/>
  <c r="DH231" i="6"/>
  <c r="AK225" i="6"/>
  <c r="CS223" i="6"/>
  <c r="CT223" i="6" s="1"/>
  <c r="DH229" i="6"/>
  <c r="BH230" i="6"/>
  <c r="CH225" i="6"/>
  <c r="AH231" i="6"/>
  <c r="DH223" i="6"/>
  <c r="AH230" i="6"/>
  <c r="AH229" i="6"/>
  <c r="DU227" i="6"/>
  <c r="H223" i="6"/>
  <c r="CK223" i="6"/>
  <c r="H215" i="6"/>
  <c r="CH215" i="6"/>
  <c r="AH215" i="6"/>
  <c r="DH215" i="6"/>
  <c r="BH215" i="6"/>
  <c r="AH235" i="6"/>
  <c r="AH217" i="6"/>
  <c r="BH217" i="6"/>
  <c r="CH217" i="6"/>
  <c r="DH217" i="6"/>
  <c r="H217" i="6"/>
  <c r="H209" i="6"/>
  <c r="AH209" i="6"/>
  <c r="BH209" i="6"/>
  <c r="DH209" i="6"/>
  <c r="CH209" i="6"/>
  <c r="CI209" i="6" s="1"/>
  <c r="BH218" i="6"/>
  <c r="DH218" i="6"/>
  <c r="H218" i="6"/>
  <c r="AH218" i="6"/>
  <c r="CH218" i="6"/>
  <c r="D208" i="6"/>
  <c r="N42" i="6" s="1"/>
  <c r="E208" i="6"/>
  <c r="F208" i="6" s="1"/>
  <c r="CH216" i="6"/>
  <c r="CI216" i="6" s="1"/>
  <c r="DH216" i="6"/>
  <c r="H216" i="6"/>
  <c r="AH216" i="6"/>
  <c r="BH216" i="6"/>
  <c r="BI216" i="6" s="1"/>
  <c r="CH235" i="6"/>
  <c r="DH211" i="6"/>
  <c r="AH211" i="6"/>
  <c r="H211" i="6"/>
  <c r="CH211" i="6"/>
  <c r="BH211" i="6"/>
  <c r="BI211" i="6" s="1"/>
  <c r="AH219" i="6"/>
  <c r="BH219" i="6"/>
  <c r="H219" i="6"/>
  <c r="DH219" i="6"/>
  <c r="DI219" i="6" s="1"/>
  <c r="EA219" i="6" s="1"/>
  <c r="CH219" i="6"/>
  <c r="H210" i="6"/>
  <c r="AH210" i="6"/>
  <c r="BH210" i="6"/>
  <c r="CH210" i="6"/>
  <c r="DH210" i="6"/>
  <c r="BH212" i="6"/>
  <c r="DH212" i="6"/>
  <c r="AH212" i="6"/>
  <c r="CH212" i="6"/>
  <c r="H212" i="6"/>
  <c r="AH220" i="6"/>
  <c r="AI220" i="6" s="1"/>
  <c r="BH220" i="6"/>
  <c r="CH220" i="6"/>
  <c r="DH220" i="6"/>
  <c r="H220" i="6"/>
  <c r="CH213" i="6"/>
  <c r="AH213" i="6"/>
  <c r="AI213" i="6" s="1"/>
  <c r="DH213" i="6"/>
  <c r="H213" i="6"/>
  <c r="BH213" i="6"/>
  <c r="AH221" i="6"/>
  <c r="BH221" i="6"/>
  <c r="BI221" i="6" s="1"/>
  <c r="CH221" i="6"/>
  <c r="H221" i="6"/>
  <c r="DH221" i="6"/>
  <c r="DI221" i="6" s="1"/>
  <c r="EA221" i="6" s="1"/>
  <c r="CH214" i="6"/>
  <c r="CI214" i="6" s="1"/>
  <c r="H214" i="6"/>
  <c r="AH214" i="6"/>
  <c r="DH214" i="6"/>
  <c r="BH214" i="6"/>
  <c r="BI214" i="6" s="1"/>
  <c r="BK229" i="6"/>
  <c r="DS235" i="6"/>
  <c r="DT235" i="6" s="1"/>
  <c r="DK235" i="6"/>
  <c r="DL235" i="6"/>
  <c r="DU235" i="6"/>
  <c r="BK233" i="6"/>
  <c r="S232" i="6"/>
  <c r="T232" i="6" s="1"/>
  <c r="U232" i="6"/>
  <c r="K232" i="6"/>
  <c r="L232" i="6"/>
  <c r="DL227" i="6"/>
  <c r="DK227" i="6"/>
  <c r="DS227" i="6"/>
  <c r="DT227" i="6" s="1"/>
  <c r="BU231" i="6"/>
  <c r="BL231" i="6"/>
  <c r="BS231" i="6"/>
  <c r="BT231" i="6" s="1"/>
  <c r="BK231" i="6"/>
  <c r="CU223" i="6"/>
  <c r="CL223" i="6"/>
  <c r="CS226" i="6"/>
  <c r="CT226" i="6" s="1"/>
  <c r="CU226" i="6"/>
  <c r="CL226" i="6"/>
  <c r="CK226" i="6"/>
  <c r="AS225" i="6"/>
  <c r="AT225" i="6" s="1"/>
  <c r="AU225" i="6"/>
  <c r="AL225" i="6"/>
  <c r="BU228" i="6"/>
  <c r="BL228" i="6"/>
  <c r="BS228" i="6"/>
  <c r="BT228" i="6" s="1"/>
  <c r="BL234" i="6"/>
  <c r="BK234" i="6"/>
  <c r="U233" i="6"/>
  <c r="L233" i="6"/>
  <c r="BS233" i="6"/>
  <c r="BT233" i="6" s="1"/>
  <c r="U230" i="6"/>
  <c r="S230" i="6"/>
  <c r="T230" i="6" s="1"/>
  <c r="L230" i="6"/>
  <c r="K230" i="6"/>
  <c r="BK228" i="6"/>
  <c r="AU224" i="6"/>
  <c r="AK224" i="6"/>
  <c r="AL224" i="6"/>
  <c r="AS224" i="6"/>
  <c r="AT224" i="6" s="1"/>
  <c r="BS229" i="6"/>
  <c r="BT229" i="6" s="1"/>
  <c r="BS234" i="6"/>
  <c r="BT234" i="6" s="1"/>
  <c r="BU229" i="6"/>
  <c r="B169" i="6"/>
  <c r="BG168" i="6"/>
  <c r="DG168" i="6"/>
  <c r="G168" i="6"/>
  <c r="AG168" i="6"/>
  <c r="CG168" i="6"/>
  <c r="BG167" i="6"/>
  <c r="DG167" i="6"/>
  <c r="G167" i="6"/>
  <c r="AG167" i="6"/>
  <c r="CG167" i="6"/>
  <c r="G155" i="6"/>
  <c r="BG155" i="6"/>
  <c r="AG155" i="6"/>
  <c r="DG155" i="6"/>
  <c r="CG155" i="6"/>
  <c r="B156" i="6"/>
  <c r="CH195" i="6"/>
  <c r="CI195" i="6" s="1"/>
  <c r="H195" i="6"/>
  <c r="I195" i="6" s="1"/>
  <c r="DH195" i="6"/>
  <c r="DI195" i="6" s="1"/>
  <c r="EA195" i="6" s="1"/>
  <c r="AH195" i="6"/>
  <c r="AI195" i="6" s="1"/>
  <c r="BH195" i="6"/>
  <c r="BI195" i="6" s="1"/>
  <c r="CH181" i="6"/>
  <c r="CI181" i="6" s="1"/>
  <c r="H181" i="6"/>
  <c r="I181" i="6" s="1"/>
  <c r="DH181" i="6"/>
  <c r="DI181" i="6" s="1"/>
  <c r="EA181" i="6" s="1"/>
  <c r="AH181" i="6"/>
  <c r="AI181" i="6" s="1"/>
  <c r="BH181" i="6"/>
  <c r="BI181" i="6" s="1"/>
  <c r="DH196" i="6"/>
  <c r="DI196" i="6" s="1"/>
  <c r="EA196" i="6" s="1"/>
  <c r="C197" i="6"/>
  <c r="CH196" i="6"/>
  <c r="CI196" i="6" s="1"/>
  <c r="AH196" i="6"/>
  <c r="AI196" i="6" s="1"/>
  <c r="H196" i="6"/>
  <c r="I196" i="6" s="1"/>
  <c r="BH196" i="6"/>
  <c r="BI196" i="6" s="1"/>
  <c r="C183" i="6"/>
  <c r="DH182" i="6"/>
  <c r="DI182" i="6" s="1"/>
  <c r="EA182" i="6" s="1"/>
  <c r="CH182" i="6"/>
  <c r="CI182" i="6" s="1"/>
  <c r="BH182" i="6"/>
  <c r="BI182" i="6" s="1"/>
  <c r="H182" i="6"/>
  <c r="I182" i="6" s="1"/>
  <c r="AH182" i="6"/>
  <c r="AI182" i="6" s="1"/>
  <c r="DL154" i="6"/>
  <c r="DK154" i="6"/>
  <c r="DS154" i="6"/>
  <c r="DT154" i="6" s="1"/>
  <c r="DL153" i="6"/>
  <c r="DS153" i="6"/>
  <c r="DT153" i="6" s="1"/>
  <c r="DU153" i="6"/>
  <c r="DV153" i="6" s="1"/>
  <c r="DK153" i="6"/>
  <c r="BH167" i="6"/>
  <c r="BI167" i="6" s="1"/>
  <c r="H167" i="6"/>
  <c r="I167" i="6" s="1"/>
  <c r="AH167" i="6"/>
  <c r="AI167" i="6" s="1"/>
  <c r="CH167" i="6"/>
  <c r="CI167" i="6" s="1"/>
  <c r="DH167" i="6"/>
  <c r="DI167" i="6" s="1"/>
  <c r="EA167" i="6" s="1"/>
  <c r="C156" i="6"/>
  <c r="H155" i="6"/>
  <c r="I155" i="6" s="1"/>
  <c r="BH155" i="6"/>
  <c r="BI155" i="6" s="1"/>
  <c r="CH155" i="6"/>
  <c r="CI155" i="6" s="1"/>
  <c r="DH155" i="6"/>
  <c r="DI155" i="6" s="1"/>
  <c r="EA155" i="6" s="1"/>
  <c r="AH155" i="6"/>
  <c r="AI155" i="6" s="1"/>
  <c r="BS153" i="6"/>
  <c r="BT153" i="6" s="1"/>
  <c r="BK153" i="6"/>
  <c r="BL153" i="6"/>
  <c r="BU153" i="6"/>
  <c r="BV153" i="6" s="1"/>
  <c r="CS153" i="6"/>
  <c r="CT153" i="6" s="1"/>
  <c r="CK153" i="6"/>
  <c r="CL153" i="6"/>
  <c r="CU153" i="6"/>
  <c r="CV153" i="6" s="1"/>
  <c r="K153" i="6"/>
  <c r="U153" i="6"/>
  <c r="V153" i="6" s="1"/>
  <c r="L153" i="6"/>
  <c r="S153" i="6"/>
  <c r="T153" i="6" s="1"/>
  <c r="H168" i="6"/>
  <c r="I168" i="6" s="1"/>
  <c r="C169" i="6"/>
  <c r="BH168" i="6"/>
  <c r="BI168" i="6" s="1"/>
  <c r="DH168" i="6"/>
  <c r="DI168" i="6" s="1"/>
  <c r="EA168" i="6" s="1"/>
  <c r="AH168" i="6"/>
  <c r="AI168" i="6" s="1"/>
  <c r="CH168" i="6"/>
  <c r="CI168" i="6" s="1"/>
  <c r="E164" i="6"/>
  <c r="BU233" i="6" l="1"/>
  <c r="BI213" i="6"/>
  <c r="AI212" i="6"/>
  <c r="AS212" i="6" s="1"/>
  <c r="AT212" i="6" s="1"/>
  <c r="AI219" i="6"/>
  <c r="I217" i="6"/>
  <c r="I223" i="6"/>
  <c r="I225" i="6"/>
  <c r="K225" i="6" s="1"/>
  <c r="AI234" i="6"/>
  <c r="I235" i="6"/>
  <c r="L235" i="6" s="1"/>
  <c r="I227" i="6"/>
  <c r="K227" i="6" s="1"/>
  <c r="DI212" i="6"/>
  <c r="EA212" i="6" s="1"/>
  <c r="DI217" i="6"/>
  <c r="EA217" i="6" s="1"/>
  <c r="I229" i="6"/>
  <c r="U229" i="6" s="1"/>
  <c r="DI228" i="6"/>
  <c r="EA228" i="6" s="1"/>
  <c r="AI226" i="6"/>
  <c r="AS226" i="6" s="1"/>
  <c r="AT226" i="6" s="1"/>
  <c r="AI154" i="6"/>
  <c r="AK154" i="6" s="1"/>
  <c r="DI213" i="6"/>
  <c r="EA213" i="6" s="1"/>
  <c r="BI212" i="6"/>
  <c r="BL212" i="6" s="1"/>
  <c r="CI211" i="6"/>
  <c r="CL211" i="6" s="1"/>
  <c r="CI218" i="6"/>
  <c r="CU218" i="6" s="1"/>
  <c r="CI217" i="6"/>
  <c r="CK217" i="6" s="1"/>
  <c r="AI229" i="6"/>
  <c r="AK229" i="6" s="1"/>
  <c r="AI223" i="6"/>
  <c r="AK223" i="6" s="1"/>
  <c r="CI228" i="6"/>
  <c r="CU228" i="6" s="1"/>
  <c r="BI235" i="6"/>
  <c r="BK235" i="6" s="1"/>
  <c r="BI227" i="6"/>
  <c r="BU227" i="6" s="1"/>
  <c r="I154" i="6"/>
  <c r="U154" i="6" s="1"/>
  <c r="V154" i="6" s="1"/>
  <c r="DI214" i="6"/>
  <c r="EA214" i="6" s="1"/>
  <c r="DI210" i="6"/>
  <c r="EA210" i="6" s="1"/>
  <c r="I211" i="6"/>
  <c r="AI218" i="6"/>
  <c r="AK218" i="6" s="1"/>
  <c r="BI217" i="6"/>
  <c r="AI230" i="6"/>
  <c r="AL230" i="6" s="1"/>
  <c r="CI231" i="6"/>
  <c r="CL231" i="6" s="1"/>
  <c r="BI232" i="6"/>
  <c r="BU232" i="6" s="1"/>
  <c r="DI230" i="6"/>
  <c r="EA230" i="6" s="1"/>
  <c r="CI224" i="6"/>
  <c r="CL224" i="6" s="1"/>
  <c r="CI154" i="6"/>
  <c r="I213" i="6"/>
  <c r="U213" i="6" s="1"/>
  <c r="AI214" i="6"/>
  <c r="AK214" i="6" s="1"/>
  <c r="CI213" i="6"/>
  <c r="CK213" i="6" s="1"/>
  <c r="CI210" i="6"/>
  <c r="CU210" i="6" s="1"/>
  <c r="AI211" i="6"/>
  <c r="AK211" i="6" s="1"/>
  <c r="I218" i="6"/>
  <c r="K218" i="6" s="1"/>
  <c r="AI217" i="6"/>
  <c r="AL217" i="6" s="1"/>
  <c r="DI223" i="6"/>
  <c r="EA223" i="6" s="1"/>
  <c r="CI232" i="6"/>
  <c r="CL232" i="6" s="1"/>
  <c r="CI233" i="6"/>
  <c r="CS233" i="6" s="1"/>
  <c r="CT233" i="6" s="1"/>
  <c r="DI226" i="6"/>
  <c r="EA226" i="6" s="1"/>
  <c r="BI154" i="6"/>
  <c r="BU154" i="6" s="1"/>
  <c r="BV154" i="6" s="1"/>
  <c r="I214" i="6"/>
  <c r="K214" i="6" s="1"/>
  <c r="I220" i="6"/>
  <c r="BI210" i="6"/>
  <c r="DI211" i="6"/>
  <c r="EA211" i="6" s="1"/>
  <c r="DI218" i="6"/>
  <c r="EA218" i="6" s="1"/>
  <c r="AI235" i="6"/>
  <c r="AL235" i="6" s="1"/>
  <c r="AI231" i="6"/>
  <c r="AS231" i="6" s="1"/>
  <c r="AT231" i="6" s="1"/>
  <c r="CI229" i="6"/>
  <c r="CU229" i="6" s="1"/>
  <c r="I234" i="6"/>
  <c r="K234" i="6" s="1"/>
  <c r="BI225" i="6"/>
  <c r="BK225" i="6" s="1"/>
  <c r="CI227" i="6"/>
  <c r="CS227" i="6" s="1"/>
  <c r="CT227" i="6" s="1"/>
  <c r="AI153" i="6"/>
  <c r="DI220" i="6"/>
  <c r="EA220" i="6" s="1"/>
  <c r="AI210" i="6"/>
  <c r="AK210" i="6" s="1"/>
  <c r="CI235" i="6"/>
  <c r="CS235" i="6" s="1"/>
  <c r="CT235" i="6" s="1"/>
  <c r="BI218" i="6"/>
  <c r="BK218" i="6" s="1"/>
  <c r="BI215" i="6"/>
  <c r="BL215" i="6" s="1"/>
  <c r="CI225" i="6"/>
  <c r="CL225" i="6" s="1"/>
  <c r="BI223" i="6"/>
  <c r="BU223" i="6" s="1"/>
  <c r="AI228" i="6"/>
  <c r="AK228" i="6" s="1"/>
  <c r="CI230" i="6"/>
  <c r="CS230" i="6" s="1"/>
  <c r="CT230" i="6" s="1"/>
  <c r="CI220" i="6"/>
  <c r="CK220" i="6" s="1"/>
  <c r="I210" i="6"/>
  <c r="L210" i="6" s="1"/>
  <c r="DI215" i="6"/>
  <c r="EA215" i="6" s="1"/>
  <c r="BI230" i="6"/>
  <c r="BS230" i="6" s="1"/>
  <c r="BT230" i="6" s="1"/>
  <c r="I231" i="6"/>
  <c r="S231" i="6" s="1"/>
  <c r="T231" i="6" s="1"/>
  <c r="DI232" i="6"/>
  <c r="EA232" i="6" s="1"/>
  <c r="AI233" i="6"/>
  <c r="AS233" i="6" s="1"/>
  <c r="AT233" i="6" s="1"/>
  <c r="I221" i="6"/>
  <c r="K221" i="6" s="1"/>
  <c r="BI220" i="6"/>
  <c r="BL220" i="6" s="1"/>
  <c r="CI219" i="6"/>
  <c r="CU219" i="6" s="1"/>
  <c r="AI216" i="6"/>
  <c r="AS216" i="6" s="1"/>
  <c r="AT216" i="6" s="1"/>
  <c r="DI209" i="6"/>
  <c r="EA209" i="6" s="1"/>
  <c r="AI215" i="6"/>
  <c r="AS215" i="6" s="1"/>
  <c r="AT215" i="6" s="1"/>
  <c r="DI229" i="6"/>
  <c r="EA229" i="6" s="1"/>
  <c r="DI225" i="6"/>
  <c r="EA225" i="6" s="1"/>
  <c r="DI233" i="6"/>
  <c r="EA233" i="6" s="1"/>
  <c r="BI224" i="6"/>
  <c r="BK224" i="6" s="1"/>
  <c r="CI221" i="6"/>
  <c r="I216" i="6"/>
  <c r="BI209" i="6"/>
  <c r="BS209" i="6" s="1"/>
  <c r="BT209" i="6" s="1"/>
  <c r="CI215" i="6"/>
  <c r="CU215" i="6" s="1"/>
  <c r="I224" i="6"/>
  <c r="K224" i="6" s="1"/>
  <c r="AI227" i="6"/>
  <c r="AS227" i="6" s="1"/>
  <c r="AT227" i="6" s="1"/>
  <c r="I212" i="6"/>
  <c r="S212" i="6" s="1"/>
  <c r="T212" i="6" s="1"/>
  <c r="I219" i="6"/>
  <c r="L219" i="6" s="1"/>
  <c r="DI216" i="6"/>
  <c r="EA216" i="6" s="1"/>
  <c r="AI209" i="6"/>
  <c r="AL209" i="6" s="1"/>
  <c r="I215" i="6"/>
  <c r="U215" i="6" s="1"/>
  <c r="DI234" i="6"/>
  <c r="EA234" i="6" s="1"/>
  <c r="AI232" i="6"/>
  <c r="AU232" i="6" s="1"/>
  <c r="I226" i="6"/>
  <c r="S226" i="6" s="1"/>
  <c r="T226" i="6" s="1"/>
  <c r="BL229" i="6"/>
  <c r="AI221" i="6"/>
  <c r="AU221" i="6" s="1"/>
  <c r="CI212" i="6"/>
  <c r="CL212" i="6" s="1"/>
  <c r="BI219" i="6"/>
  <c r="BK219" i="6" s="1"/>
  <c r="I209" i="6"/>
  <c r="L209" i="6" s="1"/>
  <c r="DI231" i="6"/>
  <c r="EA231" i="6" s="1"/>
  <c r="CI234" i="6"/>
  <c r="CK234" i="6" s="1"/>
  <c r="I228" i="6"/>
  <c r="S228" i="6" s="1"/>
  <c r="T228" i="6" s="1"/>
  <c r="DI224" i="6"/>
  <c r="EA224" i="6" s="1"/>
  <c r="BI226" i="6"/>
  <c r="BK226" i="6" s="1"/>
  <c r="A195" i="6"/>
  <c r="CJ195" i="6" s="1"/>
  <c r="BL154" i="6"/>
  <c r="CL154" i="6"/>
  <c r="CK154" i="6"/>
  <c r="CS154" i="6"/>
  <c r="CT154" i="6" s="1"/>
  <c r="DJ184" i="6"/>
  <c r="K154" i="6"/>
  <c r="J183" i="6"/>
  <c r="AL154" i="6"/>
  <c r="J154" i="6"/>
  <c r="CJ154" i="6"/>
  <c r="BJ154" i="6"/>
  <c r="A155" i="6"/>
  <c r="AJ154" i="6"/>
  <c r="EF154" i="6"/>
  <c r="DV154" i="6"/>
  <c r="BJ184" i="6"/>
  <c r="J184" i="6"/>
  <c r="CJ184" i="6"/>
  <c r="AJ184" i="6"/>
  <c r="BK227" i="6"/>
  <c r="BS227" i="6"/>
  <c r="BT227" i="6" s="1"/>
  <c r="BL227" i="6"/>
  <c r="CK227" i="6"/>
  <c r="DJ182" i="6"/>
  <c r="DJ183" i="6"/>
  <c r="A181" i="6"/>
  <c r="BJ181" i="6" s="1"/>
  <c r="EF182" i="6"/>
  <c r="U223" i="6"/>
  <c r="AJ182" i="6"/>
  <c r="J182" i="6"/>
  <c r="AK232" i="6"/>
  <c r="CJ183" i="6"/>
  <c r="BJ182" i="6"/>
  <c r="BJ183" i="6"/>
  <c r="CJ182" i="6"/>
  <c r="AJ183" i="6"/>
  <c r="A167" i="6"/>
  <c r="A168" i="6"/>
  <c r="DL226" i="6"/>
  <c r="DL232" i="6"/>
  <c r="DJ196" i="6"/>
  <c r="EF197" i="6"/>
  <c r="BJ196" i="6"/>
  <c r="K211" i="6"/>
  <c r="CU235" i="6"/>
  <c r="AK209" i="6"/>
  <c r="CK235" i="6"/>
  <c r="J196" i="6"/>
  <c r="BL230" i="6"/>
  <c r="AS235" i="6"/>
  <c r="AT235" i="6" s="1"/>
  <c r="CJ196" i="6"/>
  <c r="AJ196" i="6"/>
  <c r="EF196" i="6"/>
  <c r="K231" i="6"/>
  <c r="L228" i="6"/>
  <c r="CU234" i="6"/>
  <c r="BK210" i="6"/>
  <c r="DU215" i="6"/>
  <c r="S217" i="6"/>
  <c r="T217" i="6" s="1"/>
  <c r="K223" i="6"/>
  <c r="U228" i="6"/>
  <c r="P222" i="6"/>
  <c r="L223" i="6"/>
  <c r="T222" i="6"/>
  <c r="DS215" i="6"/>
  <c r="DT215" i="6" s="1"/>
  <c r="CK218" i="6"/>
  <c r="BU218" i="6"/>
  <c r="AS209" i="6"/>
  <c r="AT209" i="6" s="1"/>
  <c r="AS234" i="6"/>
  <c r="AT234" i="6" s="1"/>
  <c r="DU228" i="6"/>
  <c r="DK210" i="6"/>
  <c r="AL234" i="6"/>
  <c r="U218" i="6"/>
  <c r="BK217" i="6"/>
  <c r="DL228" i="6"/>
  <c r="DS228" i="6"/>
  <c r="DT228" i="6" s="1"/>
  <c r="DS225" i="6"/>
  <c r="DT225" i="6" s="1"/>
  <c r="AU234" i="6"/>
  <c r="DK225" i="6"/>
  <c r="DU225" i="6"/>
  <c r="CK225" i="6"/>
  <c r="AK219" i="6"/>
  <c r="BJ195" i="6"/>
  <c r="EF195" i="6"/>
  <c r="CS209" i="6"/>
  <c r="CT209" i="6" s="1"/>
  <c r="A209" i="6"/>
  <c r="A210" i="6"/>
  <c r="AJ195" i="6"/>
  <c r="CK210" i="6"/>
  <c r="S211" i="6"/>
  <c r="T211" i="6" s="1"/>
  <c r="CK209" i="6"/>
  <c r="A223" i="6"/>
  <c r="A224" i="6"/>
  <c r="CS225" i="6"/>
  <c r="CT225" i="6" s="1"/>
  <c r="K210" i="6"/>
  <c r="BS217" i="6"/>
  <c r="BT217" i="6" s="1"/>
  <c r="CK215" i="6"/>
  <c r="CS215" i="6"/>
  <c r="CT215" i="6" s="1"/>
  <c r="DK215" i="6"/>
  <c r="BS220" i="6"/>
  <c r="BT220" i="6" s="1"/>
  <c r="BS213" i="6"/>
  <c r="BT213" i="6" s="1"/>
  <c r="BU220" i="6"/>
  <c r="K220" i="6"/>
  <c r="DS214" i="6"/>
  <c r="DT214" i="6" s="1"/>
  <c r="BU221" i="6"/>
  <c r="BL221" i="6"/>
  <c r="DU219" i="6"/>
  <c r="DL219" i="6"/>
  <c r="BS211" i="6"/>
  <c r="BT211" i="6" s="1"/>
  <c r="BL211" i="6"/>
  <c r="CU216" i="6"/>
  <c r="CL216" i="6"/>
  <c r="DU211" i="6"/>
  <c r="DU221" i="6"/>
  <c r="DL221" i="6"/>
  <c r="AS221" i="6"/>
  <c r="AT221" i="6" s="1"/>
  <c r="AL221" i="6"/>
  <c r="AS213" i="6"/>
  <c r="AT213" i="6" s="1"/>
  <c r="AL213" i="6"/>
  <c r="AK213" i="6"/>
  <c r="DS210" i="6"/>
  <c r="DT210" i="6" s="1"/>
  <c r="DL210" i="6"/>
  <c r="AU213" i="6"/>
  <c r="BK220" i="6"/>
  <c r="BS221" i="6"/>
  <c r="BT221" i="6" s="1"/>
  <c r="DS221" i="6"/>
  <c r="DT221" i="6" s="1"/>
  <c r="DK221" i="6"/>
  <c r="CS218" i="6"/>
  <c r="CT218" i="6" s="1"/>
  <c r="CL218" i="6"/>
  <c r="BS218" i="6"/>
  <c r="BT218" i="6" s="1"/>
  <c r="BL218" i="6"/>
  <c r="BU211" i="6"/>
  <c r="CS216" i="6"/>
  <c r="CT216" i="6" s="1"/>
  <c r="U217" i="6"/>
  <c r="BU217" i="6"/>
  <c r="DU213" i="6"/>
  <c r="DL213" i="6"/>
  <c r="DS218" i="6"/>
  <c r="DT218" i="6" s="1"/>
  <c r="BU214" i="6"/>
  <c r="BL214" i="6"/>
  <c r="CU214" i="6"/>
  <c r="CL214" i="6"/>
  <c r="DK219" i="6"/>
  <c r="DS211" i="6"/>
  <c r="DT211" i="6" s="1"/>
  <c r="CS213" i="6"/>
  <c r="CT213" i="6" s="1"/>
  <c r="CL213" i="6"/>
  <c r="DS213" i="6"/>
  <c r="DT213" i="6" s="1"/>
  <c r="CS210" i="6"/>
  <c r="CT210" i="6" s="1"/>
  <c r="CL210" i="6"/>
  <c r="BK212" i="6"/>
  <c r="BS212" i="6"/>
  <c r="BT212" i="6" s="1"/>
  <c r="K217" i="6"/>
  <c r="BU213" i="6"/>
  <c r="BU212" i="6"/>
  <c r="U216" i="6"/>
  <c r="L216" i="6"/>
  <c r="BK221" i="6"/>
  <c r="DU220" i="6"/>
  <c r="AS218" i="6"/>
  <c r="AT218" i="6" s="1"/>
  <c r="CU209" i="6"/>
  <c r="CL209" i="6"/>
  <c r="U211" i="6"/>
  <c r="BK214" i="6"/>
  <c r="K216" i="6"/>
  <c r="CK216" i="6"/>
  <c r="AU209" i="6"/>
  <c r="L215" i="6"/>
  <c r="AS214" i="6"/>
  <c r="AT214" i="6" s="1"/>
  <c r="AL214" i="6"/>
  <c r="AU214" i="6"/>
  <c r="AS210" i="6"/>
  <c r="AT210" i="6" s="1"/>
  <c r="AL210" i="6"/>
  <c r="BS216" i="6"/>
  <c r="BT216" i="6" s="1"/>
  <c r="BL216" i="6"/>
  <c r="DU214" i="6"/>
  <c r="DL214" i="6"/>
  <c r="DS219" i="6"/>
  <c r="DT219" i="6" s="1"/>
  <c r="BK211" i="6"/>
  <c r="CU221" i="6"/>
  <c r="CL221" i="6"/>
  <c r="L213" i="6"/>
  <c r="BK213" i="6"/>
  <c r="S220" i="6"/>
  <c r="T220" i="6" s="1"/>
  <c r="L220" i="6"/>
  <c r="AS220" i="6"/>
  <c r="AT220" i="6" s="1"/>
  <c r="AL220" i="6"/>
  <c r="BS210" i="6"/>
  <c r="BT210" i="6" s="1"/>
  <c r="BL210" i="6"/>
  <c r="CK212" i="6"/>
  <c r="AK212" i="6"/>
  <c r="CU213" i="6"/>
  <c r="AK220" i="6"/>
  <c r="AS219" i="6"/>
  <c r="AT219" i="6" s="1"/>
  <c r="AL219" i="6"/>
  <c r="DU216" i="6"/>
  <c r="CK221" i="6"/>
  <c r="AK221" i="6"/>
  <c r="AU220" i="6"/>
  <c r="T208" i="6"/>
  <c r="P208" i="6"/>
  <c r="S218" i="6"/>
  <c r="T218" i="6" s="1"/>
  <c r="L218" i="6"/>
  <c r="BU216" i="6"/>
  <c r="BS214" i="6"/>
  <c r="BT214" i="6" s="1"/>
  <c r="CS214" i="6"/>
  <c r="CT214" i="6" s="1"/>
  <c r="CK214" i="6"/>
  <c r="BK216" i="6"/>
  <c r="DK216" i="6"/>
  <c r="B170" i="6"/>
  <c r="G169" i="6"/>
  <c r="BG169" i="6"/>
  <c r="CG169" i="6"/>
  <c r="AG169" i="6"/>
  <c r="DG169" i="6"/>
  <c r="G156" i="6"/>
  <c r="AG156" i="6"/>
  <c r="BG156" i="6"/>
  <c r="DG156" i="6"/>
  <c r="CG156" i="6"/>
  <c r="B157" i="6"/>
  <c r="AK182" i="6"/>
  <c r="AS182" i="6"/>
  <c r="AT182" i="6" s="1"/>
  <c r="AU182" i="6"/>
  <c r="AV182" i="6" s="1"/>
  <c r="AL182" i="6"/>
  <c r="BU182" i="6"/>
  <c r="BV182" i="6" s="1"/>
  <c r="BK182" i="6"/>
  <c r="BL182" i="6"/>
  <c r="BS182" i="6"/>
  <c r="BT182" i="6" s="1"/>
  <c r="DS182" i="6"/>
  <c r="DT182" i="6" s="1"/>
  <c r="DK182" i="6"/>
  <c r="DL182" i="6"/>
  <c r="DU182" i="6"/>
  <c r="DV182" i="6" s="1"/>
  <c r="BL196" i="6"/>
  <c r="BU196" i="6"/>
  <c r="BV196" i="6" s="1"/>
  <c r="BS196" i="6"/>
  <c r="BT196" i="6" s="1"/>
  <c r="BK196" i="6"/>
  <c r="AS196" i="6"/>
  <c r="AT196" i="6" s="1"/>
  <c r="AU196" i="6"/>
  <c r="AV196" i="6" s="1"/>
  <c r="AL196" i="6"/>
  <c r="AK196" i="6"/>
  <c r="BH197" i="6"/>
  <c r="BI197" i="6" s="1"/>
  <c r="C198" i="6"/>
  <c r="DH197" i="6"/>
  <c r="DI197" i="6" s="1"/>
  <c r="EA197" i="6" s="1"/>
  <c r="CH197" i="6"/>
  <c r="CI197" i="6" s="1"/>
  <c r="H197" i="6"/>
  <c r="I197" i="6" s="1"/>
  <c r="AH197" i="6"/>
  <c r="AI197" i="6" s="1"/>
  <c r="AU181" i="6"/>
  <c r="AL181" i="6"/>
  <c r="AK181" i="6"/>
  <c r="AS181" i="6"/>
  <c r="AT181" i="6" s="1"/>
  <c r="U181" i="6"/>
  <c r="L181" i="6"/>
  <c r="K181" i="6"/>
  <c r="S181" i="6"/>
  <c r="T181" i="6" s="1"/>
  <c r="BU195" i="6"/>
  <c r="BV195" i="6" s="1"/>
  <c r="BK195" i="6"/>
  <c r="BS195" i="6"/>
  <c r="BT195" i="6" s="1"/>
  <c r="BL195" i="6"/>
  <c r="DU195" i="6"/>
  <c r="DV195" i="6" s="1"/>
  <c r="DS195" i="6"/>
  <c r="DT195" i="6" s="1"/>
  <c r="DK195" i="6"/>
  <c r="DL195" i="6"/>
  <c r="CU195" i="6"/>
  <c r="CV195" i="6" s="1"/>
  <c r="CL195" i="6"/>
  <c r="CK195" i="6"/>
  <c r="CS195" i="6"/>
  <c r="CT195" i="6" s="1"/>
  <c r="K182" i="6"/>
  <c r="S182" i="6"/>
  <c r="T182" i="6" s="1"/>
  <c r="U182" i="6"/>
  <c r="V182" i="6" s="1"/>
  <c r="L182" i="6"/>
  <c r="CS182" i="6"/>
  <c r="CT182" i="6" s="1"/>
  <c r="CU182" i="6"/>
  <c r="CV182" i="6" s="1"/>
  <c r="CK182" i="6"/>
  <c r="CL182" i="6"/>
  <c r="C184" i="6"/>
  <c r="H183" i="6"/>
  <c r="I183" i="6" s="1"/>
  <c r="DH183" i="6"/>
  <c r="DI183" i="6" s="1"/>
  <c r="EA183" i="6" s="1"/>
  <c r="CH183" i="6"/>
  <c r="CI183" i="6" s="1"/>
  <c r="AH183" i="6"/>
  <c r="AI183" i="6" s="1"/>
  <c r="BH183" i="6"/>
  <c r="BI183" i="6" s="1"/>
  <c r="EF183" i="6"/>
  <c r="L196" i="6"/>
  <c r="S196" i="6"/>
  <c r="T196" i="6" s="1"/>
  <c r="K196" i="6"/>
  <c r="U196" i="6"/>
  <c r="V196" i="6" s="1"/>
  <c r="CU196" i="6"/>
  <c r="CV196" i="6" s="1"/>
  <c r="CL196" i="6"/>
  <c r="CS196" i="6"/>
  <c r="CT196" i="6" s="1"/>
  <c r="CK196" i="6"/>
  <c r="DS196" i="6"/>
  <c r="DT196" i="6" s="1"/>
  <c r="DK196" i="6"/>
  <c r="DU196" i="6"/>
  <c r="DV196" i="6" s="1"/>
  <c r="DL196" i="6"/>
  <c r="BU181" i="6"/>
  <c r="BS181" i="6"/>
  <c r="BT181" i="6" s="1"/>
  <c r="BL181" i="6"/>
  <c r="BK181" i="6"/>
  <c r="DS181" i="6"/>
  <c r="DT181" i="6" s="1"/>
  <c r="DK181" i="6"/>
  <c r="DL181" i="6"/>
  <c r="DU181" i="6"/>
  <c r="CS181" i="6"/>
  <c r="CT181" i="6" s="1"/>
  <c r="CL181" i="6"/>
  <c r="CK181" i="6"/>
  <c r="CU181" i="6"/>
  <c r="AU195" i="6"/>
  <c r="AV195" i="6" s="1"/>
  <c r="AL195" i="6"/>
  <c r="AK195" i="6"/>
  <c r="AS195" i="6"/>
  <c r="AT195" i="6" s="1"/>
  <c r="L195" i="6"/>
  <c r="S195" i="6"/>
  <c r="T195" i="6" s="1"/>
  <c r="K195" i="6"/>
  <c r="U195" i="6"/>
  <c r="V195" i="6" s="1"/>
  <c r="CM153" i="6"/>
  <c r="CO153" i="6" s="1"/>
  <c r="CY153" i="6" s="1"/>
  <c r="BM153" i="6"/>
  <c r="BO153" i="6" s="1"/>
  <c r="DM153" i="6"/>
  <c r="DO153" i="6" s="1"/>
  <c r="DY153" i="6" s="1"/>
  <c r="DM154" i="6"/>
  <c r="DP154" i="6" s="1"/>
  <c r="M153" i="6"/>
  <c r="W153" i="6" s="1"/>
  <c r="CS168" i="6"/>
  <c r="CT168" i="6" s="1"/>
  <c r="CU168" i="6"/>
  <c r="CL168" i="6"/>
  <c r="CK168" i="6"/>
  <c r="DU168" i="6"/>
  <c r="DK168" i="6"/>
  <c r="DL168" i="6"/>
  <c r="DS168" i="6"/>
  <c r="DT168" i="6" s="1"/>
  <c r="AH169" i="6"/>
  <c r="AI169" i="6" s="1"/>
  <c r="C170" i="6"/>
  <c r="DH169" i="6"/>
  <c r="DI169" i="6" s="1"/>
  <c r="EA169" i="6" s="1"/>
  <c r="H169" i="6"/>
  <c r="I169" i="6" s="1"/>
  <c r="CH169" i="6"/>
  <c r="CI169" i="6" s="1"/>
  <c r="BH169" i="6"/>
  <c r="BI169" i="6" s="1"/>
  <c r="DK155" i="6"/>
  <c r="DL155" i="6"/>
  <c r="DU155" i="6"/>
  <c r="DS155" i="6"/>
  <c r="DT155" i="6" s="1"/>
  <c r="BK155" i="6"/>
  <c r="BL155" i="6"/>
  <c r="BU155" i="6"/>
  <c r="BS155" i="6"/>
  <c r="BT155" i="6" s="1"/>
  <c r="C157" i="6"/>
  <c r="H156" i="6"/>
  <c r="I156" i="6" s="1"/>
  <c r="DH156" i="6"/>
  <c r="DI156" i="6" s="1"/>
  <c r="EA156" i="6" s="1"/>
  <c r="CH156" i="6"/>
  <c r="CI156" i="6" s="1"/>
  <c r="AH156" i="6"/>
  <c r="AI156" i="6" s="1"/>
  <c r="BH156" i="6"/>
  <c r="BI156" i="6" s="1"/>
  <c r="DS167" i="6"/>
  <c r="DT167" i="6" s="1"/>
  <c r="DL167" i="6"/>
  <c r="DK167" i="6"/>
  <c r="DU167" i="6"/>
  <c r="AU167" i="6"/>
  <c r="AL167" i="6"/>
  <c r="AS167" i="6"/>
  <c r="AT167" i="6" s="1"/>
  <c r="AK167" i="6"/>
  <c r="BU167" i="6"/>
  <c r="BS167" i="6"/>
  <c r="BT167" i="6" s="1"/>
  <c r="BL167" i="6"/>
  <c r="BK167" i="6"/>
  <c r="AU168" i="6"/>
  <c r="AK168" i="6"/>
  <c r="AS168" i="6"/>
  <c r="AT168" i="6" s="1"/>
  <c r="AL168" i="6"/>
  <c r="BU168" i="6"/>
  <c r="BS168" i="6"/>
  <c r="BT168" i="6" s="1"/>
  <c r="BL168" i="6"/>
  <c r="BK168" i="6"/>
  <c r="K168" i="6"/>
  <c r="S168" i="6"/>
  <c r="T168" i="6" s="1"/>
  <c r="L168" i="6"/>
  <c r="U168" i="6"/>
  <c r="AK155" i="6"/>
  <c r="AL155" i="6"/>
  <c r="AU155" i="6"/>
  <c r="AS155" i="6"/>
  <c r="AT155" i="6" s="1"/>
  <c r="CL155" i="6"/>
  <c r="CK155" i="6"/>
  <c r="CU155" i="6"/>
  <c r="CS155" i="6"/>
  <c r="CT155" i="6" s="1"/>
  <c r="L155" i="6"/>
  <c r="K155" i="6"/>
  <c r="U155" i="6"/>
  <c r="S155" i="6"/>
  <c r="T155" i="6" s="1"/>
  <c r="CU167" i="6"/>
  <c r="CL167" i="6"/>
  <c r="CS167" i="6"/>
  <c r="CT167" i="6" s="1"/>
  <c r="CK167" i="6"/>
  <c r="U167" i="6"/>
  <c r="L167" i="6"/>
  <c r="K167" i="6"/>
  <c r="S167" i="6"/>
  <c r="T167" i="6" s="1"/>
  <c r="E165" i="6"/>
  <c r="BJ197" i="6"/>
  <c r="J197" i="6"/>
  <c r="AJ197" i="6"/>
  <c r="CJ197" i="6"/>
  <c r="DJ197" i="6"/>
  <c r="EF198" i="6"/>
  <c r="BJ185" i="6"/>
  <c r="CJ185" i="6"/>
  <c r="DJ185" i="6"/>
  <c r="AJ185" i="6"/>
  <c r="J185" i="6"/>
  <c r="DU232" i="6" l="1"/>
  <c r="DK232" i="6"/>
  <c r="AL232" i="6"/>
  <c r="CL235" i="6"/>
  <c r="DJ195" i="6"/>
  <c r="DU233" i="6"/>
  <c r="CU211" i="6"/>
  <c r="AL211" i="6"/>
  <c r="AS211" i="6"/>
  <c r="AT211" i="6" s="1"/>
  <c r="BS215" i="6"/>
  <c r="BT215" i="6" s="1"/>
  <c r="CK211" i="6"/>
  <c r="CS211" i="6"/>
  <c r="CT211" i="6" s="1"/>
  <c r="AU211" i="6"/>
  <c r="AL218" i="6"/>
  <c r="DL218" i="6"/>
  <c r="BK215" i="6"/>
  <c r="L225" i="6"/>
  <c r="BU209" i="6"/>
  <c r="BV209" i="6" s="1"/>
  <c r="BU215" i="6"/>
  <c r="DK211" i="6"/>
  <c r="L221" i="6"/>
  <c r="BL209" i="6"/>
  <c r="AU218" i="6"/>
  <c r="U225" i="6"/>
  <c r="U221" i="6"/>
  <c r="S221" i="6"/>
  <c r="T221" i="6" s="1"/>
  <c r="S225" i="6"/>
  <c r="T225" i="6" s="1"/>
  <c r="CU225" i="6"/>
  <c r="S215" i="6"/>
  <c r="T215" i="6" s="1"/>
  <c r="DU229" i="6"/>
  <c r="BU230" i="6"/>
  <c r="S154" i="6"/>
  <c r="T154" i="6" s="1"/>
  <c r="DL216" i="6"/>
  <c r="DS229" i="6"/>
  <c r="DT229" i="6" s="1"/>
  <c r="AU212" i="6"/>
  <c r="CS234" i="6"/>
  <c r="CT234" i="6" s="1"/>
  <c r="AK226" i="6"/>
  <c r="DS220" i="6"/>
  <c r="DT220" i="6" s="1"/>
  <c r="L214" i="6"/>
  <c r="AU226" i="6"/>
  <c r="DK220" i="6"/>
  <c r="U214" i="6"/>
  <c r="U210" i="6"/>
  <c r="DL229" i="6"/>
  <c r="S214" i="6"/>
  <c r="T214" i="6" s="1"/>
  <c r="BK230" i="6"/>
  <c r="DU226" i="6"/>
  <c r="K213" i="6"/>
  <c r="K229" i="6"/>
  <c r="S235" i="6"/>
  <c r="T235" i="6" s="1"/>
  <c r="CL227" i="6"/>
  <c r="AK217" i="6"/>
  <c r="S210" i="6"/>
  <c r="T210" i="6" s="1"/>
  <c r="DL233" i="6"/>
  <c r="DK226" i="6"/>
  <c r="AK235" i="6"/>
  <c r="DU218" i="6"/>
  <c r="DS224" i="6"/>
  <c r="DT224" i="6" s="1"/>
  <c r="DK233" i="6"/>
  <c r="S227" i="6"/>
  <c r="T227" i="6" s="1"/>
  <c r="BL224" i="6"/>
  <c r="CS231" i="6"/>
  <c r="CT231" i="6" s="1"/>
  <c r="AK233" i="6"/>
  <c r="AL233" i="6"/>
  <c r="U235" i="6"/>
  <c r="CS212" i="6"/>
  <c r="CT212" i="6" s="1"/>
  <c r="AK231" i="6"/>
  <c r="AU231" i="6"/>
  <c r="CU212" i="6"/>
  <c r="CU217" i="6"/>
  <c r="AL231" i="6"/>
  <c r="L227" i="6"/>
  <c r="AL229" i="6"/>
  <c r="CK219" i="6"/>
  <c r="CU231" i="6"/>
  <c r="AU230" i="6"/>
  <c r="AK230" i="6"/>
  <c r="CL219" i="6"/>
  <c r="CL217" i="6"/>
  <c r="CS217" i="6"/>
  <c r="CT217" i="6" s="1"/>
  <c r="AS229" i="6"/>
  <c r="AT229" i="6" s="1"/>
  <c r="AS217" i="6"/>
  <c r="AT217" i="6" s="1"/>
  <c r="BK223" i="6"/>
  <c r="AU229" i="6"/>
  <c r="AU217" i="6"/>
  <c r="U219" i="6"/>
  <c r="CU233" i="6"/>
  <c r="DK234" i="6"/>
  <c r="U231" i="6"/>
  <c r="L231" i="6"/>
  <c r="BS224" i="6"/>
  <c r="BT224" i="6" s="1"/>
  <c r="DS234" i="6"/>
  <c r="DT234" i="6" s="1"/>
  <c r="BU224" i="6"/>
  <c r="AU154" i="6"/>
  <c r="AV154" i="6" s="1"/>
  <c r="DU234" i="6"/>
  <c r="AU210" i="6"/>
  <c r="AV210" i="6" s="1"/>
  <c r="BL219" i="6"/>
  <c r="BS232" i="6"/>
  <c r="BT232" i="6" s="1"/>
  <c r="DS212" i="6"/>
  <c r="DT212" i="6" s="1"/>
  <c r="BS219" i="6"/>
  <c r="BT219" i="6" s="1"/>
  <c r="DS223" i="6"/>
  <c r="DT223" i="6" s="1"/>
  <c r="DK223" i="6"/>
  <c r="AU233" i="6"/>
  <c r="J195" i="6"/>
  <c r="M195" i="6" s="1"/>
  <c r="N195" i="6" s="1"/>
  <c r="R195" i="6" s="1"/>
  <c r="AS223" i="6"/>
  <c r="AT223" i="6" s="1"/>
  <c r="AL223" i="6"/>
  <c r="CL229" i="6"/>
  <c r="AL228" i="6"/>
  <c r="DK212" i="6"/>
  <c r="U224" i="6"/>
  <c r="V224" i="6" s="1"/>
  <c r="BU219" i="6"/>
  <c r="AU228" i="6"/>
  <c r="AL216" i="6"/>
  <c r="CK229" i="6"/>
  <c r="DL223" i="6"/>
  <c r="BK232" i="6"/>
  <c r="L226" i="6"/>
  <c r="AK216" i="6"/>
  <c r="AU216" i="6"/>
  <c r="DU212" i="6"/>
  <c r="AU223" i="6"/>
  <c r="AV223" i="6" s="1"/>
  <c r="DL230" i="6"/>
  <c r="AS228" i="6"/>
  <c r="AT228" i="6" s="1"/>
  <c r="U234" i="6"/>
  <c r="BL235" i="6"/>
  <c r="CU220" i="6"/>
  <c r="DK230" i="6"/>
  <c r="BS225" i="6"/>
  <c r="BT225" i="6" s="1"/>
  <c r="DL231" i="6"/>
  <c r="AK215" i="6"/>
  <c r="K212" i="6"/>
  <c r="CU232" i="6"/>
  <c r="BS235" i="6"/>
  <c r="BT235" i="6" s="1"/>
  <c r="DK231" i="6"/>
  <c r="DL209" i="6"/>
  <c r="AU215" i="6"/>
  <c r="DS231" i="6"/>
  <c r="DT231" i="6" s="1"/>
  <c r="CK233" i="6"/>
  <c r="L224" i="6"/>
  <c r="DU209" i="6"/>
  <c r="DV209" i="6" s="1"/>
  <c r="CK232" i="6"/>
  <c r="CS232" i="6"/>
  <c r="CT232" i="6" s="1"/>
  <c r="CL228" i="6"/>
  <c r="CU230" i="6"/>
  <c r="BU225" i="6"/>
  <c r="S229" i="6"/>
  <c r="T229" i="6" s="1"/>
  <c r="DL217" i="6"/>
  <c r="K219" i="6"/>
  <c r="S209" i="6"/>
  <c r="T209" i="6" s="1"/>
  <c r="AL227" i="6"/>
  <c r="K226" i="6"/>
  <c r="DS217" i="6"/>
  <c r="DT217" i="6" s="1"/>
  <c r="CL220" i="6"/>
  <c r="CK228" i="6"/>
  <c r="CL230" i="6"/>
  <c r="CL233" i="6"/>
  <c r="CS224" i="6"/>
  <c r="CT224" i="6" s="1"/>
  <c r="U209" i="6"/>
  <c r="V209" i="6" s="1"/>
  <c r="CS220" i="6"/>
  <c r="CT220" i="6" s="1"/>
  <c r="DK209" i="6"/>
  <c r="CK230" i="6"/>
  <c r="CS228" i="6"/>
  <c r="CT228" i="6" s="1"/>
  <c r="S234" i="6"/>
  <c r="T234" i="6" s="1"/>
  <c r="CU224" i="6"/>
  <c r="CV224" i="6" s="1"/>
  <c r="U212" i="6"/>
  <c r="BL223" i="6"/>
  <c r="CK224" i="6"/>
  <c r="K209" i="6"/>
  <c r="DK217" i="6"/>
  <c r="BS223" i="6"/>
  <c r="BT223" i="6" s="1"/>
  <c r="DS230" i="6"/>
  <c r="DT230" i="6" s="1"/>
  <c r="AU227" i="6"/>
  <c r="AK227" i="6"/>
  <c r="DS216" i="6"/>
  <c r="DT216" i="6" s="1"/>
  <c r="DL225" i="6"/>
  <c r="DK214" i="6"/>
  <c r="DK224" i="6"/>
  <c r="DS226" i="6"/>
  <c r="DT226" i="6" s="1"/>
  <c r="DK213" i="6"/>
  <c r="DL212" i="6"/>
  <c r="DK229" i="6"/>
  <c r="DU231" i="6"/>
  <c r="DS209" i="6"/>
  <c r="DT209" i="6" s="1"/>
  <c r="DL220" i="6"/>
  <c r="DU223" i="6"/>
  <c r="DV223" i="6" s="1"/>
  <c r="DL224" i="6"/>
  <c r="DU217" i="6"/>
  <c r="CL234" i="6"/>
  <c r="K215" i="6"/>
  <c r="S216" i="6"/>
  <c r="T216" i="6" s="1"/>
  <c r="DS233" i="6"/>
  <c r="DT233" i="6" s="1"/>
  <c r="CS219" i="6"/>
  <c r="CT219" i="6" s="1"/>
  <c r="DS232" i="6"/>
  <c r="DT232" i="6" s="1"/>
  <c r="AK153" i="6"/>
  <c r="AS153" i="6"/>
  <c r="AT153" i="6" s="1"/>
  <c r="AL153" i="6"/>
  <c r="AU153" i="6"/>
  <c r="AV153" i="6" s="1"/>
  <c r="AU235" i="6"/>
  <c r="DU230" i="6"/>
  <c r="L211" i="6"/>
  <c r="S223" i="6"/>
  <c r="T223" i="6" s="1"/>
  <c r="BU235" i="6"/>
  <c r="CS221" i="6"/>
  <c r="CT221" i="6" s="1"/>
  <c r="CU227" i="6"/>
  <c r="DK218" i="6"/>
  <c r="BK154" i="6"/>
  <c r="BM154" i="6" s="1"/>
  <c r="BW154" i="6" s="1"/>
  <c r="BZ154" i="6" s="1"/>
  <c r="BS154" i="6"/>
  <c r="BT154" i="6" s="1"/>
  <c r="BL232" i="6"/>
  <c r="DU210" i="6"/>
  <c r="DV210" i="6" s="1"/>
  <c r="AS154" i="6"/>
  <c r="AT154" i="6" s="1"/>
  <c r="L217" i="6"/>
  <c r="BL225" i="6"/>
  <c r="DL211" i="6"/>
  <c r="S213" i="6"/>
  <c r="T213" i="6" s="1"/>
  <c r="CK231" i="6"/>
  <c r="AL226" i="6"/>
  <c r="U227" i="6"/>
  <c r="AU219" i="6"/>
  <c r="BL226" i="6"/>
  <c r="U226" i="6"/>
  <c r="S219" i="6"/>
  <c r="T219" i="6" s="1"/>
  <c r="S224" i="6"/>
  <c r="T224" i="6" s="1"/>
  <c r="AL215" i="6"/>
  <c r="DL215" i="6"/>
  <c r="L234" i="6"/>
  <c r="BU210" i="6"/>
  <c r="BV210" i="6" s="1"/>
  <c r="AS230" i="6"/>
  <c r="AT230" i="6" s="1"/>
  <c r="DK228" i="6"/>
  <c r="K235" i="6"/>
  <c r="AL212" i="6"/>
  <c r="DU224" i="6"/>
  <c r="DV224" i="6" s="1"/>
  <c r="AS232" i="6"/>
  <c r="AT232" i="6" s="1"/>
  <c r="L212" i="6"/>
  <c r="CL215" i="6"/>
  <c r="CS229" i="6"/>
  <c r="CT229" i="6" s="1"/>
  <c r="U220" i="6"/>
  <c r="CU154" i="6"/>
  <c r="CV154" i="6" s="1"/>
  <c r="BL217" i="6"/>
  <c r="L229" i="6"/>
  <c r="AK234" i="6"/>
  <c r="BL213" i="6"/>
  <c r="BU226" i="6"/>
  <c r="BS226" i="6"/>
  <c r="BT226" i="6" s="1"/>
  <c r="K228" i="6"/>
  <c r="DL234" i="6"/>
  <c r="BK209" i="6"/>
  <c r="L154" i="6"/>
  <c r="M154" i="6" s="1"/>
  <c r="CM154" i="6"/>
  <c r="CN154" i="6" s="1"/>
  <c r="CQ154" i="6" s="1"/>
  <c r="DC154" i="6" s="1"/>
  <c r="BV168" i="6"/>
  <c r="DV168" i="6"/>
  <c r="AV168" i="6"/>
  <c r="DV181" i="6"/>
  <c r="CV181" i="6"/>
  <c r="AM154" i="6"/>
  <c r="AP154" i="6" s="1"/>
  <c r="BV155" i="6"/>
  <c r="DV155" i="6"/>
  <c r="V155" i="6"/>
  <c r="CV155" i="6"/>
  <c r="AV155" i="6"/>
  <c r="A156" i="6"/>
  <c r="CJ155" i="6"/>
  <c r="CM155" i="6" s="1"/>
  <c r="CP155" i="6" s="1"/>
  <c r="EF155" i="6"/>
  <c r="AJ155" i="6"/>
  <c r="AM155" i="6" s="1"/>
  <c r="AO155" i="6" s="1"/>
  <c r="AY155" i="6" s="1"/>
  <c r="BJ155" i="6"/>
  <c r="BM155" i="6" s="1"/>
  <c r="BO155" i="6" s="1"/>
  <c r="BY155" i="6" s="1"/>
  <c r="J155" i="6"/>
  <c r="M155" i="6" s="1"/>
  <c r="O155" i="6" s="1"/>
  <c r="Y155" i="6" s="1"/>
  <c r="DJ155" i="6"/>
  <c r="DM155" i="6" s="1"/>
  <c r="DW155" i="6" s="1"/>
  <c r="DV167" i="6"/>
  <c r="V181" i="6"/>
  <c r="AV181" i="6"/>
  <c r="AJ181" i="6"/>
  <c r="AM181" i="6" s="1"/>
  <c r="J181" i="6"/>
  <c r="M181" i="6" s="1"/>
  <c r="BV181" i="6"/>
  <c r="EF181" i="6"/>
  <c r="V168" i="6"/>
  <c r="CJ181" i="6"/>
  <c r="CM181" i="6" s="1"/>
  <c r="DJ181" i="6"/>
  <c r="DM181" i="6" s="1"/>
  <c r="CV168" i="6"/>
  <c r="BV224" i="6"/>
  <c r="V167" i="6"/>
  <c r="CV167" i="6"/>
  <c r="BV167" i="6"/>
  <c r="AV167" i="6"/>
  <c r="BJ168" i="6"/>
  <c r="BM168" i="6" s="1"/>
  <c r="BP168" i="6" s="1"/>
  <c r="J168" i="6"/>
  <c r="M168" i="6" s="1"/>
  <c r="W168" i="6" s="1"/>
  <c r="A169" i="6"/>
  <c r="CJ168" i="6"/>
  <c r="CM168" i="6" s="1"/>
  <c r="CP168" i="6" s="1"/>
  <c r="AJ168" i="6"/>
  <c r="AM168" i="6" s="1"/>
  <c r="AW168" i="6" s="1"/>
  <c r="DJ168" i="6"/>
  <c r="DM168" i="6" s="1"/>
  <c r="DP168" i="6" s="1"/>
  <c r="EF168" i="6"/>
  <c r="BJ167" i="6"/>
  <c r="BM167" i="6" s="1"/>
  <c r="BO167" i="6" s="1"/>
  <c r="BY167" i="6" s="1"/>
  <c r="J167" i="6"/>
  <c r="M167" i="6" s="1"/>
  <c r="W167" i="6" s="1"/>
  <c r="EF167" i="6"/>
  <c r="AJ167" i="6"/>
  <c r="AM167" i="6" s="1"/>
  <c r="AO167" i="6" s="1"/>
  <c r="AY167" i="6" s="1"/>
  <c r="CJ167" i="6"/>
  <c r="CM167" i="6" s="1"/>
  <c r="CO167" i="6" s="1"/>
  <c r="CY167" i="6" s="1"/>
  <c r="DJ167" i="6"/>
  <c r="DM167" i="6" s="1"/>
  <c r="DP167" i="6" s="1"/>
  <c r="BW153" i="6"/>
  <c r="BZ153" i="6" s="1"/>
  <c r="CP153" i="6"/>
  <c r="V210" i="6"/>
  <c r="CV210" i="6"/>
  <c r="CJ209" i="6"/>
  <c r="CM209" i="6" s="1"/>
  <c r="EF209" i="6"/>
  <c r="J209" i="6"/>
  <c r="DJ209" i="6"/>
  <c r="BJ209" i="6"/>
  <c r="AJ209" i="6"/>
  <c r="AM209" i="6" s="1"/>
  <c r="CV209" i="6"/>
  <c r="BJ224" i="6"/>
  <c r="J224" i="6"/>
  <c r="EF224" i="6"/>
  <c r="A225" i="6"/>
  <c r="CJ224" i="6"/>
  <c r="AJ224" i="6"/>
  <c r="AM224" i="6" s="1"/>
  <c r="AP224" i="6" s="1"/>
  <c r="DJ224" i="6"/>
  <c r="AV224" i="6"/>
  <c r="AV209" i="6"/>
  <c r="J223" i="6"/>
  <c r="M223" i="6" s="1"/>
  <c r="N223" i="6" s="1"/>
  <c r="Q223" i="6" s="1"/>
  <c r="CV223" i="6"/>
  <c r="EF223" i="6"/>
  <c r="CJ223" i="6"/>
  <c r="CM223" i="6" s="1"/>
  <c r="DJ223" i="6"/>
  <c r="AJ223" i="6"/>
  <c r="BJ223" i="6"/>
  <c r="BV223" i="6"/>
  <c r="DJ210" i="6"/>
  <c r="DM210" i="6" s="1"/>
  <c r="AJ210" i="6"/>
  <c r="AM210" i="6" s="1"/>
  <c r="J210" i="6"/>
  <c r="M210" i="6" s="1"/>
  <c r="EF210" i="6"/>
  <c r="BJ210" i="6"/>
  <c r="BM210" i="6" s="1"/>
  <c r="CJ210" i="6"/>
  <c r="CM210" i="6" s="1"/>
  <c r="A211" i="6"/>
  <c r="CV211" i="6" s="1"/>
  <c r="V223" i="6"/>
  <c r="M196" i="6"/>
  <c r="N196" i="6" s="1"/>
  <c r="CM196" i="6"/>
  <c r="CP196" i="6" s="1"/>
  <c r="B171" i="6"/>
  <c r="G170" i="6"/>
  <c r="AG170" i="6"/>
  <c r="CG170" i="6"/>
  <c r="BG170" i="6"/>
  <c r="DG170" i="6"/>
  <c r="G157" i="6"/>
  <c r="BG157" i="6"/>
  <c r="AG157" i="6"/>
  <c r="DG157" i="6"/>
  <c r="CG157" i="6"/>
  <c r="B158" i="6"/>
  <c r="DO154" i="6"/>
  <c r="BP153" i="6"/>
  <c r="DW154" i="6"/>
  <c r="DM195" i="6"/>
  <c r="DN195" i="6" s="1"/>
  <c r="DQ195" i="6" s="1"/>
  <c r="AM195" i="6"/>
  <c r="AW195" i="6" s="1"/>
  <c r="BB195" i="6" s="1"/>
  <c r="BM181" i="6"/>
  <c r="BW181" i="6" s="1"/>
  <c r="CM195" i="6"/>
  <c r="CN195" i="6" s="1"/>
  <c r="AM196" i="6"/>
  <c r="AN196" i="6" s="1"/>
  <c r="BM196" i="6"/>
  <c r="BW196" i="6" s="1"/>
  <c r="AM182" i="6"/>
  <c r="AP182" i="6" s="1"/>
  <c r="DM196" i="6"/>
  <c r="DP196" i="6" s="1"/>
  <c r="CM182" i="6"/>
  <c r="CP182" i="6" s="1"/>
  <c r="M182" i="6"/>
  <c r="P182" i="6" s="1"/>
  <c r="BM195" i="6"/>
  <c r="BW195" i="6" s="1"/>
  <c r="DN154" i="6"/>
  <c r="BN153" i="6"/>
  <c r="BK183" i="6"/>
  <c r="BS183" i="6"/>
  <c r="BT183" i="6" s="1"/>
  <c r="BU183" i="6"/>
  <c r="BV183" i="6" s="1"/>
  <c r="BL183" i="6"/>
  <c r="CS183" i="6"/>
  <c r="CK183" i="6"/>
  <c r="CU183" i="6"/>
  <c r="CV183" i="6" s="1"/>
  <c r="CL183" i="6"/>
  <c r="S183" i="6"/>
  <c r="T183" i="6" s="1"/>
  <c r="K183" i="6"/>
  <c r="U183" i="6"/>
  <c r="V183" i="6" s="1"/>
  <c r="L183" i="6"/>
  <c r="U197" i="6"/>
  <c r="V197" i="6" s="1"/>
  <c r="S197" i="6"/>
  <c r="T197" i="6" s="1"/>
  <c r="L197" i="6"/>
  <c r="K197" i="6"/>
  <c r="DU197" i="6"/>
  <c r="DV197" i="6" s="1"/>
  <c r="DS197" i="6"/>
  <c r="DT197" i="6" s="1"/>
  <c r="DK197" i="6"/>
  <c r="DL197" i="6"/>
  <c r="BU197" i="6"/>
  <c r="BV197" i="6" s="1"/>
  <c r="BS197" i="6"/>
  <c r="BT197" i="6" s="1"/>
  <c r="BK197" i="6"/>
  <c r="BL197" i="6"/>
  <c r="DM182" i="6"/>
  <c r="BM182" i="6"/>
  <c r="AU183" i="6"/>
  <c r="AV183" i="6" s="1"/>
  <c r="AK183" i="6"/>
  <c r="AS183" i="6"/>
  <c r="AL183" i="6"/>
  <c r="DS183" i="6"/>
  <c r="DT183" i="6" s="1"/>
  <c r="DK183" i="6"/>
  <c r="DU183" i="6"/>
  <c r="DV183" i="6" s="1"/>
  <c r="DL183" i="6"/>
  <c r="C185" i="6"/>
  <c r="BH184" i="6"/>
  <c r="BI184" i="6" s="1"/>
  <c r="H184" i="6"/>
  <c r="I184" i="6" s="1"/>
  <c r="AH184" i="6"/>
  <c r="AI184" i="6" s="1"/>
  <c r="CH184" i="6"/>
  <c r="CI184" i="6" s="1"/>
  <c r="DH184" i="6"/>
  <c r="DI184" i="6" s="1"/>
  <c r="EA184" i="6" s="1"/>
  <c r="EF184" i="6"/>
  <c r="AK197" i="6"/>
  <c r="AU197" i="6"/>
  <c r="AV197" i="6" s="1"/>
  <c r="AS197" i="6"/>
  <c r="AT197" i="6" s="1"/>
  <c r="AL197" i="6"/>
  <c r="CS197" i="6"/>
  <c r="CT197" i="6" s="1"/>
  <c r="CL197" i="6"/>
  <c r="CU197" i="6"/>
  <c r="CV197" i="6" s="1"/>
  <c r="CK197" i="6"/>
  <c r="DH198" i="6"/>
  <c r="DI198" i="6" s="1"/>
  <c r="EA198" i="6" s="1"/>
  <c r="C199" i="6"/>
  <c r="AH198" i="6"/>
  <c r="AI198" i="6" s="1"/>
  <c r="BH198" i="6"/>
  <c r="BI198" i="6" s="1"/>
  <c r="H198" i="6"/>
  <c r="I198" i="6" s="1"/>
  <c r="CH198" i="6"/>
  <c r="CI198" i="6" s="1"/>
  <c r="O153" i="6"/>
  <c r="Y153" i="6" s="1"/>
  <c r="P153" i="6"/>
  <c r="DP153" i="6"/>
  <c r="N153" i="6"/>
  <c r="DN153" i="6"/>
  <c r="DQ153" i="6" s="1"/>
  <c r="CN153" i="6"/>
  <c r="BY153" i="6"/>
  <c r="DW153" i="6"/>
  <c r="CW153" i="6"/>
  <c r="AS156" i="6"/>
  <c r="AT156" i="6" s="1"/>
  <c r="AU156" i="6"/>
  <c r="AL156" i="6"/>
  <c r="AK156" i="6"/>
  <c r="DL156" i="6"/>
  <c r="DK156" i="6"/>
  <c r="DS156" i="6"/>
  <c r="DT156" i="6" s="1"/>
  <c r="DU156" i="6"/>
  <c r="C158" i="6"/>
  <c r="AH157" i="6"/>
  <c r="AI157" i="6" s="1"/>
  <c r="DH157" i="6"/>
  <c r="DI157" i="6" s="1"/>
  <c r="EA157" i="6" s="1"/>
  <c r="BH157" i="6"/>
  <c r="BI157" i="6" s="1"/>
  <c r="H157" i="6"/>
  <c r="I157" i="6" s="1"/>
  <c r="CH157" i="6"/>
  <c r="CI157" i="6" s="1"/>
  <c r="BL169" i="6"/>
  <c r="BS169" i="6"/>
  <c r="BT169" i="6" s="1"/>
  <c r="BK169" i="6"/>
  <c r="BU169" i="6"/>
  <c r="U169" i="6"/>
  <c r="L169" i="6"/>
  <c r="K169" i="6"/>
  <c r="S169" i="6"/>
  <c r="T169" i="6" s="1"/>
  <c r="CH170" i="6"/>
  <c r="CI170" i="6" s="1"/>
  <c r="C171" i="6"/>
  <c r="AH170" i="6"/>
  <c r="AI170" i="6" s="1"/>
  <c r="DH170" i="6"/>
  <c r="DI170" i="6" s="1"/>
  <c r="EA170" i="6" s="1"/>
  <c r="H170" i="6"/>
  <c r="I170" i="6" s="1"/>
  <c r="BH170" i="6"/>
  <c r="BI170" i="6" s="1"/>
  <c r="BU156" i="6"/>
  <c r="BK156" i="6"/>
  <c r="BL156" i="6"/>
  <c r="BS156" i="6"/>
  <c r="BT156" i="6" s="1"/>
  <c r="CK156" i="6"/>
  <c r="CS156" i="6"/>
  <c r="CT156" i="6" s="1"/>
  <c r="CL156" i="6"/>
  <c r="CU156" i="6"/>
  <c r="L156" i="6"/>
  <c r="K156" i="6"/>
  <c r="U156" i="6"/>
  <c r="S156" i="6"/>
  <c r="T156" i="6" s="1"/>
  <c r="CS169" i="6"/>
  <c r="CT169" i="6" s="1"/>
  <c r="CL169" i="6"/>
  <c r="CK169" i="6"/>
  <c r="CU169" i="6"/>
  <c r="DL169" i="6"/>
  <c r="DK169" i="6"/>
  <c r="DU169" i="6"/>
  <c r="DS169" i="6"/>
  <c r="DT169" i="6" s="1"/>
  <c r="AK169" i="6"/>
  <c r="AS169" i="6"/>
  <c r="AT169" i="6" s="1"/>
  <c r="AU169" i="6"/>
  <c r="AL169" i="6"/>
  <c r="Z153" i="6"/>
  <c r="AB153" i="6"/>
  <c r="AJ198" i="6"/>
  <c r="BJ198" i="6"/>
  <c r="DJ198" i="6"/>
  <c r="CJ198" i="6"/>
  <c r="J198" i="6"/>
  <c r="EF199" i="6"/>
  <c r="CJ186" i="6"/>
  <c r="J186" i="6"/>
  <c r="BJ186" i="6"/>
  <c r="AJ186" i="6"/>
  <c r="DJ186" i="6"/>
  <c r="BN154" i="6" l="1"/>
  <c r="BR154" i="6" s="1"/>
  <c r="CB154" i="6"/>
  <c r="BP154" i="6"/>
  <c r="BO154" i="6"/>
  <c r="BY154" i="6" s="1"/>
  <c r="BM224" i="6"/>
  <c r="BP224" i="6" s="1"/>
  <c r="AV156" i="6"/>
  <c r="CR154" i="6"/>
  <c r="CO154" i="6"/>
  <c r="CY154" i="6" s="1"/>
  <c r="M209" i="6"/>
  <c r="P209" i="6" s="1"/>
  <c r="CP154" i="6"/>
  <c r="BM223" i="6"/>
  <c r="BW223" i="6" s="1"/>
  <c r="AM223" i="6"/>
  <c r="AO223" i="6" s="1"/>
  <c r="AY223" i="6" s="1"/>
  <c r="CM224" i="6"/>
  <c r="CO224" i="6" s="1"/>
  <c r="DM224" i="6"/>
  <c r="DN224" i="6" s="1"/>
  <c r="BM209" i="6"/>
  <c r="BW209" i="6" s="1"/>
  <c r="DM223" i="6"/>
  <c r="DO223" i="6" s="1"/>
  <c r="DY223" i="6" s="1"/>
  <c r="M224" i="6"/>
  <c r="W224" i="6" s="1"/>
  <c r="Z224" i="6" s="1"/>
  <c r="P154" i="6"/>
  <c r="O154" i="6"/>
  <c r="Y154" i="6" s="1"/>
  <c r="N154" i="6"/>
  <c r="Q154" i="6" s="1"/>
  <c r="W154" i="6"/>
  <c r="DM209" i="6"/>
  <c r="DO209" i="6" s="1"/>
  <c r="DY209" i="6" s="1"/>
  <c r="AM153" i="6"/>
  <c r="CW154" i="6"/>
  <c r="DB154" i="6" s="1"/>
  <c r="BV156" i="6"/>
  <c r="CV156" i="6"/>
  <c r="DV156" i="6"/>
  <c r="V156" i="6"/>
  <c r="AW154" i="6"/>
  <c r="AZ154" i="6" s="1"/>
  <c r="AN154" i="6"/>
  <c r="AR154" i="6" s="1"/>
  <c r="AO154" i="6"/>
  <c r="AY154" i="6" s="1"/>
  <c r="A157" i="6"/>
  <c r="EF156" i="6"/>
  <c r="AJ156" i="6"/>
  <c r="AM156" i="6" s="1"/>
  <c r="AN156" i="6" s="1"/>
  <c r="CJ156" i="6"/>
  <c r="CM156" i="6" s="1"/>
  <c r="CO156" i="6" s="1"/>
  <c r="CY156" i="6" s="1"/>
  <c r="BJ156" i="6"/>
  <c r="BM156" i="6" s="1"/>
  <c r="BN156" i="6" s="1"/>
  <c r="J156" i="6"/>
  <c r="M156" i="6" s="1"/>
  <c r="O156" i="6" s="1"/>
  <c r="Y156" i="6" s="1"/>
  <c r="DJ156" i="6"/>
  <c r="DM156" i="6" s="1"/>
  <c r="DO156" i="6" s="1"/>
  <c r="DY156" i="6" s="1"/>
  <c r="CB153" i="6"/>
  <c r="CV169" i="6"/>
  <c r="DV169" i="6"/>
  <c r="V169" i="6"/>
  <c r="AV169" i="6"/>
  <c r="BV169" i="6"/>
  <c r="A170" i="6"/>
  <c r="BJ169" i="6"/>
  <c r="BM169" i="6" s="1"/>
  <c r="BW169" i="6" s="1"/>
  <c r="CJ169" i="6"/>
  <c r="CM169" i="6" s="1"/>
  <c r="CW169" i="6" s="1"/>
  <c r="AJ169" i="6"/>
  <c r="AM169" i="6" s="1"/>
  <c r="AN169" i="6" s="1"/>
  <c r="DJ169" i="6"/>
  <c r="DM169" i="6" s="1"/>
  <c r="DO169" i="6" s="1"/>
  <c r="DY169" i="6" s="1"/>
  <c r="J169" i="6"/>
  <c r="M169" i="6" s="1"/>
  <c r="P169" i="6" s="1"/>
  <c r="EF169" i="6"/>
  <c r="AW224" i="6"/>
  <c r="AZ224" i="6" s="1"/>
  <c r="AN224" i="6"/>
  <c r="AQ224" i="6" s="1"/>
  <c r="AO224" i="6"/>
  <c r="AY224" i="6" s="1"/>
  <c r="CX154" i="6"/>
  <c r="DD154" i="6" s="1"/>
  <c r="R223" i="6"/>
  <c r="CP209" i="6"/>
  <c r="CW209" i="6"/>
  <c r="CN209" i="6"/>
  <c r="CR209" i="6" s="1"/>
  <c r="CO209" i="6"/>
  <c r="CY209" i="6" s="1"/>
  <c r="P195" i="6"/>
  <c r="W223" i="6"/>
  <c r="BO224" i="6"/>
  <c r="BY224" i="6" s="1"/>
  <c r="CN196" i="6"/>
  <c r="CR196" i="6" s="1"/>
  <c r="P223" i="6"/>
  <c r="O223" i="6"/>
  <c r="Y223" i="6" s="1"/>
  <c r="P210" i="6"/>
  <c r="O210" i="6"/>
  <c r="Y210" i="6" s="1"/>
  <c r="BV211" i="6"/>
  <c r="AP210" i="6"/>
  <c r="AW210" i="6"/>
  <c r="AO210" i="6"/>
  <c r="AY210" i="6" s="1"/>
  <c r="AN210" i="6"/>
  <c r="AQ210" i="6" s="1"/>
  <c r="BW210" i="6"/>
  <c r="BN210" i="6"/>
  <c r="BQ210" i="6" s="1"/>
  <c r="BP210" i="6"/>
  <c r="BO210" i="6"/>
  <c r="BY210" i="6" s="1"/>
  <c r="DN210" i="6"/>
  <c r="DQ210" i="6" s="1"/>
  <c r="DW210" i="6"/>
  <c r="DP210" i="6"/>
  <c r="DO210" i="6"/>
  <c r="CY224" i="6"/>
  <c r="W210" i="6"/>
  <c r="DV225" i="6"/>
  <c r="AJ225" i="6"/>
  <c r="AM225" i="6" s="1"/>
  <c r="CV225" i="6"/>
  <c r="CJ225" i="6"/>
  <c r="CM225" i="6" s="1"/>
  <c r="A226" i="6"/>
  <c r="BJ225" i="6"/>
  <c r="BM225" i="6" s="1"/>
  <c r="DJ225" i="6"/>
  <c r="DM225" i="6" s="1"/>
  <c r="AV225" i="6"/>
  <c r="BV225" i="6"/>
  <c r="EF225" i="6"/>
  <c r="J225" i="6"/>
  <c r="M225" i="6" s="1"/>
  <c r="V225" i="6"/>
  <c r="BW224" i="6"/>
  <c r="BN224" i="6"/>
  <c r="N210" i="6"/>
  <c r="J211" i="6"/>
  <c r="M211" i="6" s="1"/>
  <c r="EF211" i="6"/>
  <c r="AV211" i="6"/>
  <c r="DV211" i="6"/>
  <c r="V211" i="6"/>
  <c r="AJ211" i="6"/>
  <c r="AM211" i="6" s="1"/>
  <c r="AW211" i="6" s="1"/>
  <c r="DJ211" i="6"/>
  <c r="DM211" i="6" s="1"/>
  <c r="A212" i="6"/>
  <c r="BJ211" i="6"/>
  <c r="BM211" i="6" s="1"/>
  <c r="CJ211" i="6"/>
  <c r="CM211" i="6" s="1"/>
  <c r="CO223" i="6"/>
  <c r="CY223" i="6" s="1"/>
  <c r="CN223" i="6"/>
  <c r="CP223" i="6"/>
  <c r="CW223" i="6"/>
  <c r="AW209" i="6"/>
  <c r="AP209" i="6"/>
  <c r="AN209" i="6"/>
  <c r="AO209" i="6"/>
  <c r="AY209" i="6" s="1"/>
  <c r="CW210" i="6"/>
  <c r="CN210" i="6"/>
  <c r="CO210" i="6"/>
  <c r="CP210" i="6"/>
  <c r="O182" i="6"/>
  <c r="Y182" i="6" s="1"/>
  <c r="BN196" i="6"/>
  <c r="BR196" i="6" s="1"/>
  <c r="O195" i="6"/>
  <c r="Y195" i="6" s="1"/>
  <c r="CO196" i="6"/>
  <c r="CY196" i="6" s="1"/>
  <c r="W195" i="6"/>
  <c r="AB195" i="6" s="1"/>
  <c r="CW196" i="6"/>
  <c r="DB196" i="6" s="1"/>
  <c r="CW167" i="6"/>
  <c r="CZ167" i="6" s="1"/>
  <c r="BW167" i="6"/>
  <c r="BZ167" i="6" s="1"/>
  <c r="AW182" i="6"/>
  <c r="AZ182" i="6" s="1"/>
  <c r="W196" i="6"/>
  <c r="Z196" i="6" s="1"/>
  <c r="O196" i="6"/>
  <c r="Y196" i="6" s="1"/>
  <c r="P196" i="6"/>
  <c r="AW167" i="6"/>
  <c r="BB167" i="6" s="1"/>
  <c r="CP167" i="6"/>
  <c r="P155" i="6"/>
  <c r="AP167" i="6"/>
  <c r="AN167" i="6"/>
  <c r="AQ167" i="6" s="1"/>
  <c r="CN167" i="6"/>
  <c r="CR167" i="6" s="1"/>
  <c r="CM197" i="6"/>
  <c r="CW197" i="6" s="1"/>
  <c r="DB197" i="6" s="1"/>
  <c r="B172" i="6"/>
  <c r="BG171" i="6"/>
  <c r="DG171" i="6"/>
  <c r="G171" i="6"/>
  <c r="AG171" i="6"/>
  <c r="CG171" i="6"/>
  <c r="DW167" i="6"/>
  <c r="G158" i="6"/>
  <c r="BG158" i="6"/>
  <c r="AG158" i="6"/>
  <c r="DG158" i="6"/>
  <c r="CG158" i="6"/>
  <c r="B159" i="6"/>
  <c r="AZ195" i="6"/>
  <c r="DR153" i="6"/>
  <c r="DX153" i="6" s="1"/>
  <c r="DO168" i="6"/>
  <c r="DY168" i="6" s="1"/>
  <c r="DN167" i="6"/>
  <c r="DQ167" i="6" s="1"/>
  <c r="DW168" i="6"/>
  <c r="EB168" i="6" s="1"/>
  <c r="DO167" i="6"/>
  <c r="DY167" i="6" s="1"/>
  <c r="N182" i="6"/>
  <c r="R182" i="6" s="1"/>
  <c r="Q195" i="6"/>
  <c r="AC195" i="6" s="1"/>
  <c r="AN155" i="6"/>
  <c r="AR155" i="6" s="1"/>
  <c r="CO182" i="6"/>
  <c r="CY182" i="6" s="1"/>
  <c r="CO168" i="6"/>
  <c r="CY168" i="6" s="1"/>
  <c r="P167" i="6"/>
  <c r="AN182" i="6"/>
  <c r="AR182" i="6" s="1"/>
  <c r="BA182" i="6" s="1"/>
  <c r="CN182" i="6"/>
  <c r="CQ182" i="6" s="1"/>
  <c r="DP155" i="6"/>
  <c r="AW155" i="6"/>
  <c r="O167" i="6"/>
  <c r="Y167" i="6" s="1"/>
  <c r="W182" i="6"/>
  <c r="Z182" i="6" s="1"/>
  <c r="BO196" i="6"/>
  <c r="BY196" i="6" s="1"/>
  <c r="BQ154" i="6"/>
  <c r="CA154" i="6" s="1"/>
  <c r="AP196" i="6"/>
  <c r="AO196" i="6"/>
  <c r="AY196" i="6" s="1"/>
  <c r="BN181" i="6"/>
  <c r="BQ181" i="6" s="1"/>
  <c r="BO181" i="6"/>
  <c r="BY181" i="6" s="1"/>
  <c r="BP195" i="6"/>
  <c r="DZ168" i="6"/>
  <c r="EB154" i="6"/>
  <c r="DZ154" i="6"/>
  <c r="EC153" i="6"/>
  <c r="EB167" i="6"/>
  <c r="DZ167" i="6"/>
  <c r="DZ153" i="6"/>
  <c r="EB153" i="6"/>
  <c r="EB155" i="6"/>
  <c r="DZ155" i="6"/>
  <c r="DY154" i="6"/>
  <c r="BN195" i="6"/>
  <c r="BQ195" i="6" s="1"/>
  <c r="BP196" i="6"/>
  <c r="BN168" i="6"/>
  <c r="BR168" i="6" s="1"/>
  <c r="CN168" i="6"/>
  <c r="CR168" i="6" s="1"/>
  <c r="DO155" i="6"/>
  <c r="CP195" i="6"/>
  <c r="CW195" i="6"/>
  <c r="BO168" i="6"/>
  <c r="BY168" i="6" s="1"/>
  <c r="DW195" i="6"/>
  <c r="DP195" i="6"/>
  <c r="DO195" i="6"/>
  <c r="AQ196" i="6"/>
  <c r="AR196" i="6"/>
  <c r="DR195" i="6"/>
  <c r="EC195" i="6" s="1"/>
  <c r="BW168" i="6"/>
  <c r="CB168" i="6" s="1"/>
  <c r="CW168" i="6"/>
  <c r="DB168" i="6" s="1"/>
  <c r="DN155" i="6"/>
  <c r="AP155" i="6"/>
  <c r="N167" i="6"/>
  <c r="N155" i="6"/>
  <c r="AO182" i="6"/>
  <c r="AY182" i="6" s="1"/>
  <c r="CW182" i="6"/>
  <c r="DB182" i="6" s="1"/>
  <c r="AW196" i="6"/>
  <c r="BO195" i="6"/>
  <c r="BY195" i="6" s="1"/>
  <c r="BP181" i="6"/>
  <c r="AP195" i="6"/>
  <c r="CR195" i="6"/>
  <c r="CQ195" i="6"/>
  <c r="DN168" i="6"/>
  <c r="CO195" i="6"/>
  <c r="CY195" i="6" s="1"/>
  <c r="AN195" i="6"/>
  <c r="AO195" i="6"/>
  <c r="AY195" i="6" s="1"/>
  <c r="DO196" i="6"/>
  <c r="N168" i="6"/>
  <c r="DW196" i="6"/>
  <c r="P168" i="6"/>
  <c r="O168" i="6"/>
  <c r="Y168" i="6" s="1"/>
  <c r="DN196" i="6"/>
  <c r="DM183" i="6"/>
  <c r="DW183" i="6" s="1"/>
  <c r="AM197" i="6"/>
  <c r="AO197" i="6" s="1"/>
  <c r="AY197" i="6" s="1"/>
  <c r="BM197" i="6"/>
  <c r="BO197" i="6" s="1"/>
  <c r="BY197" i="6" s="1"/>
  <c r="M197" i="6"/>
  <c r="O197" i="6" s="1"/>
  <c r="Y197" i="6" s="1"/>
  <c r="DM197" i="6"/>
  <c r="DO197" i="6" s="1"/>
  <c r="DY197" i="6" s="1"/>
  <c r="U198" i="6"/>
  <c r="V198" i="6" s="1"/>
  <c r="S198" i="6"/>
  <c r="T198" i="6" s="1"/>
  <c r="K198" i="6"/>
  <c r="L198" i="6"/>
  <c r="AL198" i="6"/>
  <c r="AK198" i="6"/>
  <c r="AU198" i="6"/>
  <c r="AV198" i="6" s="1"/>
  <c r="AS198" i="6"/>
  <c r="AT198" i="6" s="1"/>
  <c r="DS198" i="6"/>
  <c r="DT198" i="6" s="1"/>
  <c r="DU198" i="6"/>
  <c r="DV198" i="6" s="1"/>
  <c r="DK198" i="6"/>
  <c r="DL198" i="6"/>
  <c r="DU184" i="6"/>
  <c r="DV184" i="6" s="1"/>
  <c r="DL184" i="6"/>
  <c r="DK184" i="6"/>
  <c r="DS184" i="6"/>
  <c r="DT184" i="6" s="1"/>
  <c r="AK184" i="6"/>
  <c r="AS184" i="6"/>
  <c r="AT184" i="6" s="1"/>
  <c r="AL184" i="6"/>
  <c r="AU184" i="6"/>
  <c r="AV184" i="6" s="1"/>
  <c r="BU184" i="6"/>
  <c r="BV184" i="6" s="1"/>
  <c r="BL184" i="6"/>
  <c r="BS184" i="6"/>
  <c r="BT184" i="6" s="1"/>
  <c r="BK184" i="6"/>
  <c r="AM183" i="6"/>
  <c r="BP182" i="6"/>
  <c r="BN182" i="6"/>
  <c r="BW182" i="6"/>
  <c r="BO182" i="6"/>
  <c r="BY182" i="6" s="1"/>
  <c r="W181" i="6"/>
  <c r="P181" i="6"/>
  <c r="N181" i="6"/>
  <c r="O181" i="6"/>
  <c r="Y181" i="6" s="1"/>
  <c r="M183" i="6"/>
  <c r="CT183" i="6"/>
  <c r="BM183" i="6"/>
  <c r="CP181" i="6"/>
  <c r="CN181" i="6"/>
  <c r="CW181" i="6"/>
  <c r="CO181" i="6"/>
  <c r="CB196" i="6"/>
  <c r="BZ196" i="6"/>
  <c r="Q196" i="6"/>
  <c r="R196" i="6"/>
  <c r="CU198" i="6"/>
  <c r="CV198" i="6" s="1"/>
  <c r="CK198" i="6"/>
  <c r="CS198" i="6"/>
  <c r="CT198" i="6" s="1"/>
  <c r="CL198" i="6"/>
  <c r="BU198" i="6"/>
  <c r="BV198" i="6" s="1"/>
  <c r="BL198" i="6"/>
  <c r="BK198" i="6"/>
  <c r="BS198" i="6"/>
  <c r="BT198" i="6" s="1"/>
  <c r="AH199" i="6"/>
  <c r="AI199" i="6" s="1"/>
  <c r="C200" i="6"/>
  <c r="EF200" i="6" s="1"/>
  <c r="CH199" i="6"/>
  <c r="CI199" i="6" s="1"/>
  <c r="BH199" i="6"/>
  <c r="BI199" i="6" s="1"/>
  <c r="H199" i="6"/>
  <c r="I199" i="6" s="1"/>
  <c r="DH199" i="6"/>
  <c r="DI199" i="6" s="1"/>
  <c r="EA199" i="6" s="1"/>
  <c r="CL184" i="6"/>
  <c r="CS184" i="6"/>
  <c r="CT184" i="6" s="1"/>
  <c r="CK184" i="6"/>
  <c r="CU184" i="6"/>
  <c r="CV184" i="6" s="1"/>
  <c r="S184" i="6"/>
  <c r="T184" i="6" s="1"/>
  <c r="L184" i="6"/>
  <c r="K184" i="6"/>
  <c r="U184" i="6"/>
  <c r="V184" i="6" s="1"/>
  <c r="C186" i="6"/>
  <c r="DH185" i="6"/>
  <c r="DI185" i="6" s="1"/>
  <c r="EA185" i="6" s="1"/>
  <c r="CH185" i="6"/>
  <c r="CI185" i="6" s="1"/>
  <c r="BH185" i="6"/>
  <c r="BI185" i="6" s="1"/>
  <c r="AH185" i="6"/>
  <c r="AI185" i="6" s="1"/>
  <c r="H185" i="6"/>
  <c r="I185" i="6" s="1"/>
  <c r="EF185" i="6"/>
  <c r="AT183" i="6"/>
  <c r="DN182" i="6"/>
  <c r="DP182" i="6"/>
  <c r="DW182" i="6"/>
  <c r="DO182" i="6"/>
  <c r="AW181" i="6"/>
  <c r="AP181" i="6"/>
  <c r="AO181" i="6"/>
  <c r="AY181" i="6" s="1"/>
  <c r="AN181" i="6"/>
  <c r="CM183" i="6"/>
  <c r="DP181" i="6"/>
  <c r="DN181" i="6"/>
  <c r="DO181" i="6"/>
  <c r="DW181" i="6"/>
  <c r="BQ153" i="6"/>
  <c r="CA153" i="6" s="1"/>
  <c r="BR153" i="6"/>
  <c r="DQ154" i="6"/>
  <c r="DR154" i="6"/>
  <c r="BZ195" i="6"/>
  <c r="CB195" i="6"/>
  <c r="BZ181" i="6"/>
  <c r="CB181" i="6"/>
  <c r="AO168" i="6"/>
  <c r="AY168" i="6" s="1"/>
  <c r="CN155" i="6"/>
  <c r="AP168" i="6"/>
  <c r="CW155" i="6"/>
  <c r="BP155" i="6"/>
  <c r="W155" i="6"/>
  <c r="BP167" i="6"/>
  <c r="BW155" i="6"/>
  <c r="BN167" i="6"/>
  <c r="BN155" i="6"/>
  <c r="AN168" i="6"/>
  <c r="CO155" i="6"/>
  <c r="CY155" i="6" s="1"/>
  <c r="CR153" i="6"/>
  <c r="CQ153" i="6"/>
  <c r="DA153" i="6" s="1"/>
  <c r="R153" i="6"/>
  <c r="AA153" i="6" s="1"/>
  <c r="Q153" i="6"/>
  <c r="AB154" i="6"/>
  <c r="Z154" i="6"/>
  <c r="CZ153" i="6"/>
  <c r="DB153" i="6"/>
  <c r="BK170" i="6"/>
  <c r="BL170" i="6"/>
  <c r="BU170" i="6"/>
  <c r="BS170" i="6"/>
  <c r="DU170" i="6"/>
  <c r="DL170" i="6"/>
  <c r="DS170" i="6"/>
  <c r="DT170" i="6" s="1"/>
  <c r="DK170" i="6"/>
  <c r="DH171" i="6"/>
  <c r="DI171" i="6" s="1"/>
  <c r="EA171" i="6" s="1"/>
  <c r="C172" i="6"/>
  <c r="AH171" i="6"/>
  <c r="AI171" i="6" s="1"/>
  <c r="H171" i="6"/>
  <c r="I171" i="6" s="1"/>
  <c r="BH171" i="6"/>
  <c r="BI171" i="6" s="1"/>
  <c r="CH171" i="6"/>
  <c r="CI171" i="6" s="1"/>
  <c r="CK157" i="6"/>
  <c r="CS157" i="6"/>
  <c r="CT157" i="6" s="1"/>
  <c r="CL157" i="6"/>
  <c r="CU157" i="6"/>
  <c r="BU157" i="6"/>
  <c r="BL157" i="6"/>
  <c r="BK157" i="6"/>
  <c r="BS157" i="6"/>
  <c r="BT157" i="6" s="1"/>
  <c r="AK157" i="6"/>
  <c r="AU157" i="6"/>
  <c r="AS157" i="6"/>
  <c r="AT157" i="6" s="1"/>
  <c r="AL157" i="6"/>
  <c r="AB167" i="6"/>
  <c r="Z167" i="6"/>
  <c r="S170" i="6"/>
  <c r="T170" i="6" s="1"/>
  <c r="U170" i="6"/>
  <c r="K170" i="6"/>
  <c r="L170" i="6"/>
  <c r="AS170" i="6"/>
  <c r="AK170" i="6"/>
  <c r="AU170" i="6"/>
  <c r="AL170" i="6"/>
  <c r="CL170" i="6"/>
  <c r="CU170" i="6"/>
  <c r="CS170" i="6"/>
  <c r="CT170" i="6" s="1"/>
  <c r="CK170" i="6"/>
  <c r="K157" i="6"/>
  <c r="L157" i="6"/>
  <c r="S157" i="6"/>
  <c r="T157" i="6" s="1"/>
  <c r="U157" i="6"/>
  <c r="DK157" i="6"/>
  <c r="DL157" i="6"/>
  <c r="DS157" i="6"/>
  <c r="DT157" i="6" s="1"/>
  <c r="DU157" i="6"/>
  <c r="C159" i="6"/>
  <c r="CH158" i="6"/>
  <c r="CI158" i="6" s="1"/>
  <c r="H158" i="6"/>
  <c r="I158" i="6" s="1"/>
  <c r="DH158" i="6"/>
  <c r="DI158" i="6" s="1"/>
  <c r="EA158" i="6" s="1"/>
  <c r="AH158" i="6"/>
  <c r="AI158" i="6" s="1"/>
  <c r="BH158" i="6"/>
  <c r="BI158" i="6" s="1"/>
  <c r="AB168" i="6"/>
  <c r="Z168" i="6"/>
  <c r="AZ168" i="6"/>
  <c r="BB168" i="6"/>
  <c r="J199" i="6"/>
  <c r="DJ199" i="6"/>
  <c r="CJ199" i="6"/>
  <c r="BJ199" i="6"/>
  <c r="AJ199" i="6"/>
  <c r="CJ187" i="6"/>
  <c r="AJ187" i="6"/>
  <c r="DJ187" i="6"/>
  <c r="BJ187" i="6"/>
  <c r="J187" i="6"/>
  <c r="O209" i="6" l="1"/>
  <c r="Y209" i="6" s="1"/>
  <c r="W209" i="6"/>
  <c r="N209" i="6"/>
  <c r="AW223" i="6"/>
  <c r="AZ223" i="6" s="1"/>
  <c r="DW224" i="6"/>
  <c r="BP223" i="6"/>
  <c r="BN223" i="6"/>
  <c r="CW224" i="6"/>
  <c r="CZ224" i="6" s="1"/>
  <c r="CN224" i="6"/>
  <c r="CP224" i="6"/>
  <c r="DO224" i="6"/>
  <c r="DY224" i="6" s="1"/>
  <c r="AP223" i="6"/>
  <c r="DP223" i="6"/>
  <c r="DN223" i="6"/>
  <c r="DQ223" i="6" s="1"/>
  <c r="DW223" i="6"/>
  <c r="BO209" i="6"/>
  <c r="BY209" i="6" s="1"/>
  <c r="DP224" i="6"/>
  <c r="AN223" i="6"/>
  <c r="AQ154" i="6"/>
  <c r="AB224" i="6"/>
  <c r="BO223" i="6"/>
  <c r="BY223" i="6" s="1"/>
  <c r="BP209" i="6"/>
  <c r="CA181" i="6"/>
  <c r="BN209" i="6"/>
  <c r="BQ209" i="6" s="1"/>
  <c r="CC209" i="6" s="1"/>
  <c r="P224" i="6"/>
  <c r="N224" i="6"/>
  <c r="Q224" i="6" s="1"/>
  <c r="O224" i="6"/>
  <c r="Y224" i="6" s="1"/>
  <c r="AA196" i="6"/>
  <c r="R154" i="6"/>
  <c r="AA154" i="6" s="1"/>
  <c r="DW209" i="6"/>
  <c r="DP209" i="6"/>
  <c r="DN209" i="6"/>
  <c r="DR209" i="6" s="1"/>
  <c r="AA223" i="6"/>
  <c r="BA154" i="6"/>
  <c r="CZ154" i="6"/>
  <c r="CA195" i="6"/>
  <c r="AA195" i="6"/>
  <c r="CA210" i="6"/>
  <c r="BA196" i="6"/>
  <c r="AW153" i="6"/>
  <c r="AO153" i="6"/>
  <c r="AY153" i="6" s="1"/>
  <c r="AN153" i="6"/>
  <c r="AP153" i="6"/>
  <c r="BA155" i="6"/>
  <c r="DC195" i="6"/>
  <c r="DA195" i="6"/>
  <c r="AA182" i="6"/>
  <c r="DA154" i="6"/>
  <c r="DA182" i="6"/>
  <c r="V157" i="6"/>
  <c r="BV157" i="6"/>
  <c r="DV157" i="6"/>
  <c r="AV157" i="6"/>
  <c r="CV157" i="6"/>
  <c r="BB154" i="6"/>
  <c r="BB224" i="6"/>
  <c r="BB223" i="6"/>
  <c r="DZ223" i="6"/>
  <c r="EB223" i="6"/>
  <c r="DY210" i="6"/>
  <c r="DX210" i="6"/>
  <c r="ED210" i="6" s="1"/>
  <c r="EB209" i="6"/>
  <c r="DZ209" i="6"/>
  <c r="EB224" i="6"/>
  <c r="DZ224" i="6"/>
  <c r="EB210" i="6"/>
  <c r="DZ210" i="6"/>
  <c r="A158" i="6"/>
  <c r="EF157" i="6"/>
  <c r="CJ157" i="6"/>
  <c r="CM157" i="6" s="1"/>
  <c r="CW157" i="6" s="1"/>
  <c r="J157" i="6"/>
  <c r="M157" i="6" s="1"/>
  <c r="W157" i="6" s="1"/>
  <c r="AJ157" i="6"/>
  <c r="AM157" i="6" s="1"/>
  <c r="AO157" i="6" s="1"/>
  <c r="AY157" i="6" s="1"/>
  <c r="BJ157" i="6"/>
  <c r="BM157" i="6" s="1"/>
  <c r="BP157" i="6" s="1"/>
  <c r="DJ157" i="6"/>
  <c r="DM157" i="6" s="1"/>
  <c r="DW157" i="6" s="1"/>
  <c r="BV170" i="6"/>
  <c r="AV170" i="6"/>
  <c r="CV170" i="6"/>
  <c r="V170" i="6"/>
  <c r="DV170" i="6"/>
  <c r="CZ196" i="6"/>
  <c r="A171" i="6"/>
  <c r="AJ170" i="6"/>
  <c r="AM170" i="6" s="1"/>
  <c r="EF170" i="6"/>
  <c r="BJ170" i="6"/>
  <c r="BM170" i="6" s="1"/>
  <c r="J170" i="6"/>
  <c r="M170" i="6" s="1"/>
  <c r="DJ170" i="6"/>
  <c r="DM170" i="6" s="1"/>
  <c r="DO170" i="6" s="1"/>
  <c r="DY170" i="6" s="1"/>
  <c r="CJ170" i="6"/>
  <c r="CM170" i="6" s="1"/>
  <c r="CW170" i="6" s="1"/>
  <c r="AZ167" i="6"/>
  <c r="BB182" i="6"/>
  <c r="AP211" i="6"/>
  <c r="AO211" i="6"/>
  <c r="AY211" i="6" s="1"/>
  <c r="AN211" i="6"/>
  <c r="AR211" i="6" s="1"/>
  <c r="CQ209" i="6"/>
  <c r="DA209" i="6" s="1"/>
  <c r="DB167" i="6"/>
  <c r="CB167" i="6"/>
  <c r="Z195" i="6"/>
  <c r="CQ196" i="6"/>
  <c r="AR224" i="6"/>
  <c r="BA224" i="6" s="1"/>
  <c r="X223" i="6"/>
  <c r="AD223" i="6" s="1"/>
  <c r="AQ223" i="6"/>
  <c r="AR223" i="6"/>
  <c r="DR210" i="6"/>
  <c r="EC210" i="6" s="1"/>
  <c r="CB209" i="6"/>
  <c r="BZ209" i="6"/>
  <c r="CZ210" i="6"/>
  <c r="DB210" i="6"/>
  <c r="CB224" i="6"/>
  <c r="BZ224" i="6"/>
  <c r="CC210" i="6"/>
  <c r="BB210" i="6"/>
  <c r="AZ210" i="6"/>
  <c r="BB209" i="6"/>
  <c r="AZ209" i="6"/>
  <c r="Z210" i="6"/>
  <c r="AB210" i="6"/>
  <c r="BZ210" i="6"/>
  <c r="CB210" i="6"/>
  <c r="AB209" i="6"/>
  <c r="Z209" i="6"/>
  <c r="AB223" i="6"/>
  <c r="Z223" i="6"/>
  <c r="CZ223" i="6"/>
  <c r="DB223" i="6"/>
  <c r="CB223" i="6"/>
  <c r="BZ223" i="6"/>
  <c r="BB211" i="6"/>
  <c r="AZ211" i="6"/>
  <c r="CZ209" i="6"/>
  <c r="DB209" i="6"/>
  <c r="AC223" i="6"/>
  <c r="BR210" i="6"/>
  <c r="CQ210" i="6"/>
  <c r="CR210" i="6"/>
  <c r="AQ209" i="6"/>
  <c r="AR209" i="6"/>
  <c r="BA209" i="6" s="1"/>
  <c r="BW211" i="6"/>
  <c r="BP211" i="6"/>
  <c r="AN225" i="6"/>
  <c r="AW225" i="6"/>
  <c r="AO225" i="6"/>
  <c r="AY225" i="6" s="1"/>
  <c r="AP225" i="6"/>
  <c r="BN211" i="6"/>
  <c r="CR223" i="6"/>
  <c r="CQ223" i="6"/>
  <c r="DA223" i="6" s="1"/>
  <c r="A213" i="6"/>
  <c r="EF212" i="6"/>
  <c r="BJ212" i="6"/>
  <c r="BM212" i="6" s="1"/>
  <c r="J212" i="6"/>
  <c r="M212" i="6" s="1"/>
  <c r="V212" i="6"/>
  <c r="CJ212" i="6"/>
  <c r="CM212" i="6" s="1"/>
  <c r="DV212" i="6"/>
  <c r="BV212" i="6"/>
  <c r="CV212" i="6"/>
  <c r="DJ212" i="6"/>
  <c r="DM212" i="6" s="1"/>
  <c r="AJ212" i="6"/>
  <c r="AM212" i="6" s="1"/>
  <c r="AV212" i="6"/>
  <c r="R210" i="6"/>
  <c r="AA210" i="6" s="1"/>
  <c r="Q210" i="6"/>
  <c r="DJ226" i="6"/>
  <c r="DM226" i="6" s="1"/>
  <c r="CJ226" i="6"/>
  <c r="CM226" i="6" s="1"/>
  <c r="AV226" i="6"/>
  <c r="BV226" i="6"/>
  <c r="BJ226" i="6"/>
  <c r="BM226" i="6" s="1"/>
  <c r="V226" i="6"/>
  <c r="CV226" i="6"/>
  <c r="AJ226" i="6"/>
  <c r="AM226" i="6" s="1"/>
  <c r="A227" i="6"/>
  <c r="J226" i="6"/>
  <c r="M226" i="6" s="1"/>
  <c r="DV226" i="6"/>
  <c r="EF226" i="6"/>
  <c r="P211" i="6"/>
  <c r="N211" i="6"/>
  <c r="W211" i="6"/>
  <c r="O211" i="6"/>
  <c r="Y211" i="6" s="1"/>
  <c r="BR224" i="6"/>
  <c r="BQ224" i="6"/>
  <c r="CA224" i="6" s="1"/>
  <c r="BO225" i="6"/>
  <c r="BY225" i="6" s="1"/>
  <c r="BP225" i="6"/>
  <c r="BN225" i="6"/>
  <c r="BW225" i="6"/>
  <c r="Q209" i="6"/>
  <c r="R209" i="6"/>
  <c r="AA209" i="6" s="1"/>
  <c r="BQ196" i="6"/>
  <c r="BO211" i="6"/>
  <c r="BY211" i="6" s="1"/>
  <c r="CQ224" i="6"/>
  <c r="CR224" i="6"/>
  <c r="BR223" i="6"/>
  <c r="BQ223" i="6"/>
  <c r="DO211" i="6"/>
  <c r="DY211" i="6" s="1"/>
  <c r="DW211" i="6"/>
  <c r="DP211" i="6"/>
  <c r="DN211" i="6"/>
  <c r="CP225" i="6"/>
  <c r="CW225" i="6"/>
  <c r="CO225" i="6"/>
  <c r="CY225" i="6" s="1"/>
  <c r="CN225" i="6"/>
  <c r="BX210" i="6"/>
  <c r="CD210" i="6" s="1"/>
  <c r="AR210" i="6"/>
  <c r="BA210" i="6" s="1"/>
  <c r="CY210" i="6"/>
  <c r="DQ224" i="6"/>
  <c r="DR224" i="6"/>
  <c r="CW211" i="6"/>
  <c r="CO211" i="6"/>
  <c r="CY211" i="6" s="1"/>
  <c r="CP211" i="6"/>
  <c r="CN211" i="6"/>
  <c r="W225" i="6"/>
  <c r="P225" i="6"/>
  <c r="N225" i="6"/>
  <c r="O225" i="6"/>
  <c r="Y225" i="6" s="1"/>
  <c r="DW225" i="6"/>
  <c r="DP225" i="6"/>
  <c r="DO225" i="6"/>
  <c r="DY225" i="6" s="1"/>
  <c r="DN225" i="6"/>
  <c r="CQ167" i="6"/>
  <c r="AB196" i="6"/>
  <c r="BP169" i="6"/>
  <c r="AR167" i="6"/>
  <c r="CN197" i="6"/>
  <c r="CQ197" i="6" s="1"/>
  <c r="CO197" i="6"/>
  <c r="CY197" i="6" s="1"/>
  <c r="BM184" i="6"/>
  <c r="BN184" i="6" s="1"/>
  <c r="W197" i="6"/>
  <c r="Z197" i="6" s="1"/>
  <c r="BN197" i="6"/>
  <c r="BQ197" i="6" s="1"/>
  <c r="CP197" i="6"/>
  <c r="BO169" i="6"/>
  <c r="BY169" i="6" s="1"/>
  <c r="BN169" i="6"/>
  <c r="BQ169" i="6" s="1"/>
  <c r="CM184" i="6"/>
  <c r="CN184" i="6" s="1"/>
  <c r="AP169" i="6"/>
  <c r="AW197" i="6"/>
  <c r="AZ197" i="6" s="1"/>
  <c r="DX154" i="6"/>
  <c r="ED154" i="6" s="1"/>
  <c r="ED153" i="6"/>
  <c r="CZ182" i="6"/>
  <c r="AB182" i="6"/>
  <c r="X195" i="6"/>
  <c r="AD195" i="6" s="1"/>
  <c r="B173" i="6"/>
  <c r="BG172" i="6"/>
  <c r="DG172" i="6"/>
  <c r="G172" i="6"/>
  <c r="AG172" i="6"/>
  <c r="CG172" i="6"/>
  <c r="G159" i="6"/>
  <c r="BG159" i="6"/>
  <c r="AG159" i="6"/>
  <c r="DG159" i="6"/>
  <c r="CG159" i="6"/>
  <c r="B160" i="6"/>
  <c r="CQ168" i="6"/>
  <c r="DA168" i="6" s="1"/>
  <c r="CZ197" i="6"/>
  <c r="DO183" i="6"/>
  <c r="DY183" i="6" s="1"/>
  <c r="Q182" i="6"/>
  <c r="CZ168" i="6"/>
  <c r="AQ182" i="6"/>
  <c r="BR195" i="6"/>
  <c r="CC195" i="6" s="1"/>
  <c r="DR167" i="6"/>
  <c r="BZ168" i="6"/>
  <c r="BR181" i="6"/>
  <c r="BX181" i="6" s="1"/>
  <c r="BQ168" i="6"/>
  <c r="CR182" i="6"/>
  <c r="CX182" i="6"/>
  <c r="AQ155" i="6"/>
  <c r="BC155" i="6" s="1"/>
  <c r="CC154" i="6"/>
  <c r="BX154" i="6"/>
  <c r="BC154" i="6"/>
  <c r="AX154" i="6"/>
  <c r="BB155" i="6"/>
  <c r="AZ155" i="6"/>
  <c r="DP183" i="6"/>
  <c r="DM184" i="6"/>
  <c r="DP184" i="6" s="1"/>
  <c r="DZ181" i="6"/>
  <c r="EB181" i="6"/>
  <c r="EB182" i="6"/>
  <c r="DZ182" i="6"/>
  <c r="DY195" i="6"/>
  <c r="DX195" i="6"/>
  <c r="EC154" i="6"/>
  <c r="DY181" i="6"/>
  <c r="DY182" i="6"/>
  <c r="EB183" i="6"/>
  <c r="DZ183" i="6"/>
  <c r="DZ196" i="6"/>
  <c r="EB196" i="6"/>
  <c r="DY196" i="6"/>
  <c r="EB195" i="6"/>
  <c r="DZ195" i="6"/>
  <c r="DY155" i="6"/>
  <c r="CZ195" i="6"/>
  <c r="DB195" i="6"/>
  <c r="BW156" i="6"/>
  <c r="CP169" i="6"/>
  <c r="AM198" i="6"/>
  <c r="AO198" i="6" s="1"/>
  <c r="AY198" i="6" s="1"/>
  <c r="BO156" i="6"/>
  <c r="BY156" i="6" s="1"/>
  <c r="CN169" i="6"/>
  <c r="AO169" i="6"/>
  <c r="AY169" i="6" s="1"/>
  <c r="M198" i="6"/>
  <c r="P198" i="6" s="1"/>
  <c r="R155" i="6"/>
  <c r="AA155" i="6" s="1"/>
  <c r="Q155" i="6"/>
  <c r="CX195" i="6"/>
  <c r="DN183" i="6"/>
  <c r="DQ183" i="6" s="1"/>
  <c r="BB196" i="6"/>
  <c r="AZ196" i="6"/>
  <c r="Q167" i="6"/>
  <c r="R167" i="6"/>
  <c r="AA167" i="6" s="1"/>
  <c r="DR155" i="6"/>
  <c r="DQ155" i="6"/>
  <c r="AX196" i="6"/>
  <c r="BC196" i="6"/>
  <c r="AR195" i="6"/>
  <c r="BA195" i="6" s="1"/>
  <c r="AQ195" i="6"/>
  <c r="DR168" i="6"/>
  <c r="DQ168" i="6"/>
  <c r="W169" i="6"/>
  <c r="N169" i="6"/>
  <c r="O169" i="6"/>
  <c r="Y169" i="6" s="1"/>
  <c r="Q168" i="6"/>
  <c r="R168" i="6"/>
  <c r="AA168" i="6" s="1"/>
  <c r="P197" i="6"/>
  <c r="AN197" i="6"/>
  <c r="DR196" i="6"/>
  <c r="DQ196" i="6"/>
  <c r="BM198" i="6"/>
  <c r="BN198" i="6" s="1"/>
  <c r="DW197" i="6"/>
  <c r="BP197" i="6"/>
  <c r="DN197" i="6"/>
  <c r="BW197" i="6"/>
  <c r="DP197" i="6"/>
  <c r="M184" i="6"/>
  <c r="P184" i="6" s="1"/>
  <c r="CM198" i="6"/>
  <c r="CN198" i="6" s="1"/>
  <c r="DM198" i="6"/>
  <c r="DN198" i="6" s="1"/>
  <c r="N197" i="6"/>
  <c r="AP197" i="6"/>
  <c r="DQ181" i="6"/>
  <c r="DR181" i="6"/>
  <c r="CO183" i="6"/>
  <c r="CN183" i="6"/>
  <c r="CP183" i="6"/>
  <c r="CW183" i="6"/>
  <c r="AZ181" i="6"/>
  <c r="BB181" i="6"/>
  <c r="DR182" i="6"/>
  <c r="DQ182" i="6"/>
  <c r="K185" i="6"/>
  <c r="L185" i="6"/>
  <c r="U185" i="6"/>
  <c r="V185" i="6" s="1"/>
  <c r="S185" i="6"/>
  <c r="T185" i="6" s="1"/>
  <c r="BL185" i="6"/>
  <c r="BU185" i="6"/>
  <c r="BV185" i="6" s="1"/>
  <c r="BK185" i="6"/>
  <c r="BS185" i="6"/>
  <c r="BT185" i="6" s="1"/>
  <c r="DS185" i="6"/>
  <c r="DT185" i="6" s="1"/>
  <c r="DU185" i="6"/>
  <c r="DV185" i="6" s="1"/>
  <c r="DL185" i="6"/>
  <c r="DK185" i="6"/>
  <c r="DU199" i="6"/>
  <c r="DV199" i="6" s="1"/>
  <c r="DS199" i="6"/>
  <c r="DT199" i="6" s="1"/>
  <c r="DK199" i="6"/>
  <c r="DL199" i="6"/>
  <c r="BS199" i="6"/>
  <c r="BT199" i="6" s="1"/>
  <c r="BU199" i="6"/>
  <c r="BV199" i="6" s="1"/>
  <c r="BL199" i="6"/>
  <c r="BK199" i="6"/>
  <c r="CH200" i="6"/>
  <c r="CI200" i="6" s="1"/>
  <c r="C201" i="6"/>
  <c r="BH200" i="6"/>
  <c r="BI200" i="6" s="1"/>
  <c r="AH200" i="6"/>
  <c r="AI200" i="6" s="1"/>
  <c r="H200" i="6"/>
  <c r="I200" i="6" s="1"/>
  <c r="DH200" i="6"/>
  <c r="DI200" i="6" s="1"/>
  <c r="EA200" i="6" s="1"/>
  <c r="CC181" i="6"/>
  <c r="CZ181" i="6"/>
  <c r="DB181" i="6"/>
  <c r="BR182" i="6"/>
  <c r="BQ182" i="6"/>
  <c r="CA182" i="6" s="1"/>
  <c r="AP183" i="6"/>
  <c r="AO183" i="6"/>
  <c r="AY183" i="6" s="1"/>
  <c r="AN183" i="6"/>
  <c r="AW183" i="6"/>
  <c r="AM184" i="6"/>
  <c r="CC153" i="6"/>
  <c r="BX153" i="6"/>
  <c r="AR181" i="6"/>
  <c r="BA181" i="6" s="1"/>
  <c r="AQ181" i="6"/>
  <c r="AU185" i="6"/>
  <c r="AV185" i="6" s="1"/>
  <c r="AK185" i="6"/>
  <c r="AL185" i="6"/>
  <c r="AS185" i="6"/>
  <c r="AT185" i="6" s="1"/>
  <c r="CL185" i="6"/>
  <c r="CU185" i="6"/>
  <c r="CV185" i="6" s="1"/>
  <c r="CK185" i="6"/>
  <c r="CS185" i="6"/>
  <c r="CT185" i="6" s="1"/>
  <c r="C187" i="6"/>
  <c r="H186" i="6"/>
  <c r="I186" i="6" s="1"/>
  <c r="AH186" i="6"/>
  <c r="AI186" i="6" s="1"/>
  <c r="DH186" i="6"/>
  <c r="DI186" i="6" s="1"/>
  <c r="EA186" i="6" s="1"/>
  <c r="BH186" i="6"/>
  <c r="BI186" i="6" s="1"/>
  <c r="CH186" i="6"/>
  <c r="CI186" i="6" s="1"/>
  <c r="EF186" i="6"/>
  <c r="DC182" i="6"/>
  <c r="L199" i="6"/>
  <c r="K199" i="6"/>
  <c r="U199" i="6"/>
  <c r="V199" i="6" s="1"/>
  <c r="S199" i="6"/>
  <c r="T199" i="6" s="1"/>
  <c r="CS199" i="6"/>
  <c r="CT199" i="6" s="1"/>
  <c r="CK199" i="6"/>
  <c r="CL199" i="6"/>
  <c r="CU199" i="6"/>
  <c r="CV199" i="6" s="1"/>
  <c r="AS199" i="6"/>
  <c r="AT199" i="6" s="1"/>
  <c r="AU199" i="6"/>
  <c r="AV199" i="6" s="1"/>
  <c r="AK199" i="6"/>
  <c r="AL199" i="6"/>
  <c r="AX182" i="6"/>
  <c r="BC182" i="6"/>
  <c r="AC196" i="6"/>
  <c r="X196" i="6"/>
  <c r="BX195" i="6"/>
  <c r="CY181" i="6"/>
  <c r="CQ181" i="6"/>
  <c r="CR181" i="6"/>
  <c r="BO183" i="6"/>
  <c r="BY183" i="6" s="1"/>
  <c r="BW183" i="6"/>
  <c r="BP183" i="6"/>
  <c r="BN183" i="6"/>
  <c r="O183" i="6"/>
  <c r="Y183" i="6" s="1"/>
  <c r="W183" i="6"/>
  <c r="N183" i="6"/>
  <c r="P183" i="6"/>
  <c r="R181" i="6"/>
  <c r="AA181" i="6" s="1"/>
  <c r="Q181" i="6"/>
  <c r="Z181" i="6"/>
  <c r="AB181" i="6"/>
  <c r="CB182" i="6"/>
  <c r="BZ182" i="6"/>
  <c r="DW156" i="6"/>
  <c r="AP156" i="6"/>
  <c r="BR156" i="6"/>
  <c r="BQ156" i="6"/>
  <c r="BP156" i="6"/>
  <c r="CO169" i="6"/>
  <c r="CY169" i="6" s="1"/>
  <c r="AW169" i="6"/>
  <c r="AW156" i="6"/>
  <c r="DN156" i="6"/>
  <c r="N156" i="6"/>
  <c r="CR155" i="6"/>
  <c r="CQ155" i="6"/>
  <c r="DA155" i="6" s="1"/>
  <c r="AQ156" i="6"/>
  <c r="AR156" i="6"/>
  <c r="AO156" i="6"/>
  <c r="AY156" i="6" s="1"/>
  <c r="CZ155" i="6"/>
  <c r="DB155" i="6"/>
  <c r="DP156" i="6"/>
  <c r="CP156" i="6"/>
  <c r="DP169" i="6"/>
  <c r="BZ155" i="6"/>
  <c r="CB155" i="6"/>
  <c r="Z155" i="6"/>
  <c r="AB155" i="6"/>
  <c r="CW156" i="6"/>
  <c r="W156" i="6"/>
  <c r="DN169" i="6"/>
  <c r="BQ155" i="6"/>
  <c r="CA155" i="6" s="1"/>
  <c r="BR155" i="6"/>
  <c r="BR167" i="6"/>
  <c r="BQ167" i="6"/>
  <c r="CA167" i="6" s="1"/>
  <c r="CN156" i="6"/>
  <c r="P156" i="6"/>
  <c r="DW169" i="6"/>
  <c r="CX153" i="6"/>
  <c r="DC153" i="6"/>
  <c r="X153" i="6"/>
  <c r="AC153" i="6"/>
  <c r="AQ168" i="6"/>
  <c r="AR168" i="6"/>
  <c r="BA168" i="6" s="1"/>
  <c r="BU158" i="6"/>
  <c r="BK158" i="6"/>
  <c r="BL158" i="6"/>
  <c r="BS158" i="6"/>
  <c r="BT158" i="6" s="1"/>
  <c r="DK158" i="6"/>
  <c r="DL158" i="6"/>
  <c r="DS158" i="6"/>
  <c r="DT158" i="6" s="1"/>
  <c r="DU158" i="6"/>
  <c r="CS158" i="6"/>
  <c r="CT158" i="6" s="1"/>
  <c r="CK158" i="6"/>
  <c r="CL158" i="6"/>
  <c r="CU158" i="6"/>
  <c r="AT170" i="6"/>
  <c r="CU171" i="6"/>
  <c r="CK171" i="6"/>
  <c r="CL171" i="6"/>
  <c r="CS171" i="6"/>
  <c r="U171" i="6"/>
  <c r="S171" i="6"/>
  <c r="L171" i="6"/>
  <c r="K171" i="6"/>
  <c r="AH172" i="6"/>
  <c r="AI172" i="6" s="1"/>
  <c r="C173" i="6"/>
  <c r="CH172" i="6"/>
  <c r="CI172" i="6" s="1"/>
  <c r="H172" i="6"/>
  <c r="I172" i="6" s="1"/>
  <c r="BH172" i="6"/>
  <c r="BI172" i="6" s="1"/>
  <c r="DH172" i="6"/>
  <c r="DI172" i="6" s="1"/>
  <c r="EA172" i="6" s="1"/>
  <c r="DB169" i="6"/>
  <c r="CZ169" i="6"/>
  <c r="AR169" i="6"/>
  <c r="AQ169" i="6"/>
  <c r="AS158" i="6"/>
  <c r="AT158" i="6" s="1"/>
  <c r="AL158" i="6"/>
  <c r="AK158" i="6"/>
  <c r="AU158" i="6"/>
  <c r="S158" i="6"/>
  <c r="T158" i="6" s="1"/>
  <c r="U158" i="6"/>
  <c r="K158" i="6"/>
  <c r="L158" i="6"/>
  <c r="C160" i="6"/>
  <c r="AH159" i="6"/>
  <c r="AI159" i="6" s="1"/>
  <c r="DH159" i="6"/>
  <c r="DI159" i="6" s="1"/>
  <c r="EA159" i="6" s="1"/>
  <c r="BH159" i="6"/>
  <c r="BI159" i="6" s="1"/>
  <c r="H159" i="6"/>
  <c r="I159" i="6" s="1"/>
  <c r="CH159" i="6"/>
  <c r="CI159" i="6" s="1"/>
  <c r="BK171" i="6"/>
  <c r="BS171" i="6"/>
  <c r="BT171" i="6" s="1"/>
  <c r="BL171" i="6"/>
  <c r="BU171" i="6"/>
  <c r="AS171" i="6"/>
  <c r="AL171" i="6"/>
  <c r="AK171" i="6"/>
  <c r="AU171" i="6"/>
  <c r="DS171" i="6"/>
  <c r="DT171" i="6" s="1"/>
  <c r="DU171" i="6"/>
  <c r="DL171" i="6"/>
  <c r="DK171" i="6"/>
  <c r="BT170" i="6"/>
  <c r="CB169" i="6"/>
  <c r="BZ169" i="6"/>
  <c r="CJ200" i="6"/>
  <c r="EF201" i="6"/>
  <c r="J200" i="6"/>
  <c r="DJ200" i="6"/>
  <c r="BJ200" i="6"/>
  <c r="AJ200" i="6"/>
  <c r="AJ188" i="6"/>
  <c r="BJ188" i="6"/>
  <c r="J188" i="6"/>
  <c r="CJ188" i="6"/>
  <c r="DJ188" i="6"/>
  <c r="BA223" i="6" l="1"/>
  <c r="DA224" i="6"/>
  <c r="DB224" i="6"/>
  <c r="R224" i="6"/>
  <c r="AA224" i="6" s="1"/>
  <c r="DR223" i="6"/>
  <c r="BX209" i="6"/>
  <c r="CD209" i="6" s="1"/>
  <c r="DQ209" i="6"/>
  <c r="CA223" i="6"/>
  <c r="CA209" i="6"/>
  <c r="X154" i="6"/>
  <c r="AC154" i="6"/>
  <c r="BR209" i="6"/>
  <c r="CA156" i="6"/>
  <c r="CA169" i="6"/>
  <c r="BC224" i="6"/>
  <c r="CA197" i="6"/>
  <c r="AR153" i="6"/>
  <c r="AQ153" i="6"/>
  <c r="BB153" i="6"/>
  <c r="AZ153" i="6"/>
  <c r="CX181" i="6"/>
  <c r="DD181" i="6" s="1"/>
  <c r="DA181" i="6"/>
  <c r="CX167" i="6"/>
  <c r="DD167" i="6" s="1"/>
  <c r="DA167" i="6"/>
  <c r="BC211" i="6"/>
  <c r="BA211" i="6"/>
  <c r="CX210" i="6"/>
  <c r="DD210" i="6" s="1"/>
  <c r="DA210" i="6"/>
  <c r="BX168" i="6"/>
  <c r="CD168" i="6" s="1"/>
  <c r="CA168" i="6"/>
  <c r="BA156" i="6"/>
  <c r="DC197" i="6"/>
  <c r="DA197" i="6"/>
  <c r="CC196" i="6"/>
  <c r="CA196" i="6"/>
  <c r="DC196" i="6"/>
  <c r="DA196" i="6"/>
  <c r="BC167" i="6"/>
  <c r="BA167" i="6"/>
  <c r="BA169" i="6"/>
  <c r="CV158" i="6"/>
  <c r="DV158" i="6"/>
  <c r="AV158" i="6"/>
  <c r="EB211" i="6"/>
  <c r="DZ211" i="6"/>
  <c r="DX209" i="6"/>
  <c r="ED209" i="6" s="1"/>
  <c r="EC209" i="6"/>
  <c r="DZ225" i="6"/>
  <c r="EB225" i="6"/>
  <c r="V158" i="6"/>
  <c r="DX224" i="6"/>
  <c r="ED224" i="6" s="1"/>
  <c r="EC224" i="6"/>
  <c r="DX223" i="6"/>
  <c r="ED223" i="6" s="1"/>
  <c r="EC223" i="6"/>
  <c r="BV158" i="6"/>
  <c r="A159" i="6"/>
  <c r="EF158" i="6"/>
  <c r="AJ158" i="6"/>
  <c r="AM158" i="6" s="1"/>
  <c r="AO158" i="6" s="1"/>
  <c r="AY158" i="6" s="1"/>
  <c r="J158" i="6"/>
  <c r="M158" i="6" s="1"/>
  <c r="O158" i="6" s="1"/>
  <c r="Y158" i="6" s="1"/>
  <c r="DJ158" i="6"/>
  <c r="DM158" i="6" s="1"/>
  <c r="DO158" i="6" s="1"/>
  <c r="DY158" i="6" s="1"/>
  <c r="BJ158" i="6"/>
  <c r="BM158" i="6" s="1"/>
  <c r="BN158" i="6" s="1"/>
  <c r="CJ158" i="6"/>
  <c r="AV171" i="6"/>
  <c r="BV171" i="6"/>
  <c r="V171" i="6"/>
  <c r="CV171" i="6"/>
  <c r="CX209" i="6"/>
  <c r="DD209" i="6" s="1"/>
  <c r="DV171" i="6"/>
  <c r="A172" i="6"/>
  <c r="J171" i="6"/>
  <c r="M171" i="6" s="1"/>
  <c r="O171" i="6" s="1"/>
  <c r="Y171" i="6" s="1"/>
  <c r="BJ171" i="6"/>
  <c r="BM171" i="6" s="1"/>
  <c r="EF171" i="6"/>
  <c r="CJ171" i="6"/>
  <c r="CM171" i="6" s="1"/>
  <c r="CO171" i="6" s="1"/>
  <c r="CY171" i="6" s="1"/>
  <c r="AJ171" i="6"/>
  <c r="AM171" i="6" s="1"/>
  <c r="DJ171" i="6"/>
  <c r="DM171" i="6" s="1"/>
  <c r="AX211" i="6"/>
  <c r="BD211" i="6" s="1"/>
  <c r="AQ211" i="6"/>
  <c r="CX196" i="6"/>
  <c r="DD196" i="6" s="1"/>
  <c r="DC209" i="6"/>
  <c r="BX196" i="6"/>
  <c r="CD196" i="6" s="1"/>
  <c r="AX224" i="6"/>
  <c r="BD224" i="6" s="1"/>
  <c r="AX223" i="6"/>
  <c r="BD223" i="6" s="1"/>
  <c r="BC223" i="6"/>
  <c r="AX210" i="6"/>
  <c r="BD210" i="6" s="1"/>
  <c r="BC210" i="6"/>
  <c r="DB225" i="6"/>
  <c r="CZ225" i="6"/>
  <c r="X209" i="6"/>
  <c r="AD209" i="6" s="1"/>
  <c r="AC209" i="6"/>
  <c r="AC210" i="6"/>
  <c r="X224" i="6"/>
  <c r="AD224" i="6" s="1"/>
  <c r="AC224" i="6"/>
  <c r="BB225" i="6"/>
  <c r="AZ225" i="6"/>
  <c r="AX209" i="6"/>
  <c r="BD209" i="6" s="1"/>
  <c r="BC209" i="6"/>
  <c r="AB211" i="6"/>
  <c r="Z211" i="6"/>
  <c r="CX223" i="6"/>
  <c r="DD223" i="6" s="1"/>
  <c r="DC223" i="6"/>
  <c r="BX223" i="6"/>
  <c r="CD223" i="6" s="1"/>
  <c r="CC223" i="6"/>
  <c r="BZ225" i="6"/>
  <c r="CB225" i="6"/>
  <c r="BX224" i="6"/>
  <c r="CD224" i="6" s="1"/>
  <c r="CC224" i="6"/>
  <c r="Z225" i="6"/>
  <c r="AB225" i="6"/>
  <c r="CZ211" i="6"/>
  <c r="DB211" i="6"/>
  <c r="BZ211" i="6"/>
  <c r="CB211" i="6"/>
  <c r="DC210" i="6"/>
  <c r="DC224" i="6"/>
  <c r="CX224" i="6"/>
  <c r="DD224" i="6" s="1"/>
  <c r="A214" i="6"/>
  <c r="DV213" i="6"/>
  <c r="AV213" i="6"/>
  <c r="CJ213" i="6"/>
  <c r="CM213" i="6" s="1"/>
  <c r="EF213" i="6"/>
  <c r="AJ213" i="6"/>
  <c r="AM213" i="6" s="1"/>
  <c r="J213" i="6"/>
  <c r="M213" i="6" s="1"/>
  <c r="CV213" i="6"/>
  <c r="BV213" i="6"/>
  <c r="DJ213" i="6"/>
  <c r="DM213" i="6" s="1"/>
  <c r="V213" i="6"/>
  <c r="BJ213" i="6"/>
  <c r="BM213" i="6" s="1"/>
  <c r="CQ225" i="6"/>
  <c r="DA225" i="6" s="1"/>
  <c r="CR225" i="6"/>
  <c r="DQ211" i="6"/>
  <c r="DR211" i="6"/>
  <c r="R211" i="6"/>
  <c r="AA211" i="6" s="1"/>
  <c r="Q211" i="6"/>
  <c r="N226" i="6"/>
  <c r="O226" i="6"/>
  <c r="Y226" i="6" s="1"/>
  <c r="W226" i="6"/>
  <c r="P226" i="6"/>
  <c r="CW226" i="6"/>
  <c r="CN226" i="6"/>
  <c r="CO226" i="6"/>
  <c r="CY226" i="6" s="1"/>
  <c r="CP226" i="6"/>
  <c r="W212" i="6"/>
  <c r="O212" i="6"/>
  <c r="Y212" i="6" s="1"/>
  <c r="N212" i="6"/>
  <c r="P212" i="6"/>
  <c r="AR225" i="6"/>
  <c r="BA225" i="6" s="1"/>
  <c r="AQ225" i="6"/>
  <c r="DR225" i="6"/>
  <c r="DQ225" i="6"/>
  <c r="CR211" i="6"/>
  <c r="CQ211" i="6"/>
  <c r="BQ225" i="6"/>
  <c r="CA225" i="6" s="1"/>
  <c r="BR225" i="6"/>
  <c r="A228" i="6"/>
  <c r="DJ227" i="6"/>
  <c r="DM227" i="6" s="1"/>
  <c r="BV227" i="6"/>
  <c r="AV227" i="6"/>
  <c r="BJ227" i="6"/>
  <c r="BM227" i="6" s="1"/>
  <c r="J227" i="6"/>
  <c r="M227" i="6" s="1"/>
  <c r="DV227" i="6"/>
  <c r="V227" i="6"/>
  <c r="CJ227" i="6"/>
  <c r="CM227" i="6" s="1"/>
  <c r="AJ227" i="6"/>
  <c r="AM227" i="6" s="1"/>
  <c r="CV227" i="6"/>
  <c r="EF227" i="6"/>
  <c r="BO226" i="6"/>
  <c r="BY226" i="6" s="1"/>
  <c r="BN226" i="6"/>
  <c r="BW226" i="6"/>
  <c r="BP226" i="6"/>
  <c r="DW226" i="6"/>
  <c r="DN226" i="6"/>
  <c r="DP226" i="6"/>
  <c r="DO226" i="6"/>
  <c r="DY226" i="6" s="1"/>
  <c r="AW212" i="6"/>
  <c r="AO212" i="6"/>
  <c r="AY212" i="6" s="1"/>
  <c r="AP212" i="6"/>
  <c r="AN212" i="6"/>
  <c r="BO212" i="6"/>
  <c r="BY212" i="6" s="1"/>
  <c r="BN212" i="6"/>
  <c r="BP212" i="6"/>
  <c r="BW212" i="6"/>
  <c r="R225" i="6"/>
  <c r="AA225" i="6" s="1"/>
  <c r="Q225" i="6"/>
  <c r="AP226" i="6"/>
  <c r="AN226" i="6"/>
  <c r="AW226" i="6"/>
  <c r="AO226" i="6"/>
  <c r="AY226" i="6" s="1"/>
  <c r="X210" i="6"/>
  <c r="AD210" i="6" s="1"/>
  <c r="DW212" i="6"/>
  <c r="DO212" i="6"/>
  <c r="DY212" i="6" s="1"/>
  <c r="DP212" i="6"/>
  <c r="DN212" i="6"/>
  <c r="CW212" i="6"/>
  <c r="CO212" i="6"/>
  <c r="CY212" i="6" s="1"/>
  <c r="CP212" i="6"/>
  <c r="CN212" i="6"/>
  <c r="BR211" i="6"/>
  <c r="BQ211" i="6"/>
  <c r="CA211" i="6" s="1"/>
  <c r="DC167" i="6"/>
  <c r="CC156" i="6"/>
  <c r="AC182" i="6"/>
  <c r="BP184" i="6"/>
  <c r="BB197" i="6"/>
  <c r="CW184" i="6"/>
  <c r="CZ184" i="6" s="1"/>
  <c r="CP184" i="6"/>
  <c r="BR197" i="6"/>
  <c r="CR197" i="6"/>
  <c r="DN157" i="6"/>
  <c r="DQ157" i="6" s="1"/>
  <c r="AW157" i="6"/>
  <c r="BB157" i="6" s="1"/>
  <c r="CX197" i="6"/>
  <c r="DD197" i="6" s="1"/>
  <c r="AB197" i="6"/>
  <c r="AX167" i="6"/>
  <c r="BD167" i="6" s="1"/>
  <c r="DP170" i="6"/>
  <c r="BO184" i="6"/>
  <c r="BY184" i="6" s="1"/>
  <c r="BX169" i="6"/>
  <c r="CD169" i="6" s="1"/>
  <c r="DN170" i="6"/>
  <c r="DQ170" i="6" s="1"/>
  <c r="BW157" i="6"/>
  <c r="BZ157" i="6" s="1"/>
  <c r="BW184" i="6"/>
  <c r="CB184" i="6" s="1"/>
  <c r="DW170" i="6"/>
  <c r="BR169" i="6"/>
  <c r="CC169" i="6" s="1"/>
  <c r="N157" i="6"/>
  <c r="Q157" i="6" s="1"/>
  <c r="BM185" i="6"/>
  <c r="BW185" i="6" s="1"/>
  <c r="CO184" i="6"/>
  <c r="CY184" i="6" s="1"/>
  <c r="CM185" i="6"/>
  <c r="CP185" i="6" s="1"/>
  <c r="DX182" i="6"/>
  <c r="ED182" i="6" s="1"/>
  <c r="DX167" i="6"/>
  <c r="ED167" i="6" s="1"/>
  <c r="EC167" i="6"/>
  <c r="AX156" i="6"/>
  <c r="AX155" i="6"/>
  <c r="BD155" i="6" s="1"/>
  <c r="X182" i="6"/>
  <c r="AD182" i="6" s="1"/>
  <c r="B174" i="6"/>
  <c r="AG173" i="6"/>
  <c r="DG173" i="6"/>
  <c r="G173" i="6"/>
  <c r="BG173" i="6"/>
  <c r="CG173" i="6"/>
  <c r="DC168" i="6"/>
  <c r="N198" i="6"/>
  <c r="Q198" i="6" s="1"/>
  <c r="G160" i="6"/>
  <c r="AG160" i="6"/>
  <c r="BG160" i="6"/>
  <c r="DG160" i="6"/>
  <c r="CG160" i="6"/>
  <c r="B161" i="6"/>
  <c r="CX168" i="6"/>
  <c r="DD168" i="6" s="1"/>
  <c r="CC168" i="6"/>
  <c r="BC156" i="6"/>
  <c r="W184" i="6"/>
  <c r="Z184" i="6" s="1"/>
  <c r="DO184" i="6"/>
  <c r="DY184" i="6" s="1"/>
  <c r="CD181" i="6"/>
  <c r="AD154" i="6"/>
  <c r="BD154" i="6"/>
  <c r="DD195" i="6"/>
  <c r="AD196" i="6"/>
  <c r="CD153" i="6"/>
  <c r="AD153" i="6"/>
  <c r="DD153" i="6"/>
  <c r="BD182" i="6"/>
  <c r="CD154" i="6"/>
  <c r="CD195" i="6"/>
  <c r="DD182" i="6"/>
  <c r="BX156" i="6"/>
  <c r="CO170" i="6"/>
  <c r="CY170" i="6" s="1"/>
  <c r="DN184" i="6"/>
  <c r="DR184" i="6" s="1"/>
  <c r="DR183" i="6"/>
  <c r="CN170" i="6"/>
  <c r="CR170" i="6" s="1"/>
  <c r="CP170" i="6"/>
  <c r="BD196" i="6"/>
  <c r="ED195" i="6"/>
  <c r="DW184" i="6"/>
  <c r="DZ184" i="6" s="1"/>
  <c r="N184" i="6"/>
  <c r="Q184" i="6" s="1"/>
  <c r="O184" i="6"/>
  <c r="Y184" i="6" s="1"/>
  <c r="EC157" i="6"/>
  <c r="DZ169" i="6"/>
  <c r="EB169" i="6"/>
  <c r="EB156" i="6"/>
  <c r="DZ156" i="6"/>
  <c r="EC183" i="6"/>
  <c r="EC181" i="6"/>
  <c r="EC168" i="6"/>
  <c r="DX168" i="6"/>
  <c r="ED168" i="6" s="1"/>
  <c r="DX181" i="6"/>
  <c r="ED181" i="6" s="1"/>
  <c r="DZ170" i="6"/>
  <c r="EB170" i="6"/>
  <c r="DZ157" i="6"/>
  <c r="EB157" i="6"/>
  <c r="EC182" i="6"/>
  <c r="DZ197" i="6"/>
  <c r="EB197" i="6"/>
  <c r="EC196" i="6"/>
  <c r="EC155" i="6"/>
  <c r="DX155" i="6"/>
  <c r="ED155" i="6" s="1"/>
  <c r="DX196" i="6"/>
  <c r="ED196" i="6" s="1"/>
  <c r="DX183" i="6"/>
  <c r="ED183" i="6" s="1"/>
  <c r="CB156" i="6"/>
  <c r="BZ156" i="6"/>
  <c r="DM199" i="6"/>
  <c r="DW199" i="6" s="1"/>
  <c r="AN198" i="6"/>
  <c r="AW198" i="6"/>
  <c r="O198" i="6"/>
  <c r="Y198" i="6" s="1"/>
  <c r="AP198" i="6"/>
  <c r="CQ169" i="6"/>
  <c r="DA169" i="6" s="1"/>
  <c r="CR169" i="6"/>
  <c r="W198" i="6"/>
  <c r="X167" i="6"/>
  <c r="AC167" i="6"/>
  <c r="AC155" i="6"/>
  <c r="X155" i="6"/>
  <c r="BZ197" i="6"/>
  <c r="CB197" i="6"/>
  <c r="AB169" i="6"/>
  <c r="Z169" i="6"/>
  <c r="AX195" i="6"/>
  <c r="BC195" i="6"/>
  <c r="CW198" i="6"/>
  <c r="BP198" i="6"/>
  <c r="BO198" i="6"/>
  <c r="BY198" i="6" s="1"/>
  <c r="BW198" i="6"/>
  <c r="BQ198" i="6"/>
  <c r="BR198" i="6"/>
  <c r="X168" i="6"/>
  <c r="AC168" i="6"/>
  <c r="DO198" i="6"/>
  <c r="Q169" i="6"/>
  <c r="R169" i="6"/>
  <c r="AA169" i="6" s="1"/>
  <c r="CP198" i="6"/>
  <c r="DW198" i="6"/>
  <c r="AQ197" i="6"/>
  <c r="AR197" i="6"/>
  <c r="BA197" i="6" s="1"/>
  <c r="CQ198" i="6"/>
  <c r="CR198" i="6"/>
  <c r="BM199" i="6"/>
  <c r="BN199" i="6" s="1"/>
  <c r="DM185" i="6"/>
  <c r="DN185" i="6" s="1"/>
  <c r="M185" i="6"/>
  <c r="N185" i="6" s="1"/>
  <c r="CO198" i="6"/>
  <c r="CY198" i="6" s="1"/>
  <c r="DQ197" i="6"/>
  <c r="DR197" i="6"/>
  <c r="AM199" i="6"/>
  <c r="AW199" i="6" s="1"/>
  <c r="AZ199" i="6" s="1"/>
  <c r="DQ198" i="6"/>
  <c r="DR198" i="6"/>
  <c r="CM199" i="6"/>
  <c r="CO199" i="6" s="1"/>
  <c r="CY199" i="6" s="1"/>
  <c r="M199" i="6"/>
  <c r="W199" i="6" s="1"/>
  <c r="Z199" i="6" s="1"/>
  <c r="AM185" i="6"/>
  <c r="AO185" i="6" s="1"/>
  <c r="AY185" i="6" s="1"/>
  <c r="DP198" i="6"/>
  <c r="Q197" i="6"/>
  <c r="R197" i="6"/>
  <c r="AA197" i="6" s="1"/>
  <c r="AC181" i="6"/>
  <c r="X181" i="6"/>
  <c r="Q183" i="6"/>
  <c r="R183" i="6"/>
  <c r="AA183" i="6" s="1"/>
  <c r="DC181" i="6"/>
  <c r="CQ184" i="6"/>
  <c r="CR184" i="6"/>
  <c r="BS186" i="6"/>
  <c r="BT186" i="6" s="1"/>
  <c r="BK186" i="6"/>
  <c r="BL186" i="6"/>
  <c r="BU186" i="6"/>
  <c r="BV186" i="6" s="1"/>
  <c r="AS186" i="6"/>
  <c r="AT186" i="6" s="1"/>
  <c r="AL186" i="6"/>
  <c r="AU186" i="6"/>
  <c r="AV186" i="6" s="1"/>
  <c r="AK186" i="6"/>
  <c r="C188" i="6"/>
  <c r="CH187" i="6"/>
  <c r="CI187" i="6" s="1"/>
  <c r="AH187" i="6"/>
  <c r="AI187" i="6" s="1"/>
  <c r="DH187" i="6"/>
  <c r="DI187" i="6" s="1"/>
  <c r="EA187" i="6" s="1"/>
  <c r="H187" i="6"/>
  <c r="I187" i="6" s="1"/>
  <c r="BH187" i="6"/>
  <c r="BI187" i="6" s="1"/>
  <c r="EF187" i="6"/>
  <c r="BC181" i="6"/>
  <c r="AX181" i="6"/>
  <c r="BB183" i="6"/>
  <c r="AZ183" i="6"/>
  <c r="BX182" i="6"/>
  <c r="CC182" i="6"/>
  <c r="DL200" i="6"/>
  <c r="DS200" i="6"/>
  <c r="DT200" i="6" s="1"/>
  <c r="DK200" i="6"/>
  <c r="DU200" i="6"/>
  <c r="DV200" i="6" s="1"/>
  <c r="AS200" i="6"/>
  <c r="AT200" i="6" s="1"/>
  <c r="AU200" i="6"/>
  <c r="AV200" i="6" s="1"/>
  <c r="AL200" i="6"/>
  <c r="AK200" i="6"/>
  <c r="H201" i="6"/>
  <c r="I201" i="6" s="1"/>
  <c r="C202" i="6"/>
  <c r="AH201" i="6"/>
  <c r="AI201" i="6" s="1"/>
  <c r="BH201" i="6"/>
  <c r="BI201" i="6" s="1"/>
  <c r="CH201" i="6"/>
  <c r="CI201" i="6" s="1"/>
  <c r="DH201" i="6"/>
  <c r="DI201" i="6" s="1"/>
  <c r="EA201" i="6" s="1"/>
  <c r="CY183" i="6"/>
  <c r="BQ184" i="6"/>
  <c r="BR184" i="6"/>
  <c r="AB183" i="6"/>
  <c r="Z183" i="6"/>
  <c r="BR183" i="6"/>
  <c r="BQ183" i="6"/>
  <c r="CA183" i="6" s="1"/>
  <c r="CB183" i="6"/>
  <c r="BZ183" i="6"/>
  <c r="CS186" i="6"/>
  <c r="CT186" i="6" s="1"/>
  <c r="CK186" i="6"/>
  <c r="CL186" i="6"/>
  <c r="CU186" i="6"/>
  <c r="CV186" i="6" s="1"/>
  <c r="DU186" i="6"/>
  <c r="DV186" i="6" s="1"/>
  <c r="DK186" i="6"/>
  <c r="DS186" i="6"/>
  <c r="DT186" i="6" s="1"/>
  <c r="DL186" i="6"/>
  <c r="S186" i="6"/>
  <c r="T186" i="6" s="1"/>
  <c r="K186" i="6"/>
  <c r="L186" i="6"/>
  <c r="U186" i="6"/>
  <c r="V186" i="6" s="1"/>
  <c r="AO184" i="6"/>
  <c r="AY184" i="6" s="1"/>
  <c r="AW184" i="6"/>
  <c r="AP184" i="6"/>
  <c r="AN184" i="6"/>
  <c r="AR183" i="6"/>
  <c r="BA183" i="6" s="1"/>
  <c r="AQ183" i="6"/>
  <c r="U200" i="6"/>
  <c r="V200" i="6" s="1"/>
  <c r="L200" i="6"/>
  <c r="S200" i="6"/>
  <c r="T200" i="6" s="1"/>
  <c r="K200" i="6"/>
  <c r="BS200" i="6"/>
  <c r="BT200" i="6" s="1"/>
  <c r="BK200" i="6"/>
  <c r="BL200" i="6"/>
  <c r="BU200" i="6"/>
  <c r="BV200" i="6" s="1"/>
  <c r="CS200" i="6"/>
  <c r="CT200" i="6" s="1"/>
  <c r="CU200" i="6"/>
  <c r="CV200" i="6" s="1"/>
  <c r="CL200" i="6"/>
  <c r="CK200" i="6"/>
  <c r="DB183" i="6"/>
  <c r="CZ183" i="6"/>
  <c r="CQ183" i="6"/>
  <c r="DA183" i="6" s="1"/>
  <c r="CR183" i="6"/>
  <c r="AZ156" i="6"/>
  <c r="BB156" i="6"/>
  <c r="BB169" i="6"/>
  <c r="AZ169" i="6"/>
  <c r="AP157" i="6"/>
  <c r="DC155" i="6"/>
  <c r="CX155" i="6"/>
  <c r="Q156" i="6"/>
  <c r="R156" i="6"/>
  <c r="AA156" i="6" s="1"/>
  <c r="DR156" i="6"/>
  <c r="DQ156" i="6"/>
  <c r="BO157" i="6"/>
  <c r="BY157" i="6" s="1"/>
  <c r="AN157" i="6"/>
  <c r="CN157" i="6"/>
  <c r="AX168" i="6"/>
  <c r="BC168" i="6"/>
  <c r="BX167" i="6"/>
  <c r="CC167" i="6"/>
  <c r="BN157" i="6"/>
  <c r="DP157" i="6"/>
  <c r="CO157" i="6"/>
  <c r="CY157" i="6" s="1"/>
  <c r="P157" i="6"/>
  <c r="BX155" i="6"/>
  <c r="CC155" i="6"/>
  <c r="Z156" i="6"/>
  <c r="AB156" i="6"/>
  <c r="DR169" i="6"/>
  <c r="DQ169" i="6"/>
  <c r="CZ156" i="6"/>
  <c r="DB156" i="6"/>
  <c r="CZ157" i="6"/>
  <c r="DB157" i="6"/>
  <c r="AB157" i="6"/>
  <c r="Z157" i="6"/>
  <c r="CP157" i="6"/>
  <c r="O157" i="6"/>
  <c r="Y157" i="6" s="1"/>
  <c r="CR156" i="6"/>
  <c r="CQ156" i="6"/>
  <c r="DA156" i="6" s="1"/>
  <c r="CM158" i="6"/>
  <c r="CN158" i="6" s="1"/>
  <c r="DO157" i="6"/>
  <c r="AT171" i="6"/>
  <c r="AN170" i="6"/>
  <c r="AP170" i="6"/>
  <c r="AO170" i="6"/>
  <c r="AY170" i="6" s="1"/>
  <c r="AW170" i="6"/>
  <c r="CZ170" i="6"/>
  <c r="DB170" i="6"/>
  <c r="L159" i="6"/>
  <c r="K159" i="6"/>
  <c r="U159" i="6"/>
  <c r="S159" i="6"/>
  <c r="T159" i="6" s="1"/>
  <c r="DU159" i="6"/>
  <c r="DL159" i="6"/>
  <c r="DK159" i="6"/>
  <c r="DS159" i="6"/>
  <c r="DT159" i="6" s="1"/>
  <c r="C161" i="6"/>
  <c r="BH160" i="6"/>
  <c r="BI160" i="6" s="1"/>
  <c r="H160" i="6"/>
  <c r="I160" i="6" s="1"/>
  <c r="DH160" i="6"/>
  <c r="DI160" i="6" s="1"/>
  <c r="EA160" i="6" s="1"/>
  <c r="CH160" i="6"/>
  <c r="CI160" i="6" s="1"/>
  <c r="AH160" i="6"/>
  <c r="AI160" i="6" s="1"/>
  <c r="AX169" i="6"/>
  <c r="BC169" i="6"/>
  <c r="BL172" i="6"/>
  <c r="BU172" i="6"/>
  <c r="BS172" i="6"/>
  <c r="BK172" i="6"/>
  <c r="CS172" i="6"/>
  <c r="CT172" i="6" s="1"/>
  <c r="CU172" i="6"/>
  <c r="CK172" i="6"/>
  <c r="CL172" i="6"/>
  <c r="AU172" i="6"/>
  <c r="AS172" i="6"/>
  <c r="AT172" i="6" s="1"/>
  <c r="AL172" i="6"/>
  <c r="AK172" i="6"/>
  <c r="CK159" i="6"/>
  <c r="CU159" i="6"/>
  <c r="CS159" i="6"/>
  <c r="CT159" i="6" s="1"/>
  <c r="CL159" i="6"/>
  <c r="BS159" i="6"/>
  <c r="BT159" i="6" s="1"/>
  <c r="BL159" i="6"/>
  <c r="BK159" i="6"/>
  <c r="BU159" i="6"/>
  <c r="AK159" i="6"/>
  <c r="AL159" i="6"/>
  <c r="AS159" i="6"/>
  <c r="AT159" i="6" s="1"/>
  <c r="AU159" i="6"/>
  <c r="BW170" i="6"/>
  <c r="BO170" i="6"/>
  <c r="BN170" i="6"/>
  <c r="BP170" i="6"/>
  <c r="DL172" i="6"/>
  <c r="DU172" i="6"/>
  <c r="DS172" i="6"/>
  <c r="DT172" i="6" s="1"/>
  <c r="DK172" i="6"/>
  <c r="U172" i="6"/>
  <c r="S172" i="6"/>
  <c r="T172" i="6" s="1"/>
  <c r="L172" i="6"/>
  <c r="K172" i="6"/>
  <c r="DH173" i="6"/>
  <c r="DI173" i="6" s="1"/>
  <c r="EA173" i="6" s="1"/>
  <c r="C174" i="6"/>
  <c r="CH173" i="6"/>
  <c r="CI173" i="6" s="1"/>
  <c r="AH173" i="6"/>
  <c r="AI173" i="6" s="1"/>
  <c r="H173" i="6"/>
  <c r="I173" i="6" s="1"/>
  <c r="BH173" i="6"/>
  <c r="BI173" i="6" s="1"/>
  <c r="T171" i="6"/>
  <c r="CT171" i="6"/>
  <c r="P170" i="6"/>
  <c r="O170" i="6"/>
  <c r="Y170" i="6" s="1"/>
  <c r="N170" i="6"/>
  <c r="W170" i="6"/>
  <c r="J201" i="6"/>
  <c r="EF202" i="6"/>
  <c r="DJ201" i="6"/>
  <c r="AJ201" i="6"/>
  <c r="CJ201" i="6"/>
  <c r="BJ201" i="6"/>
  <c r="J189" i="6"/>
  <c r="BJ189" i="6"/>
  <c r="DJ189" i="6"/>
  <c r="AJ189" i="6"/>
  <c r="CJ189" i="6"/>
  <c r="CA184" i="6" l="1"/>
  <c r="DA184" i="6"/>
  <c r="CA198" i="6"/>
  <c r="BA153" i="6"/>
  <c r="AX153" i="6"/>
  <c r="BD153" i="6" s="1"/>
  <c r="EG153" i="6" s="1"/>
  <c r="EH153" i="6" s="1"/>
  <c r="EI153" i="6" s="1"/>
  <c r="BC153" i="6"/>
  <c r="DC198" i="6"/>
  <c r="DA198" i="6"/>
  <c r="CX211" i="6"/>
  <c r="DD211" i="6" s="1"/>
  <c r="DA211" i="6"/>
  <c r="V172" i="6"/>
  <c r="CV172" i="6"/>
  <c r="BV172" i="6"/>
  <c r="V159" i="6"/>
  <c r="CV159" i="6"/>
  <c r="EB226" i="6"/>
  <c r="DZ226" i="6"/>
  <c r="AV159" i="6"/>
  <c r="BV159" i="6"/>
  <c r="EB184" i="6"/>
  <c r="DZ212" i="6"/>
  <c r="EB212" i="6"/>
  <c r="EC225" i="6"/>
  <c r="DX225" i="6"/>
  <c r="ED225" i="6" s="1"/>
  <c r="DX211" i="6"/>
  <c r="ED211" i="6" s="1"/>
  <c r="EC211" i="6"/>
  <c r="DV159" i="6"/>
  <c r="A160" i="6"/>
  <c r="EF159" i="6"/>
  <c r="AJ159" i="6"/>
  <c r="AM159" i="6" s="1"/>
  <c r="AO159" i="6" s="1"/>
  <c r="AY159" i="6" s="1"/>
  <c r="J159" i="6"/>
  <c r="M159" i="6" s="1"/>
  <c r="N159" i="6" s="1"/>
  <c r="DJ159" i="6"/>
  <c r="DM159" i="6" s="1"/>
  <c r="DW159" i="6" s="1"/>
  <c r="CJ159" i="6"/>
  <c r="CM159" i="6" s="1"/>
  <c r="CP159" i="6" s="1"/>
  <c r="BJ159" i="6"/>
  <c r="BM159" i="6" s="1"/>
  <c r="BP159" i="6" s="1"/>
  <c r="DV172" i="6"/>
  <c r="AV172" i="6"/>
  <c r="A173" i="6"/>
  <c r="DJ172" i="6"/>
  <c r="DM172" i="6" s="1"/>
  <c r="DN172" i="6" s="1"/>
  <c r="CJ172" i="6"/>
  <c r="CM172" i="6" s="1"/>
  <c r="AJ172" i="6"/>
  <c r="AM172" i="6" s="1"/>
  <c r="AW172" i="6" s="1"/>
  <c r="J172" i="6"/>
  <c r="M172" i="6" s="1"/>
  <c r="W172" i="6" s="1"/>
  <c r="EF172" i="6"/>
  <c r="BJ172" i="6"/>
  <c r="BM172" i="6" s="1"/>
  <c r="BP172" i="6" s="1"/>
  <c r="DB184" i="6"/>
  <c r="EG209" i="6"/>
  <c r="EH209" i="6" s="1"/>
  <c r="EI209" i="6" s="1"/>
  <c r="EG210" i="6"/>
  <c r="EH210" i="6" s="1"/>
  <c r="EI210" i="6" s="1"/>
  <c r="EG224" i="6"/>
  <c r="EH224" i="6" s="1"/>
  <c r="EI224" i="6" s="1"/>
  <c r="BZ212" i="6"/>
  <c r="CB212" i="6"/>
  <c r="EG223" i="6"/>
  <c r="EH223" i="6" s="1"/>
  <c r="EI223" i="6" s="1"/>
  <c r="CB226" i="6"/>
  <c r="BZ226" i="6"/>
  <c r="BX225" i="6"/>
  <c r="CD225" i="6" s="1"/>
  <c r="CC225" i="6"/>
  <c r="AB226" i="6"/>
  <c r="Z226" i="6"/>
  <c r="X211" i="6"/>
  <c r="AD211" i="6" s="1"/>
  <c r="AC211" i="6"/>
  <c r="CX225" i="6"/>
  <c r="DD225" i="6" s="1"/>
  <c r="DC225" i="6"/>
  <c r="BX211" i="6"/>
  <c r="CD211" i="6" s="1"/>
  <c r="CC211" i="6"/>
  <c r="BB226" i="6"/>
  <c r="AZ226" i="6"/>
  <c r="X225" i="6"/>
  <c r="AD225" i="6" s="1"/>
  <c r="AC225" i="6"/>
  <c r="DC211" i="6"/>
  <c r="CZ212" i="6"/>
  <c r="DB212" i="6"/>
  <c r="BB212" i="6"/>
  <c r="AZ212" i="6"/>
  <c r="AX225" i="6"/>
  <c r="BD225" i="6" s="1"/>
  <c r="BC225" i="6"/>
  <c r="Z212" i="6"/>
  <c r="AB212" i="6"/>
  <c r="CZ226" i="6"/>
  <c r="DB226" i="6"/>
  <c r="AQ226" i="6"/>
  <c r="AR226" i="6"/>
  <c r="BA226" i="6" s="1"/>
  <c r="R226" i="6"/>
  <c r="AA226" i="6" s="1"/>
  <c r="Q226" i="6"/>
  <c r="CQ212" i="6"/>
  <c r="DA212" i="6" s="1"/>
  <c r="CR212" i="6"/>
  <c r="DQ212" i="6"/>
  <c r="DR212" i="6"/>
  <c r="AR212" i="6"/>
  <c r="BA212" i="6" s="1"/>
  <c r="AQ212" i="6"/>
  <c r="P213" i="6"/>
  <c r="N213" i="6"/>
  <c r="O213" i="6"/>
  <c r="Y213" i="6" s="1"/>
  <c r="W213" i="6"/>
  <c r="BW227" i="6"/>
  <c r="BN227" i="6"/>
  <c r="BO227" i="6"/>
  <c r="BY227" i="6" s="1"/>
  <c r="BP227" i="6"/>
  <c r="BP213" i="6"/>
  <c r="BN213" i="6"/>
  <c r="BO213" i="6"/>
  <c r="BY213" i="6" s="1"/>
  <c r="BW213" i="6"/>
  <c r="CP213" i="6"/>
  <c r="CN213" i="6"/>
  <c r="CW213" i="6"/>
  <c r="CO213" i="6"/>
  <c r="CY213" i="6" s="1"/>
  <c r="Q212" i="6"/>
  <c r="R212" i="6"/>
  <c r="AA212" i="6" s="1"/>
  <c r="DO213" i="6"/>
  <c r="DY213" i="6" s="1"/>
  <c r="DW213" i="6"/>
  <c r="DP213" i="6"/>
  <c r="DN213" i="6"/>
  <c r="AN213" i="6"/>
  <c r="AW213" i="6"/>
  <c r="AP213" i="6"/>
  <c r="AO213" i="6"/>
  <c r="AY213" i="6" s="1"/>
  <c r="CN227" i="6"/>
  <c r="CP227" i="6"/>
  <c r="CO227" i="6"/>
  <c r="CY227" i="6" s="1"/>
  <c r="CW227" i="6"/>
  <c r="BJ228" i="6"/>
  <c r="BM228" i="6" s="1"/>
  <c r="CJ228" i="6"/>
  <c r="CM228" i="6" s="1"/>
  <c r="BV228" i="6"/>
  <c r="CV228" i="6"/>
  <c r="A229" i="6"/>
  <c r="AV228" i="6"/>
  <c r="AJ228" i="6"/>
  <c r="AM228" i="6" s="1"/>
  <c r="DV228" i="6"/>
  <c r="EF228" i="6"/>
  <c r="V228" i="6"/>
  <c r="J228" i="6"/>
  <c r="M228" i="6" s="1"/>
  <c r="DJ228" i="6"/>
  <c r="DM228" i="6" s="1"/>
  <c r="BR212" i="6"/>
  <c r="BQ212" i="6"/>
  <c r="CA212" i="6" s="1"/>
  <c r="DR226" i="6"/>
  <c r="DQ226" i="6"/>
  <c r="BQ226" i="6"/>
  <c r="BR226" i="6"/>
  <c r="AP227" i="6"/>
  <c r="AW227" i="6"/>
  <c r="AN227" i="6"/>
  <c r="AO227" i="6"/>
  <c r="AY227" i="6" s="1"/>
  <c r="W227" i="6"/>
  <c r="O227" i="6"/>
  <c r="Y227" i="6" s="1"/>
  <c r="N227" i="6"/>
  <c r="P227" i="6"/>
  <c r="DW227" i="6"/>
  <c r="DP227" i="6"/>
  <c r="DO227" i="6"/>
  <c r="DY227" i="6" s="1"/>
  <c r="DN227" i="6"/>
  <c r="CQ226" i="6"/>
  <c r="DA226" i="6" s="1"/>
  <c r="CR226" i="6"/>
  <c r="EF214" i="6"/>
  <c r="CJ214" i="6"/>
  <c r="CM214" i="6" s="1"/>
  <c r="J214" i="6"/>
  <c r="M214" i="6" s="1"/>
  <c r="A215" i="6"/>
  <c r="DJ214" i="6"/>
  <c r="DM214" i="6" s="1"/>
  <c r="BV214" i="6"/>
  <c r="AJ214" i="6"/>
  <c r="AM214" i="6" s="1"/>
  <c r="AV214" i="6"/>
  <c r="DV214" i="6"/>
  <c r="BJ214" i="6"/>
  <c r="BM214" i="6" s="1"/>
  <c r="V214" i="6"/>
  <c r="CV214" i="6"/>
  <c r="BX197" i="6"/>
  <c r="CD197" i="6" s="1"/>
  <c r="CC197" i="6"/>
  <c r="AZ157" i="6"/>
  <c r="DR157" i="6"/>
  <c r="CX184" i="6"/>
  <c r="DR170" i="6"/>
  <c r="BO185" i="6"/>
  <c r="BY185" i="6" s="1"/>
  <c r="BZ184" i="6"/>
  <c r="CW185" i="6"/>
  <c r="CZ185" i="6" s="1"/>
  <c r="CN185" i="6"/>
  <c r="CQ185" i="6" s="1"/>
  <c r="CB157" i="6"/>
  <c r="BP185" i="6"/>
  <c r="BN185" i="6"/>
  <c r="BR185" i="6" s="1"/>
  <c r="R157" i="6"/>
  <c r="AN199" i="6"/>
  <c r="AR199" i="6" s="1"/>
  <c r="BP158" i="6"/>
  <c r="CO185" i="6"/>
  <c r="CY185" i="6" s="1"/>
  <c r="M200" i="6"/>
  <c r="W200" i="6" s="1"/>
  <c r="Z200" i="6" s="1"/>
  <c r="DM200" i="6"/>
  <c r="DP200" i="6" s="1"/>
  <c r="CW199" i="6"/>
  <c r="DB199" i="6" s="1"/>
  <c r="AP158" i="6"/>
  <c r="BD156" i="6"/>
  <c r="R184" i="6"/>
  <c r="R198" i="6"/>
  <c r="BB199" i="6"/>
  <c r="AB184" i="6"/>
  <c r="BX184" i="6"/>
  <c r="CC198" i="6"/>
  <c r="B175" i="6"/>
  <c r="BG174" i="6"/>
  <c r="DG174" i="6"/>
  <c r="G174" i="6"/>
  <c r="AG174" i="6"/>
  <c r="CG174" i="6"/>
  <c r="DD155" i="6"/>
  <c r="BD181" i="6"/>
  <c r="AM186" i="6"/>
  <c r="AN186" i="6" s="1"/>
  <c r="G161" i="6"/>
  <c r="BG161" i="6"/>
  <c r="AG161" i="6"/>
  <c r="DG161" i="6"/>
  <c r="CG161" i="6"/>
  <c r="B162" i="6"/>
  <c r="AB199" i="6"/>
  <c r="CQ170" i="6"/>
  <c r="DQ184" i="6"/>
  <c r="EG154" i="6"/>
  <c r="EH154" i="6" s="1"/>
  <c r="EI154" i="6" s="1"/>
  <c r="CX198" i="6"/>
  <c r="EG196" i="6"/>
  <c r="EH196" i="6" s="1"/>
  <c r="EI196" i="6" s="1"/>
  <c r="CD156" i="6"/>
  <c r="BD169" i="6"/>
  <c r="BD168" i="6"/>
  <c r="CD182" i="6"/>
  <c r="EG182" i="6" s="1"/>
  <c r="EH182" i="6" s="1"/>
  <c r="EI182" i="6" s="1"/>
  <c r="AD181" i="6"/>
  <c r="AD168" i="6"/>
  <c r="AD155" i="6"/>
  <c r="AD167" i="6"/>
  <c r="CD155" i="6"/>
  <c r="CD167" i="6"/>
  <c r="BD195" i="6"/>
  <c r="EG195" i="6" s="1"/>
  <c r="EH195" i="6" s="1"/>
  <c r="EI195" i="6" s="1"/>
  <c r="BX198" i="6"/>
  <c r="P185" i="6"/>
  <c r="DW185" i="6"/>
  <c r="DZ185" i="6" s="1"/>
  <c r="AP185" i="6"/>
  <c r="W171" i="6"/>
  <c r="Z171" i="6" s="1"/>
  <c r="DP185" i="6"/>
  <c r="AW185" i="6"/>
  <c r="BB185" i="6" s="1"/>
  <c r="CN171" i="6"/>
  <c r="CQ171" i="6" s="1"/>
  <c r="O185" i="6"/>
  <c r="Y185" i="6" s="1"/>
  <c r="P171" i="6"/>
  <c r="DO185" i="6"/>
  <c r="DY185" i="6" s="1"/>
  <c r="AN185" i="6"/>
  <c r="AQ185" i="6" s="1"/>
  <c r="CW171" i="6"/>
  <c r="DB171" i="6" s="1"/>
  <c r="DP158" i="6"/>
  <c r="DW158" i="6"/>
  <c r="DZ158" i="6" s="1"/>
  <c r="DN158" i="6"/>
  <c r="N171" i="6"/>
  <c r="Q171" i="6" s="1"/>
  <c r="CP171" i="6"/>
  <c r="W185" i="6"/>
  <c r="AB185" i="6" s="1"/>
  <c r="DY157" i="6"/>
  <c r="DX157" i="6"/>
  <c r="ED157" i="6" s="1"/>
  <c r="EC156" i="6"/>
  <c r="DX156" i="6"/>
  <c r="ED156" i="6" s="1"/>
  <c r="EC184" i="6"/>
  <c r="EC198" i="6"/>
  <c r="DZ198" i="6"/>
  <c r="EB198" i="6"/>
  <c r="DY198" i="6"/>
  <c r="DX198" i="6"/>
  <c r="EB199" i="6"/>
  <c r="DZ199" i="6"/>
  <c r="EC170" i="6"/>
  <c r="EC169" i="6"/>
  <c r="DX169" i="6"/>
  <c r="ED169" i="6" s="1"/>
  <c r="EB185" i="6"/>
  <c r="EC197" i="6"/>
  <c r="DX197" i="6"/>
  <c r="ED197" i="6" s="1"/>
  <c r="DX170" i="6"/>
  <c r="ED170" i="6" s="1"/>
  <c r="DX184" i="6"/>
  <c r="ED184" i="6" s="1"/>
  <c r="DP199" i="6"/>
  <c r="DO199" i="6"/>
  <c r="DN199" i="6"/>
  <c r="AR198" i="6"/>
  <c r="BA198" i="6" s="1"/>
  <c r="AQ198" i="6"/>
  <c r="AZ198" i="6"/>
  <c r="BB198" i="6"/>
  <c r="CX169" i="6"/>
  <c r="DC169" i="6"/>
  <c r="AB198" i="6"/>
  <c r="Z198" i="6"/>
  <c r="X197" i="6"/>
  <c r="AC197" i="6"/>
  <c r="DB198" i="6"/>
  <c r="CZ198" i="6"/>
  <c r="AX197" i="6"/>
  <c r="BC197" i="6"/>
  <c r="CB198" i="6"/>
  <c r="BZ198" i="6"/>
  <c r="BO199" i="6"/>
  <c r="BY199" i="6" s="1"/>
  <c r="X169" i="6"/>
  <c r="AC169" i="6"/>
  <c r="BP199" i="6"/>
  <c r="CN199" i="6"/>
  <c r="BW158" i="6"/>
  <c r="BQ199" i="6"/>
  <c r="BR199" i="6"/>
  <c r="CM200" i="6"/>
  <c r="CP200" i="6" s="1"/>
  <c r="N199" i="6"/>
  <c r="BW199" i="6"/>
  <c r="BM200" i="6"/>
  <c r="BO200" i="6" s="1"/>
  <c r="BY200" i="6" s="1"/>
  <c r="AP199" i="6"/>
  <c r="O199" i="6"/>
  <c r="Y199" i="6" s="1"/>
  <c r="AO199" i="6"/>
  <c r="AY199" i="6" s="1"/>
  <c r="P199" i="6"/>
  <c r="BQ158" i="6"/>
  <c r="BR158" i="6"/>
  <c r="BO158" i="6"/>
  <c r="BY158" i="6" s="1"/>
  <c r="CM186" i="6"/>
  <c r="CN186" i="6" s="1"/>
  <c r="AM200" i="6"/>
  <c r="AN200" i="6" s="1"/>
  <c r="BM186" i="6"/>
  <c r="BW186" i="6" s="1"/>
  <c r="CP199" i="6"/>
  <c r="BZ185" i="6"/>
  <c r="CB185" i="6"/>
  <c r="DQ185" i="6"/>
  <c r="DR185" i="6"/>
  <c r="AQ184" i="6"/>
  <c r="AR184" i="6"/>
  <c r="BA184" i="6" s="1"/>
  <c r="AZ184" i="6"/>
  <c r="BB184" i="6"/>
  <c r="M186" i="6"/>
  <c r="DM186" i="6"/>
  <c r="CC184" i="6"/>
  <c r="CL201" i="6"/>
  <c r="CU201" i="6"/>
  <c r="CV201" i="6" s="1"/>
  <c r="CK201" i="6"/>
  <c r="CS201" i="6"/>
  <c r="CT201" i="6" s="1"/>
  <c r="AU201" i="6"/>
  <c r="AV201" i="6" s="1"/>
  <c r="AS201" i="6"/>
  <c r="AT201" i="6" s="1"/>
  <c r="AL201" i="6"/>
  <c r="AK201" i="6"/>
  <c r="K201" i="6"/>
  <c r="U201" i="6"/>
  <c r="V201" i="6" s="1"/>
  <c r="S201" i="6"/>
  <c r="T201" i="6" s="1"/>
  <c r="L201" i="6"/>
  <c r="S187" i="6"/>
  <c r="T187" i="6" s="1"/>
  <c r="K187" i="6"/>
  <c r="U187" i="6"/>
  <c r="V187" i="6" s="1"/>
  <c r="L187" i="6"/>
  <c r="AU187" i="6"/>
  <c r="AV187" i="6" s="1"/>
  <c r="AS187" i="6"/>
  <c r="AT187" i="6" s="1"/>
  <c r="AL187" i="6"/>
  <c r="AK187" i="6"/>
  <c r="C189" i="6"/>
  <c r="DH188" i="6"/>
  <c r="DI188" i="6" s="1"/>
  <c r="EA188" i="6" s="1"/>
  <c r="CH188" i="6"/>
  <c r="CI188" i="6" s="1"/>
  <c r="H188" i="6"/>
  <c r="I188" i="6" s="1"/>
  <c r="AH188" i="6"/>
  <c r="AI188" i="6" s="1"/>
  <c r="BH188" i="6"/>
  <c r="BI188" i="6" s="1"/>
  <c r="EF188" i="6"/>
  <c r="DC184" i="6"/>
  <c r="DC183" i="6"/>
  <c r="R185" i="6"/>
  <c r="Q185" i="6"/>
  <c r="BC183" i="6"/>
  <c r="AX183" i="6"/>
  <c r="BX183" i="6"/>
  <c r="CC183" i="6"/>
  <c r="CX183" i="6"/>
  <c r="DU201" i="6"/>
  <c r="DV201" i="6" s="1"/>
  <c r="DL201" i="6"/>
  <c r="DS201" i="6"/>
  <c r="DT201" i="6" s="1"/>
  <c r="DK201" i="6"/>
  <c r="BK201" i="6"/>
  <c r="BL201" i="6"/>
  <c r="BU201" i="6"/>
  <c r="BV201" i="6" s="1"/>
  <c r="BS201" i="6"/>
  <c r="BT201" i="6" s="1"/>
  <c r="H202" i="6"/>
  <c r="I202" i="6" s="1"/>
  <c r="C203" i="6"/>
  <c r="AH202" i="6"/>
  <c r="AI202" i="6" s="1"/>
  <c r="BH202" i="6"/>
  <c r="BI202" i="6" s="1"/>
  <c r="CH202" i="6"/>
  <c r="CI202" i="6" s="1"/>
  <c r="DH202" i="6"/>
  <c r="DI202" i="6" s="1"/>
  <c r="EA202" i="6" s="1"/>
  <c r="BU187" i="6"/>
  <c r="BV187" i="6" s="1"/>
  <c r="BL187" i="6"/>
  <c r="BS187" i="6"/>
  <c r="BT187" i="6" s="1"/>
  <c r="BK187" i="6"/>
  <c r="DL187" i="6"/>
  <c r="DS187" i="6"/>
  <c r="DT187" i="6" s="1"/>
  <c r="DU187" i="6"/>
  <c r="DV187" i="6" s="1"/>
  <c r="DK187" i="6"/>
  <c r="CU187" i="6"/>
  <c r="CV187" i="6" s="1"/>
  <c r="CL187" i="6"/>
  <c r="CS187" i="6"/>
  <c r="CT187" i="6" s="1"/>
  <c r="CK187" i="6"/>
  <c r="X183" i="6"/>
  <c r="AC183" i="6"/>
  <c r="AC156" i="6"/>
  <c r="X156" i="6"/>
  <c r="AQ157" i="6"/>
  <c r="AR157" i="6"/>
  <c r="BA157" i="6" s="1"/>
  <c r="CW158" i="6"/>
  <c r="CP158" i="6"/>
  <c r="AN158" i="6"/>
  <c r="CR157" i="6"/>
  <c r="CQ157" i="6"/>
  <c r="DA157" i="6" s="1"/>
  <c r="BQ157" i="6"/>
  <c r="CA157" i="6" s="1"/>
  <c r="BR157" i="6"/>
  <c r="W158" i="6"/>
  <c r="P158" i="6"/>
  <c r="CX156" i="6"/>
  <c r="DC156" i="6"/>
  <c r="CR158" i="6"/>
  <c r="CQ158" i="6"/>
  <c r="CO158" i="6"/>
  <c r="CY158" i="6" s="1"/>
  <c r="AW158" i="6"/>
  <c r="N158" i="6"/>
  <c r="Z170" i="6"/>
  <c r="AB170" i="6"/>
  <c r="U173" i="6"/>
  <c r="K173" i="6"/>
  <c r="S173" i="6"/>
  <c r="L173" i="6"/>
  <c r="CU173" i="6"/>
  <c r="CS173" i="6"/>
  <c r="CL173" i="6"/>
  <c r="CK173" i="6"/>
  <c r="DS173" i="6"/>
  <c r="DT173" i="6" s="1"/>
  <c r="DU173" i="6"/>
  <c r="DL173" i="6"/>
  <c r="DK173" i="6"/>
  <c r="BY170" i="6"/>
  <c r="BW171" i="6"/>
  <c r="BP171" i="6"/>
  <c r="BO171" i="6"/>
  <c r="BN171" i="6"/>
  <c r="BT172" i="6"/>
  <c r="AL160" i="6"/>
  <c r="AS160" i="6"/>
  <c r="AT160" i="6" s="1"/>
  <c r="AK160" i="6"/>
  <c r="AU160" i="6"/>
  <c r="DL160" i="6"/>
  <c r="DK160" i="6"/>
  <c r="DU160" i="6"/>
  <c r="DS160" i="6"/>
  <c r="DT160" i="6" s="1"/>
  <c r="BL160" i="6"/>
  <c r="BK160" i="6"/>
  <c r="BS160" i="6"/>
  <c r="BT160" i="6" s="1"/>
  <c r="BU160" i="6"/>
  <c r="AR170" i="6"/>
  <c r="BA170" i="6" s="1"/>
  <c r="AQ170" i="6"/>
  <c r="DN171" i="6"/>
  <c r="DP171" i="6"/>
  <c r="DO171" i="6"/>
  <c r="DW171" i="6"/>
  <c r="R170" i="6"/>
  <c r="AA170" i="6" s="1"/>
  <c r="Q170" i="6"/>
  <c r="BS173" i="6"/>
  <c r="BT173" i="6" s="1"/>
  <c r="BU173" i="6"/>
  <c r="BL173" i="6"/>
  <c r="BK173" i="6"/>
  <c r="AK173" i="6"/>
  <c r="AS173" i="6"/>
  <c r="AT173" i="6" s="1"/>
  <c r="AU173" i="6"/>
  <c r="AL173" i="6"/>
  <c r="BH174" i="6"/>
  <c r="BI174" i="6" s="1"/>
  <c r="C175" i="6"/>
  <c r="CH174" i="6"/>
  <c r="CI174" i="6" s="1"/>
  <c r="DH174" i="6"/>
  <c r="DI174" i="6" s="1"/>
  <c r="EA174" i="6" s="1"/>
  <c r="H174" i="6"/>
  <c r="I174" i="6" s="1"/>
  <c r="AH174" i="6"/>
  <c r="AI174" i="6" s="1"/>
  <c r="BQ170" i="6"/>
  <c r="CA170" i="6" s="1"/>
  <c r="BR170" i="6"/>
  <c r="CB170" i="6"/>
  <c r="BZ170" i="6"/>
  <c r="CL160" i="6"/>
  <c r="CK160" i="6"/>
  <c r="CU160" i="6"/>
  <c r="CS160" i="6"/>
  <c r="CT160" i="6" s="1"/>
  <c r="U160" i="6"/>
  <c r="L160" i="6"/>
  <c r="S160" i="6"/>
  <c r="T160" i="6" s="1"/>
  <c r="K160" i="6"/>
  <c r="C162" i="6"/>
  <c r="CH161" i="6"/>
  <c r="CI161" i="6" s="1"/>
  <c r="DH161" i="6"/>
  <c r="DI161" i="6" s="1"/>
  <c r="EA161" i="6" s="1"/>
  <c r="AH161" i="6"/>
  <c r="AI161" i="6" s="1"/>
  <c r="BH161" i="6"/>
  <c r="BI161" i="6" s="1"/>
  <c r="H161" i="6"/>
  <c r="I161" i="6" s="1"/>
  <c r="BB170" i="6"/>
  <c r="AZ170" i="6"/>
  <c r="AO171" i="6"/>
  <c r="AY171" i="6" s="1"/>
  <c r="AN171" i="6"/>
  <c r="AW171" i="6"/>
  <c r="AP171" i="6"/>
  <c r="J202" i="6"/>
  <c r="CJ202" i="6"/>
  <c r="EF203" i="6"/>
  <c r="DJ202" i="6"/>
  <c r="BJ202" i="6"/>
  <c r="AJ202" i="6"/>
  <c r="J190" i="6"/>
  <c r="AJ190" i="6"/>
  <c r="CJ190" i="6"/>
  <c r="BJ190" i="6"/>
  <c r="DJ190" i="6"/>
  <c r="BW200" i="6" l="1"/>
  <c r="CB200" i="6" s="1"/>
  <c r="CA199" i="6"/>
  <c r="AA185" i="6"/>
  <c r="CA158" i="6"/>
  <c r="BA199" i="6"/>
  <c r="AC157" i="6"/>
  <c r="AA157" i="6"/>
  <c r="X198" i="6"/>
  <c r="AD198" i="6" s="1"/>
  <c r="AA198" i="6"/>
  <c r="X184" i="6"/>
  <c r="AA184" i="6"/>
  <c r="DA185" i="6"/>
  <c r="DA171" i="6"/>
  <c r="CX170" i="6"/>
  <c r="DD170" i="6" s="1"/>
  <c r="DA170" i="6"/>
  <c r="BX226" i="6"/>
  <c r="CD226" i="6" s="1"/>
  <c r="CA226" i="6"/>
  <c r="DC158" i="6"/>
  <c r="DA158" i="6"/>
  <c r="DB185" i="6"/>
  <c r="V160" i="6"/>
  <c r="DV160" i="6"/>
  <c r="DZ227" i="6"/>
  <c r="EB227" i="6"/>
  <c r="EC212" i="6"/>
  <c r="DX212" i="6"/>
  <c r="ED212" i="6" s="1"/>
  <c r="DX226" i="6"/>
  <c r="ED226" i="6" s="1"/>
  <c r="EC226" i="6"/>
  <c r="DZ213" i="6"/>
  <c r="EB213" i="6"/>
  <c r="CV160" i="6"/>
  <c r="BV160" i="6"/>
  <c r="AV160" i="6"/>
  <c r="A161" i="6"/>
  <c r="EF160" i="6"/>
  <c r="J160" i="6"/>
  <c r="M160" i="6" s="1"/>
  <c r="P160" i="6" s="1"/>
  <c r="AJ160" i="6"/>
  <c r="AM160" i="6" s="1"/>
  <c r="AN160" i="6" s="1"/>
  <c r="AQ160" i="6" s="1"/>
  <c r="DJ160" i="6"/>
  <c r="DM160" i="6" s="1"/>
  <c r="DN160" i="6" s="1"/>
  <c r="CJ160" i="6"/>
  <c r="CM160" i="6" s="1"/>
  <c r="CN160" i="6" s="1"/>
  <c r="BJ160" i="6"/>
  <c r="BM160" i="6" s="1"/>
  <c r="BN160" i="6" s="1"/>
  <c r="EJ210" i="6"/>
  <c r="DV173" i="6"/>
  <c r="AV173" i="6"/>
  <c r="CV173" i="6"/>
  <c r="V173" i="6"/>
  <c r="BV173" i="6"/>
  <c r="A174" i="6"/>
  <c r="J173" i="6"/>
  <c r="M173" i="6" s="1"/>
  <c r="BJ173" i="6"/>
  <c r="BM173" i="6" s="1"/>
  <c r="BO173" i="6" s="1"/>
  <c r="BY173" i="6" s="1"/>
  <c r="CJ173" i="6"/>
  <c r="CM173" i="6" s="1"/>
  <c r="DJ173" i="6"/>
  <c r="DM173" i="6" s="1"/>
  <c r="DO173" i="6" s="1"/>
  <c r="DY173" i="6" s="1"/>
  <c r="AJ173" i="6"/>
  <c r="AM173" i="6" s="1"/>
  <c r="EF173" i="6"/>
  <c r="EL210" i="6"/>
  <c r="EG211" i="6"/>
  <c r="EH211" i="6" s="1"/>
  <c r="EI211" i="6" s="1"/>
  <c r="EL211" i="6" s="1"/>
  <c r="EJ224" i="6"/>
  <c r="EL224" i="6"/>
  <c r="EG225" i="6"/>
  <c r="EH225" i="6" s="1"/>
  <c r="EI225" i="6" s="1"/>
  <c r="EJ225" i="6" s="1"/>
  <c r="EL196" i="6"/>
  <c r="AZ227" i="6"/>
  <c r="BB227" i="6"/>
  <c r="CZ213" i="6"/>
  <c r="DB213" i="6"/>
  <c r="AX212" i="6"/>
  <c r="BD212" i="6" s="1"/>
  <c r="BC212" i="6"/>
  <c r="CX212" i="6"/>
  <c r="DD212" i="6" s="1"/>
  <c r="DC212" i="6"/>
  <c r="AX226" i="6"/>
  <c r="BD226" i="6" s="1"/>
  <c r="BC226" i="6"/>
  <c r="CX226" i="6"/>
  <c r="DD226" i="6" s="1"/>
  <c r="DC226" i="6"/>
  <c r="Z227" i="6"/>
  <c r="AB227" i="6"/>
  <c r="DB227" i="6"/>
  <c r="CZ227" i="6"/>
  <c r="X212" i="6"/>
  <c r="AD212" i="6" s="1"/>
  <c r="AC212" i="6"/>
  <c r="BX212" i="6"/>
  <c r="CD212" i="6" s="1"/>
  <c r="CC212" i="6"/>
  <c r="CB227" i="6"/>
  <c r="BZ227" i="6"/>
  <c r="CC226" i="6"/>
  <c r="BB213" i="6"/>
  <c r="AZ213" i="6"/>
  <c r="BZ213" i="6"/>
  <c r="CB213" i="6"/>
  <c r="AB213" i="6"/>
  <c r="Z213" i="6"/>
  <c r="X226" i="6"/>
  <c r="AD226" i="6" s="1"/>
  <c r="AC226" i="6"/>
  <c r="AN214" i="6"/>
  <c r="AO214" i="6"/>
  <c r="AY214" i="6" s="1"/>
  <c r="AP214" i="6"/>
  <c r="AW214" i="6"/>
  <c r="CR213" i="6"/>
  <c r="CQ213" i="6"/>
  <c r="DA213" i="6" s="1"/>
  <c r="BQ213" i="6"/>
  <c r="CA213" i="6" s="1"/>
  <c r="BR213" i="6"/>
  <c r="BR227" i="6"/>
  <c r="BQ227" i="6"/>
  <c r="CA227" i="6" s="1"/>
  <c r="Q213" i="6"/>
  <c r="R213" i="6"/>
  <c r="AA213" i="6" s="1"/>
  <c r="BO214" i="6"/>
  <c r="BY214" i="6" s="1"/>
  <c r="BN214" i="6"/>
  <c r="BP214" i="6"/>
  <c r="BW214" i="6"/>
  <c r="CW214" i="6"/>
  <c r="CP214" i="6"/>
  <c r="CO214" i="6"/>
  <c r="CY214" i="6" s="1"/>
  <c r="CN214" i="6"/>
  <c r="DQ227" i="6"/>
  <c r="DR227" i="6"/>
  <c r="N228" i="6"/>
  <c r="P228" i="6"/>
  <c r="O228" i="6"/>
  <c r="Y228" i="6" s="1"/>
  <c r="W228" i="6"/>
  <c r="AN228" i="6"/>
  <c r="AO228" i="6"/>
  <c r="AY228" i="6" s="1"/>
  <c r="AW228" i="6"/>
  <c r="AP228" i="6"/>
  <c r="DR213" i="6"/>
  <c r="DQ213" i="6"/>
  <c r="DW214" i="6"/>
  <c r="DO214" i="6"/>
  <c r="DY214" i="6" s="1"/>
  <c r="DP214" i="6"/>
  <c r="DN214" i="6"/>
  <c r="Q227" i="6"/>
  <c r="R227" i="6"/>
  <c r="AA227" i="6" s="1"/>
  <c r="AQ227" i="6"/>
  <c r="AR227" i="6"/>
  <c r="BA227" i="6" s="1"/>
  <c r="CP228" i="6"/>
  <c r="CW228" i="6"/>
  <c r="CO228" i="6"/>
  <c r="CY228" i="6" s="1"/>
  <c r="CN228" i="6"/>
  <c r="N214" i="6"/>
  <c r="P214" i="6"/>
  <c r="O214" i="6"/>
  <c r="Y214" i="6" s="1"/>
  <c r="W214" i="6"/>
  <c r="DN228" i="6"/>
  <c r="DP228" i="6"/>
  <c r="DW228" i="6"/>
  <c r="DO228" i="6"/>
  <c r="DY228" i="6" s="1"/>
  <c r="BV215" i="6"/>
  <c r="BJ215" i="6"/>
  <c r="BM215" i="6" s="1"/>
  <c r="CV215" i="6"/>
  <c r="A216" i="6"/>
  <c r="EF215" i="6"/>
  <c r="CJ215" i="6"/>
  <c r="CM215" i="6" s="1"/>
  <c r="DV215" i="6"/>
  <c r="AJ215" i="6"/>
  <c r="AM215" i="6" s="1"/>
  <c r="V215" i="6"/>
  <c r="DJ215" i="6"/>
  <c r="DM215" i="6" s="1"/>
  <c r="J215" i="6"/>
  <c r="M215" i="6" s="1"/>
  <c r="AV215" i="6"/>
  <c r="DV229" i="6"/>
  <c r="AV229" i="6"/>
  <c r="AJ229" i="6"/>
  <c r="AM229" i="6" s="1"/>
  <c r="J229" i="6"/>
  <c r="M229" i="6" s="1"/>
  <c r="A230" i="6"/>
  <c r="BV229" i="6"/>
  <c r="DJ229" i="6"/>
  <c r="DM229" i="6" s="1"/>
  <c r="CJ229" i="6"/>
  <c r="CM229" i="6" s="1"/>
  <c r="EF229" i="6"/>
  <c r="V229" i="6"/>
  <c r="BJ229" i="6"/>
  <c r="BM229" i="6" s="1"/>
  <c r="CV229" i="6"/>
  <c r="BW228" i="6"/>
  <c r="BN228" i="6"/>
  <c r="BP228" i="6"/>
  <c r="BO228" i="6"/>
  <c r="BY228" i="6" s="1"/>
  <c r="CQ227" i="6"/>
  <c r="DA227" i="6" s="1"/>
  <c r="CR227" i="6"/>
  <c r="AR213" i="6"/>
  <c r="BA213" i="6" s="1"/>
  <c r="AQ213" i="6"/>
  <c r="EL154" i="6"/>
  <c r="DD184" i="6"/>
  <c r="DO200" i="6"/>
  <c r="DY200" i="6" s="1"/>
  <c r="CR185" i="6"/>
  <c r="N200" i="6"/>
  <c r="R200" i="6" s="1"/>
  <c r="BQ185" i="6"/>
  <c r="CZ199" i="6"/>
  <c r="O200" i="6"/>
  <c r="Y200" i="6" s="1"/>
  <c r="AQ199" i="6"/>
  <c r="BC199" i="6" s="1"/>
  <c r="CM187" i="6"/>
  <c r="CP187" i="6" s="1"/>
  <c r="P200" i="6"/>
  <c r="X157" i="6"/>
  <c r="AD157" i="6" s="1"/>
  <c r="DW200" i="6"/>
  <c r="BW159" i="6"/>
  <c r="CB159" i="6" s="1"/>
  <c r="DN200" i="6"/>
  <c r="DQ200" i="6" s="1"/>
  <c r="EJ196" i="6"/>
  <c r="AW159" i="6"/>
  <c r="BB159" i="6" s="1"/>
  <c r="CN159" i="6"/>
  <c r="CR159" i="6" s="1"/>
  <c r="CM201" i="6"/>
  <c r="CN201" i="6" s="1"/>
  <c r="CQ201" i="6" s="1"/>
  <c r="DX185" i="6"/>
  <c r="ED185" i="6" s="1"/>
  <c r="AC184" i="6"/>
  <c r="BZ200" i="6"/>
  <c r="BP186" i="6"/>
  <c r="AC198" i="6"/>
  <c r="EG181" i="6"/>
  <c r="EH181" i="6" s="1"/>
  <c r="EI181" i="6" s="1"/>
  <c r="EL182" i="6" s="1"/>
  <c r="CC158" i="6"/>
  <c r="CC199" i="6"/>
  <c r="AX199" i="6"/>
  <c r="BD199" i="6" s="1"/>
  <c r="AW186" i="6"/>
  <c r="AZ186" i="6" s="1"/>
  <c r="AO186" i="6"/>
  <c r="AY186" i="6" s="1"/>
  <c r="B176" i="6"/>
  <c r="G175" i="6"/>
  <c r="AG175" i="6"/>
  <c r="CG175" i="6"/>
  <c r="BG175" i="6"/>
  <c r="DG175" i="6"/>
  <c r="AP186" i="6"/>
  <c r="BM187" i="6"/>
  <c r="BN187" i="6" s="1"/>
  <c r="G162" i="6"/>
  <c r="BG162" i="6"/>
  <c r="AG162" i="6"/>
  <c r="DG162" i="6"/>
  <c r="CG162" i="6"/>
  <c r="B163" i="6"/>
  <c r="DC170" i="6"/>
  <c r="AB200" i="6"/>
  <c r="BX158" i="6"/>
  <c r="EG168" i="6"/>
  <c r="EH168" i="6" s="1"/>
  <c r="EI168" i="6" s="1"/>
  <c r="EJ154" i="6"/>
  <c r="CZ171" i="6"/>
  <c r="EG155" i="6"/>
  <c r="EH155" i="6" s="1"/>
  <c r="EI155" i="6" s="1"/>
  <c r="Z185" i="6"/>
  <c r="AB171" i="6"/>
  <c r="AZ185" i="6"/>
  <c r="EG167" i="6"/>
  <c r="EH167" i="6" s="1"/>
  <c r="EI167" i="6" s="1"/>
  <c r="DD183" i="6"/>
  <c r="CD184" i="6"/>
  <c r="DD198" i="6"/>
  <c r="DD156" i="6"/>
  <c r="AD156" i="6"/>
  <c r="AD183" i="6"/>
  <c r="BD183" i="6"/>
  <c r="CD183" i="6"/>
  <c r="AD184" i="6"/>
  <c r="AD197" i="6"/>
  <c r="AD169" i="6"/>
  <c r="BD197" i="6"/>
  <c r="DD169" i="6"/>
  <c r="DW172" i="6"/>
  <c r="BX199" i="6"/>
  <c r="CD198" i="6"/>
  <c r="R171" i="6"/>
  <c r="CR171" i="6"/>
  <c r="CO186" i="6"/>
  <c r="CY186" i="6" s="1"/>
  <c r="AX170" i="6"/>
  <c r="ED198" i="6"/>
  <c r="BN172" i="6"/>
  <c r="BQ172" i="6" s="1"/>
  <c r="DP172" i="6"/>
  <c r="BN186" i="6"/>
  <c r="BQ186" i="6" s="1"/>
  <c r="CW186" i="6"/>
  <c r="DB186" i="6" s="1"/>
  <c r="AR185" i="6"/>
  <c r="BO186" i="6"/>
  <c r="CP186" i="6"/>
  <c r="BO172" i="6"/>
  <c r="BY172" i="6" s="1"/>
  <c r="DO172" i="6"/>
  <c r="DY172" i="6" s="1"/>
  <c r="EB158" i="6"/>
  <c r="DQ158" i="6"/>
  <c r="DR158" i="6"/>
  <c r="BW172" i="6"/>
  <c r="BZ172" i="6" s="1"/>
  <c r="P159" i="6"/>
  <c r="W159" i="6"/>
  <c r="R159" i="6"/>
  <c r="Q159" i="6"/>
  <c r="O159" i="6"/>
  <c r="Y159" i="6" s="1"/>
  <c r="AP172" i="6"/>
  <c r="N172" i="6"/>
  <c r="Q172" i="6" s="1"/>
  <c r="DY171" i="6"/>
  <c r="DZ159" i="6"/>
  <c r="EB159" i="6"/>
  <c r="DX200" i="6"/>
  <c r="EB172" i="6"/>
  <c r="DZ172" i="6"/>
  <c r="DZ171" i="6"/>
  <c r="EB171" i="6"/>
  <c r="EC185" i="6"/>
  <c r="DY199" i="6"/>
  <c r="BC198" i="6"/>
  <c r="AX198" i="6"/>
  <c r="DR199" i="6"/>
  <c r="DQ199" i="6"/>
  <c r="DX199" i="6" s="1"/>
  <c r="ED199" i="6" s="1"/>
  <c r="BZ199" i="6"/>
  <c r="CB199" i="6"/>
  <c r="AO172" i="6"/>
  <c r="AY172" i="6" s="1"/>
  <c r="O172" i="6"/>
  <c r="Y172" i="6" s="1"/>
  <c r="M201" i="6"/>
  <c r="O201" i="6" s="1"/>
  <c r="Y201" i="6" s="1"/>
  <c r="CX158" i="6"/>
  <c r="AN172" i="6"/>
  <c r="AQ172" i="6" s="1"/>
  <c r="P172" i="6"/>
  <c r="BN200" i="6"/>
  <c r="BP200" i="6"/>
  <c r="CO200" i="6"/>
  <c r="CY200" i="6" s="1"/>
  <c r="CN200" i="6"/>
  <c r="CR199" i="6"/>
  <c r="CQ199" i="6"/>
  <c r="DA199" i="6" s="1"/>
  <c r="BZ158" i="6"/>
  <c r="CB158" i="6"/>
  <c r="AM201" i="6"/>
  <c r="AN201" i="6" s="1"/>
  <c r="AW200" i="6"/>
  <c r="CW200" i="6"/>
  <c r="Q199" i="6"/>
  <c r="R199" i="6"/>
  <c r="AA199" i="6" s="1"/>
  <c r="DM201" i="6"/>
  <c r="DW201" i="6" s="1"/>
  <c r="AP200" i="6"/>
  <c r="AQ200" i="6"/>
  <c r="AR200" i="6"/>
  <c r="BM201" i="6"/>
  <c r="BN201" i="6" s="1"/>
  <c r="AM187" i="6"/>
  <c r="AW187" i="6" s="1"/>
  <c r="AO200" i="6"/>
  <c r="AY200" i="6" s="1"/>
  <c r="DM187" i="6"/>
  <c r="DC185" i="6"/>
  <c r="CS202" i="6"/>
  <c r="CT202" i="6" s="1"/>
  <c r="CK202" i="6"/>
  <c r="CU202" i="6"/>
  <c r="CV202" i="6" s="1"/>
  <c r="CL202" i="6"/>
  <c r="AK202" i="6"/>
  <c r="AS202" i="6"/>
  <c r="AT202" i="6" s="1"/>
  <c r="AL202" i="6"/>
  <c r="AU202" i="6"/>
  <c r="AV202" i="6" s="1"/>
  <c r="S202" i="6"/>
  <c r="T202" i="6" s="1"/>
  <c r="U202" i="6"/>
  <c r="V202" i="6" s="1"/>
  <c r="L202" i="6"/>
  <c r="K202" i="6"/>
  <c r="AC185" i="6"/>
  <c r="X185" i="6"/>
  <c r="AU188" i="6"/>
  <c r="AV188" i="6" s="1"/>
  <c r="AS188" i="6"/>
  <c r="AT188" i="6" s="1"/>
  <c r="AL188" i="6"/>
  <c r="AK188" i="6"/>
  <c r="CS188" i="6"/>
  <c r="CT188" i="6" s="1"/>
  <c r="CU188" i="6"/>
  <c r="CV188" i="6" s="1"/>
  <c r="CK188" i="6"/>
  <c r="CL188" i="6"/>
  <c r="C190" i="6"/>
  <c r="CH189" i="6"/>
  <c r="CI189" i="6" s="1"/>
  <c r="H189" i="6"/>
  <c r="I189" i="6" s="1"/>
  <c r="AH189" i="6"/>
  <c r="AI189" i="6" s="1"/>
  <c r="DH189" i="6"/>
  <c r="DI189" i="6" s="1"/>
  <c r="EA189" i="6" s="1"/>
  <c r="BH189" i="6"/>
  <c r="BI189" i="6" s="1"/>
  <c r="EF189" i="6"/>
  <c r="W186" i="6"/>
  <c r="P186" i="6"/>
  <c r="O186" i="6"/>
  <c r="Y186" i="6" s="1"/>
  <c r="N186" i="6"/>
  <c r="CB186" i="6"/>
  <c r="BZ186" i="6"/>
  <c r="AR186" i="6"/>
  <c r="AQ186" i="6"/>
  <c r="DU202" i="6"/>
  <c r="DV202" i="6" s="1"/>
  <c r="DL202" i="6"/>
  <c r="DS202" i="6"/>
  <c r="DT202" i="6" s="1"/>
  <c r="DK202" i="6"/>
  <c r="BK202" i="6"/>
  <c r="BU202" i="6"/>
  <c r="BV202" i="6" s="1"/>
  <c r="BL202" i="6"/>
  <c r="BS202" i="6"/>
  <c r="BT202" i="6" s="1"/>
  <c r="CH203" i="6"/>
  <c r="CI203" i="6" s="1"/>
  <c r="C204" i="6"/>
  <c r="EF204" i="6" s="1"/>
  <c r="BH203" i="6"/>
  <c r="BI203" i="6" s="1"/>
  <c r="DH203" i="6"/>
  <c r="DI203" i="6" s="1"/>
  <c r="EA203" i="6" s="1"/>
  <c r="H203" i="6"/>
  <c r="I203" i="6" s="1"/>
  <c r="AH203" i="6"/>
  <c r="AI203" i="6" s="1"/>
  <c r="CR186" i="6"/>
  <c r="CQ186" i="6"/>
  <c r="BL188" i="6"/>
  <c r="BS188" i="6"/>
  <c r="BT188" i="6" s="1"/>
  <c r="BK188" i="6"/>
  <c r="BU188" i="6"/>
  <c r="BV188" i="6" s="1"/>
  <c r="U188" i="6"/>
  <c r="V188" i="6" s="1"/>
  <c r="S188" i="6"/>
  <c r="T188" i="6" s="1"/>
  <c r="L188" i="6"/>
  <c r="K188" i="6"/>
  <c r="DS188" i="6"/>
  <c r="DT188" i="6" s="1"/>
  <c r="DL188" i="6"/>
  <c r="DU188" i="6"/>
  <c r="DV188" i="6" s="1"/>
  <c r="DK188" i="6"/>
  <c r="M187" i="6"/>
  <c r="CX185" i="6"/>
  <c r="DD185" i="6" s="1"/>
  <c r="DP186" i="6"/>
  <c r="DO186" i="6"/>
  <c r="DW186" i="6"/>
  <c r="DN186" i="6"/>
  <c r="BC184" i="6"/>
  <c r="AX184" i="6"/>
  <c r="AX157" i="6"/>
  <c r="BC157" i="6"/>
  <c r="DB158" i="6"/>
  <c r="CZ158" i="6"/>
  <c r="DN159" i="6"/>
  <c r="CX157" i="6"/>
  <c r="DC157" i="6"/>
  <c r="AQ158" i="6"/>
  <c r="AR158" i="6"/>
  <c r="BA158" i="6" s="1"/>
  <c r="DP159" i="6"/>
  <c r="CW159" i="6"/>
  <c r="AP159" i="6"/>
  <c r="BX157" i="6"/>
  <c r="CC157" i="6"/>
  <c r="DO159" i="6"/>
  <c r="CO159" i="6"/>
  <c r="AN159" i="6"/>
  <c r="AB158" i="6"/>
  <c r="Z158" i="6"/>
  <c r="BO159" i="6"/>
  <c r="BY159" i="6" s="1"/>
  <c r="BN159" i="6"/>
  <c r="AZ158" i="6"/>
  <c r="BB158" i="6"/>
  <c r="Q158" i="6"/>
  <c r="R158" i="6"/>
  <c r="AA158" i="6" s="1"/>
  <c r="AR171" i="6"/>
  <c r="BA171" i="6" s="1"/>
  <c r="AQ171" i="6"/>
  <c r="BS161" i="6"/>
  <c r="BT161" i="6" s="1"/>
  <c r="BU161" i="6"/>
  <c r="BK161" i="6"/>
  <c r="BL161" i="6"/>
  <c r="DK161" i="6"/>
  <c r="DU161" i="6"/>
  <c r="DL161" i="6"/>
  <c r="DS161" i="6"/>
  <c r="DT161" i="6" s="1"/>
  <c r="C163" i="6"/>
  <c r="BH162" i="6"/>
  <c r="BI162" i="6" s="1"/>
  <c r="H162" i="6"/>
  <c r="I162" i="6" s="1"/>
  <c r="CH162" i="6"/>
  <c r="CI162" i="6" s="1"/>
  <c r="DH162" i="6"/>
  <c r="DI162" i="6" s="1"/>
  <c r="EA162" i="6" s="1"/>
  <c r="AH162" i="6"/>
  <c r="AI162" i="6" s="1"/>
  <c r="BB172" i="6"/>
  <c r="AZ172" i="6"/>
  <c r="CC170" i="6"/>
  <c r="AB172" i="6"/>
  <c r="Z172" i="6"/>
  <c r="S174" i="6"/>
  <c r="T174" i="6" s="1"/>
  <c r="K174" i="6"/>
  <c r="U174" i="6"/>
  <c r="L174" i="6"/>
  <c r="CK174" i="6"/>
  <c r="CL174" i="6"/>
  <c r="CU174" i="6"/>
  <c r="CS174" i="6"/>
  <c r="CT174" i="6" s="1"/>
  <c r="BU174" i="6"/>
  <c r="BS174" i="6"/>
  <c r="BT174" i="6" s="1"/>
  <c r="BL174" i="6"/>
  <c r="BK174" i="6"/>
  <c r="X170" i="6"/>
  <c r="AC170" i="6"/>
  <c r="BC170" i="6"/>
  <c r="CO172" i="6"/>
  <c r="CP172" i="6"/>
  <c r="CW172" i="6"/>
  <c r="CN172" i="6"/>
  <c r="BY171" i="6"/>
  <c r="CB171" i="6"/>
  <c r="BZ171" i="6"/>
  <c r="CT173" i="6"/>
  <c r="AZ171" i="6"/>
  <c r="BB171" i="6"/>
  <c r="K161" i="6"/>
  <c r="S161" i="6"/>
  <c r="T161" i="6" s="1"/>
  <c r="L161" i="6"/>
  <c r="U161" i="6"/>
  <c r="AS161" i="6"/>
  <c r="AT161" i="6" s="1"/>
  <c r="AU161" i="6"/>
  <c r="AK161" i="6"/>
  <c r="AL161" i="6"/>
  <c r="CS161" i="6"/>
  <c r="CT161" i="6" s="1"/>
  <c r="CU161" i="6"/>
  <c r="CL161" i="6"/>
  <c r="CK161" i="6"/>
  <c r="DQ172" i="6"/>
  <c r="DR172" i="6"/>
  <c r="AS174" i="6"/>
  <c r="AT174" i="6" s="1"/>
  <c r="AL174" i="6"/>
  <c r="AK174" i="6"/>
  <c r="AU174" i="6"/>
  <c r="DK174" i="6"/>
  <c r="DU174" i="6"/>
  <c r="DL174" i="6"/>
  <c r="DS174" i="6"/>
  <c r="DT174" i="6" s="1"/>
  <c r="BH175" i="6"/>
  <c r="BI175" i="6" s="1"/>
  <c r="C176" i="6"/>
  <c r="AH175" i="6"/>
  <c r="AI175" i="6" s="1"/>
  <c r="H175" i="6"/>
  <c r="I175" i="6" s="1"/>
  <c r="CH175" i="6"/>
  <c r="CI175" i="6" s="1"/>
  <c r="DH175" i="6"/>
  <c r="DI175" i="6" s="1"/>
  <c r="EA175" i="6" s="1"/>
  <c r="DQ171" i="6"/>
  <c r="DR171" i="6"/>
  <c r="BR171" i="6"/>
  <c r="BQ171" i="6"/>
  <c r="CA171" i="6" s="1"/>
  <c r="BX170" i="6"/>
  <c r="CD170" i="6" s="1"/>
  <c r="T173" i="6"/>
  <c r="CX171" i="6"/>
  <c r="DC171" i="6"/>
  <c r="BJ203" i="6"/>
  <c r="AJ203" i="6"/>
  <c r="J203" i="6"/>
  <c r="DJ203" i="6"/>
  <c r="CJ203" i="6"/>
  <c r="DJ191" i="6"/>
  <c r="J191" i="6"/>
  <c r="CJ191" i="6"/>
  <c r="BJ191" i="6"/>
  <c r="AJ191" i="6"/>
  <c r="BV174" i="6" l="1"/>
  <c r="DV174" i="6"/>
  <c r="AV174" i="6"/>
  <c r="CV174" i="6"/>
  <c r="V161" i="6"/>
  <c r="V174" i="6"/>
  <c r="DA186" i="6"/>
  <c r="BA186" i="6"/>
  <c r="AA159" i="6"/>
  <c r="BC185" i="6"/>
  <c r="BA185" i="6"/>
  <c r="CA186" i="6"/>
  <c r="CA172" i="6"/>
  <c r="BA200" i="6"/>
  <c r="BX185" i="6"/>
  <c r="CD185" i="6" s="1"/>
  <c r="CA185" i="6"/>
  <c r="AC200" i="6"/>
  <c r="AA200" i="6"/>
  <c r="AC171" i="6"/>
  <c r="AA171" i="6"/>
  <c r="CV161" i="6"/>
  <c r="AV161" i="6"/>
  <c r="DV161" i="6"/>
  <c r="BV161" i="6"/>
  <c r="DX227" i="6"/>
  <c r="ED227" i="6" s="1"/>
  <c r="EC227" i="6"/>
  <c r="DZ200" i="6"/>
  <c r="DX213" i="6"/>
  <c r="ED213" i="6" s="1"/>
  <c r="EC213" i="6"/>
  <c r="EB214" i="6"/>
  <c r="DZ214" i="6"/>
  <c r="EB200" i="6"/>
  <c r="DZ228" i="6"/>
  <c r="EB228" i="6"/>
  <c r="A162" i="6"/>
  <c r="EF161" i="6"/>
  <c r="DJ161" i="6"/>
  <c r="DM161" i="6" s="1"/>
  <c r="DW161" i="6" s="1"/>
  <c r="EB161" i="6" s="1"/>
  <c r="AJ161" i="6"/>
  <c r="AM161" i="6" s="1"/>
  <c r="AW161" i="6" s="1"/>
  <c r="CJ161" i="6"/>
  <c r="CM161" i="6" s="1"/>
  <c r="CO161" i="6" s="1"/>
  <c r="CY161" i="6" s="1"/>
  <c r="J161" i="6"/>
  <c r="M161" i="6" s="1"/>
  <c r="W161" i="6" s="1"/>
  <c r="BJ161" i="6"/>
  <c r="BM161" i="6" s="1"/>
  <c r="BO161" i="6" s="1"/>
  <c r="BY161" i="6" s="1"/>
  <c r="AO201" i="6"/>
  <c r="AY201" i="6" s="1"/>
  <c r="EL225" i="6"/>
  <c r="EJ211" i="6"/>
  <c r="A175" i="6"/>
  <c r="AJ174" i="6"/>
  <c r="AM174" i="6" s="1"/>
  <c r="AP174" i="6" s="1"/>
  <c r="BJ174" i="6"/>
  <c r="BM174" i="6" s="1"/>
  <c r="BO174" i="6" s="1"/>
  <c r="BY174" i="6" s="1"/>
  <c r="J174" i="6"/>
  <c r="M174" i="6" s="1"/>
  <c r="EF174" i="6"/>
  <c r="CJ174" i="6"/>
  <c r="CM174" i="6" s="1"/>
  <c r="DJ174" i="6"/>
  <c r="DM174" i="6" s="1"/>
  <c r="EG212" i="6"/>
  <c r="EH212" i="6" s="1"/>
  <c r="EI212" i="6" s="1"/>
  <c r="EJ212" i="6" s="1"/>
  <c r="EG226" i="6"/>
  <c r="EH226" i="6" s="1"/>
  <c r="EI226" i="6" s="1"/>
  <c r="EJ226" i="6" s="1"/>
  <c r="AB214" i="6"/>
  <c r="Z214" i="6"/>
  <c r="AX227" i="6"/>
  <c r="BD227" i="6" s="1"/>
  <c r="BC227" i="6"/>
  <c r="BZ214" i="6"/>
  <c r="CB214" i="6"/>
  <c r="AX213" i="6"/>
  <c r="BD213" i="6" s="1"/>
  <c r="BC213" i="6"/>
  <c r="X213" i="6"/>
  <c r="AD213" i="6" s="1"/>
  <c r="AC213" i="6"/>
  <c r="AZ214" i="6"/>
  <c r="BB214" i="6"/>
  <c r="CZ228" i="6"/>
  <c r="DB228" i="6"/>
  <c r="X227" i="6"/>
  <c r="AD227" i="6" s="1"/>
  <c r="AC227" i="6"/>
  <c r="AB228" i="6"/>
  <c r="Z228" i="6"/>
  <c r="BX213" i="6"/>
  <c r="CD213" i="6" s="1"/>
  <c r="CC213" i="6"/>
  <c r="CX227" i="6"/>
  <c r="DD227" i="6" s="1"/>
  <c r="DC227" i="6"/>
  <c r="CB228" i="6"/>
  <c r="BZ228" i="6"/>
  <c r="AZ228" i="6"/>
  <c r="BB228" i="6"/>
  <c r="CZ214" i="6"/>
  <c r="DB214" i="6"/>
  <c r="BX227" i="6"/>
  <c r="CD227" i="6" s="1"/>
  <c r="CC227" i="6"/>
  <c r="CX213" i="6"/>
  <c r="DD213" i="6" s="1"/>
  <c r="DC213" i="6"/>
  <c r="BW229" i="6"/>
  <c r="BP229" i="6"/>
  <c r="BN229" i="6"/>
  <c r="BO229" i="6"/>
  <c r="BY229" i="6" s="1"/>
  <c r="AN229" i="6"/>
  <c r="AW229" i="6"/>
  <c r="AO229" i="6"/>
  <c r="AY229" i="6" s="1"/>
  <c r="AP229" i="6"/>
  <c r="BQ228" i="6"/>
  <c r="CA228" i="6" s="1"/>
  <c r="BR228" i="6"/>
  <c r="DP215" i="6"/>
  <c r="DO215" i="6"/>
  <c r="DY215" i="6" s="1"/>
  <c r="DW215" i="6"/>
  <c r="DN215" i="6"/>
  <c r="CP215" i="6"/>
  <c r="CO215" i="6"/>
  <c r="CY215" i="6" s="1"/>
  <c r="CW215" i="6"/>
  <c r="CN215" i="6"/>
  <c r="BN215" i="6"/>
  <c r="BW215" i="6"/>
  <c r="BO215" i="6"/>
  <c r="BY215" i="6" s="1"/>
  <c r="BP215" i="6"/>
  <c r="BQ214" i="6"/>
  <c r="CA214" i="6" s="1"/>
  <c r="BR214" i="6"/>
  <c r="DN229" i="6"/>
  <c r="DO229" i="6"/>
  <c r="DY229" i="6" s="1"/>
  <c r="DW229" i="6"/>
  <c r="DP229" i="6"/>
  <c r="P215" i="6"/>
  <c r="N215" i="6"/>
  <c r="O215" i="6"/>
  <c r="Y215" i="6" s="1"/>
  <c r="W215" i="6"/>
  <c r="AR228" i="6"/>
  <c r="BA228" i="6" s="1"/>
  <c r="AQ228" i="6"/>
  <c r="Q228" i="6"/>
  <c r="R228" i="6"/>
  <c r="AA228" i="6" s="1"/>
  <c r="A231" i="6"/>
  <c r="V230" i="6"/>
  <c r="BJ230" i="6"/>
  <c r="BM230" i="6" s="1"/>
  <c r="BV230" i="6"/>
  <c r="EF230" i="6"/>
  <c r="CV230" i="6"/>
  <c r="J230" i="6"/>
  <c r="M230" i="6" s="1"/>
  <c r="DJ230" i="6"/>
  <c r="DM230" i="6" s="1"/>
  <c r="DV230" i="6"/>
  <c r="AV230" i="6"/>
  <c r="CJ230" i="6"/>
  <c r="CM230" i="6" s="1"/>
  <c r="AJ230" i="6"/>
  <c r="AM230" i="6" s="1"/>
  <c r="DQ228" i="6"/>
  <c r="DR228" i="6"/>
  <c r="R214" i="6"/>
  <c r="AA214" i="6" s="1"/>
  <c r="Q214" i="6"/>
  <c r="CW229" i="6"/>
  <c r="CP229" i="6"/>
  <c r="CN229" i="6"/>
  <c r="CO229" i="6"/>
  <c r="CY229" i="6" s="1"/>
  <c r="N229" i="6"/>
  <c r="O229" i="6"/>
  <c r="Y229" i="6" s="1"/>
  <c r="W229" i="6"/>
  <c r="P229" i="6"/>
  <c r="AW215" i="6"/>
  <c r="AN215" i="6"/>
  <c r="AP215" i="6"/>
  <c r="AO215" i="6"/>
  <c r="AY215" i="6" s="1"/>
  <c r="A217" i="6"/>
  <c r="J216" i="6"/>
  <c r="M216" i="6" s="1"/>
  <c r="CJ216" i="6"/>
  <c r="CM216" i="6" s="1"/>
  <c r="BJ216" i="6"/>
  <c r="BM216" i="6" s="1"/>
  <c r="DV216" i="6"/>
  <c r="EF216" i="6"/>
  <c r="CV216" i="6"/>
  <c r="DJ216" i="6"/>
  <c r="DM216" i="6" s="1"/>
  <c r="AJ216" i="6"/>
  <c r="AM216" i="6" s="1"/>
  <c r="AV216" i="6"/>
  <c r="V216" i="6"/>
  <c r="BV216" i="6"/>
  <c r="CR228" i="6"/>
  <c r="CQ228" i="6"/>
  <c r="DA228" i="6" s="1"/>
  <c r="DQ214" i="6"/>
  <c r="DR214" i="6"/>
  <c r="CQ214" i="6"/>
  <c r="DA214" i="6" s="1"/>
  <c r="CR214" i="6"/>
  <c r="AR214" i="6"/>
  <c r="BA214" i="6" s="1"/>
  <c r="AQ214" i="6"/>
  <c r="EL155" i="6"/>
  <c r="EL168" i="6"/>
  <c r="Q200" i="6"/>
  <c r="X200" i="6"/>
  <c r="AD200" i="6" s="1"/>
  <c r="CN187" i="6"/>
  <c r="CR187" i="6" s="1"/>
  <c r="CC185" i="6"/>
  <c r="CO187" i="6"/>
  <c r="CY187" i="6" s="1"/>
  <c r="CQ159" i="6"/>
  <c r="DR200" i="6"/>
  <c r="EC200" i="6" s="1"/>
  <c r="CR201" i="6"/>
  <c r="CP160" i="6"/>
  <c r="BW160" i="6"/>
  <c r="BZ160" i="6" s="1"/>
  <c r="N160" i="6"/>
  <c r="R160" i="6" s="1"/>
  <c r="W160" i="6"/>
  <c r="AB160" i="6" s="1"/>
  <c r="O160" i="6"/>
  <c r="Y160" i="6" s="1"/>
  <c r="CW187" i="6"/>
  <c r="CZ187" i="6" s="1"/>
  <c r="BZ159" i="6"/>
  <c r="AZ159" i="6"/>
  <c r="BM188" i="6"/>
  <c r="BP188" i="6" s="1"/>
  <c r="CO201" i="6"/>
  <c r="CY201" i="6" s="1"/>
  <c r="CP201" i="6"/>
  <c r="CW201" i="6"/>
  <c r="CZ201" i="6" s="1"/>
  <c r="DM202" i="6"/>
  <c r="DN202" i="6" s="1"/>
  <c r="DQ202" i="6" s="1"/>
  <c r="DX172" i="6"/>
  <c r="ED172" i="6" s="1"/>
  <c r="EJ168" i="6"/>
  <c r="CD158" i="6"/>
  <c r="EJ182" i="6"/>
  <c r="BX171" i="6"/>
  <c r="AX200" i="6"/>
  <c r="X159" i="6"/>
  <c r="BP187" i="6"/>
  <c r="BB186" i="6"/>
  <c r="AW160" i="6"/>
  <c r="AZ160" i="6" s="1"/>
  <c r="B177" i="6"/>
  <c r="G176" i="6"/>
  <c r="AG176" i="6"/>
  <c r="CG176" i="6"/>
  <c r="BG176" i="6"/>
  <c r="DG176" i="6"/>
  <c r="AP160" i="6"/>
  <c r="AO160" i="6"/>
  <c r="AY160" i="6" s="1"/>
  <c r="X171" i="6"/>
  <c r="AD171" i="6" s="1"/>
  <c r="AO187" i="6"/>
  <c r="AY187" i="6" s="1"/>
  <c r="BO187" i="6"/>
  <c r="BY187" i="6" s="1"/>
  <c r="BW187" i="6"/>
  <c r="BZ187" i="6" s="1"/>
  <c r="G163" i="6"/>
  <c r="BG163" i="6"/>
  <c r="AG163" i="6"/>
  <c r="DG163" i="6"/>
  <c r="CG163" i="6"/>
  <c r="B164" i="6"/>
  <c r="DM188" i="6"/>
  <c r="DP188" i="6" s="1"/>
  <c r="CB172" i="6"/>
  <c r="CM202" i="6"/>
  <c r="CO202" i="6" s="1"/>
  <c r="CY202" i="6" s="1"/>
  <c r="BC200" i="6"/>
  <c r="EJ155" i="6"/>
  <c r="EG197" i="6"/>
  <c r="EH197" i="6" s="1"/>
  <c r="EI197" i="6" s="1"/>
  <c r="AC159" i="6"/>
  <c r="CZ186" i="6"/>
  <c r="EG183" i="6"/>
  <c r="EH183" i="6" s="1"/>
  <c r="EI183" i="6" s="1"/>
  <c r="EG156" i="6"/>
  <c r="EH156" i="6" s="1"/>
  <c r="EI156" i="6" s="1"/>
  <c r="AX185" i="6"/>
  <c r="AR160" i="6"/>
  <c r="DN173" i="6"/>
  <c r="DQ173" i="6" s="1"/>
  <c r="BD170" i="6"/>
  <c r="BD184" i="6"/>
  <c r="EG184" i="6" s="1"/>
  <c r="EH184" i="6" s="1"/>
  <c r="EI184" i="6" s="1"/>
  <c r="CD199" i="6"/>
  <c r="CD157" i="6"/>
  <c r="AD185" i="6"/>
  <c r="DD171" i="6"/>
  <c r="AD170" i="6"/>
  <c r="BD157" i="6"/>
  <c r="BD198" i="6"/>
  <c r="EG198" i="6" s="1"/>
  <c r="EH198" i="6" s="1"/>
  <c r="EI198" i="6" s="1"/>
  <c r="EG169" i="6"/>
  <c r="EH169" i="6" s="1"/>
  <c r="EI169" i="6" s="1"/>
  <c r="DD157" i="6"/>
  <c r="BY186" i="6"/>
  <c r="R172" i="6"/>
  <c r="BR172" i="6"/>
  <c r="BX172" i="6" s="1"/>
  <c r="BR186" i="6"/>
  <c r="BX186" i="6" s="1"/>
  <c r="DD158" i="6"/>
  <c r="ED200" i="6"/>
  <c r="BN173" i="6"/>
  <c r="BQ173" i="6" s="1"/>
  <c r="BW173" i="6"/>
  <c r="BZ173" i="6" s="1"/>
  <c r="AR172" i="6"/>
  <c r="DW173" i="6"/>
  <c r="DZ173" i="6" s="1"/>
  <c r="CO160" i="6"/>
  <c r="CY160" i="6" s="1"/>
  <c r="AP187" i="6"/>
  <c r="CQ160" i="6"/>
  <c r="CR160" i="6"/>
  <c r="DP173" i="6"/>
  <c r="CW160" i="6"/>
  <c r="EC158" i="6"/>
  <c r="DX158" i="6"/>
  <c r="ED158" i="6" s="1"/>
  <c r="Z159" i="6"/>
  <c r="AB159" i="6"/>
  <c r="BP173" i="6"/>
  <c r="AN187" i="6"/>
  <c r="AQ187" i="6" s="1"/>
  <c r="AM202" i="6"/>
  <c r="AN202" i="6" s="1"/>
  <c r="EC171" i="6"/>
  <c r="DY186" i="6"/>
  <c r="EB201" i="6"/>
  <c r="DZ201" i="6"/>
  <c r="EC199" i="6"/>
  <c r="DX171" i="6"/>
  <c r="ED171" i="6" s="1"/>
  <c r="EB173" i="6"/>
  <c r="EC172" i="6"/>
  <c r="DY159" i="6"/>
  <c r="EB186" i="6"/>
  <c r="DZ186" i="6"/>
  <c r="X199" i="6"/>
  <c r="AC199" i="6"/>
  <c r="CZ200" i="6"/>
  <c r="DB200" i="6"/>
  <c r="BB200" i="6"/>
  <c r="AZ200" i="6"/>
  <c r="CX199" i="6"/>
  <c r="DC199" i="6"/>
  <c r="P201" i="6"/>
  <c r="N201" i="6"/>
  <c r="W201" i="6"/>
  <c r="BR200" i="6"/>
  <c r="BQ200" i="6"/>
  <c r="CA200" i="6" s="1"/>
  <c r="BW201" i="6"/>
  <c r="DN201" i="6"/>
  <c r="DP201" i="6"/>
  <c r="BO201" i="6"/>
  <c r="BY201" i="6" s="1"/>
  <c r="DO201" i="6"/>
  <c r="CQ200" i="6"/>
  <c r="DA200" i="6" s="1"/>
  <c r="CR200" i="6"/>
  <c r="AW201" i="6"/>
  <c r="AR201" i="6"/>
  <c r="AQ201" i="6"/>
  <c r="AP201" i="6"/>
  <c r="M202" i="6"/>
  <c r="W202" i="6" s="1"/>
  <c r="AB202" i="6" s="1"/>
  <c r="DP160" i="6"/>
  <c r="CM188" i="6"/>
  <c r="CN188" i="6" s="1"/>
  <c r="BR201" i="6"/>
  <c r="BQ201" i="6"/>
  <c r="DO160" i="6"/>
  <c r="BP201" i="6"/>
  <c r="BM202" i="6"/>
  <c r="BO202" i="6" s="1"/>
  <c r="BY202" i="6" s="1"/>
  <c r="DQ160" i="6"/>
  <c r="DR160" i="6"/>
  <c r="DW160" i="6"/>
  <c r="P187" i="6"/>
  <c r="O187" i="6"/>
  <c r="Y187" i="6" s="1"/>
  <c r="N187" i="6"/>
  <c r="W187" i="6"/>
  <c r="BB187" i="6"/>
  <c r="AZ187" i="6"/>
  <c r="M188" i="6"/>
  <c r="DC186" i="6"/>
  <c r="AS203" i="6"/>
  <c r="AT203" i="6" s="1"/>
  <c r="AU203" i="6"/>
  <c r="AV203" i="6" s="1"/>
  <c r="AK203" i="6"/>
  <c r="AL203" i="6"/>
  <c r="DS203" i="6"/>
  <c r="DT203" i="6" s="1"/>
  <c r="DU203" i="6"/>
  <c r="DV203" i="6" s="1"/>
  <c r="DL203" i="6"/>
  <c r="DK203" i="6"/>
  <c r="AH204" i="6"/>
  <c r="AI204" i="6" s="1"/>
  <c r="C205" i="6"/>
  <c r="H204" i="6"/>
  <c r="I204" i="6" s="1"/>
  <c r="CH204" i="6"/>
  <c r="CI204" i="6" s="1"/>
  <c r="BH204" i="6"/>
  <c r="BI204" i="6" s="1"/>
  <c r="DH204" i="6"/>
  <c r="DI204" i="6" s="1"/>
  <c r="EA204" i="6" s="1"/>
  <c r="BC186" i="6"/>
  <c r="AX186" i="6"/>
  <c r="Z186" i="6"/>
  <c r="AB186" i="6"/>
  <c r="BU189" i="6"/>
  <c r="BV189" i="6" s="1"/>
  <c r="BS189" i="6"/>
  <c r="BT189" i="6" s="1"/>
  <c r="BK189" i="6"/>
  <c r="BL189" i="6"/>
  <c r="AU189" i="6"/>
  <c r="AV189" i="6" s="1"/>
  <c r="AS189" i="6"/>
  <c r="AT189" i="6" s="1"/>
  <c r="AL189" i="6"/>
  <c r="AK189" i="6"/>
  <c r="CU189" i="6"/>
  <c r="CV189" i="6" s="1"/>
  <c r="CK189" i="6"/>
  <c r="CL189" i="6"/>
  <c r="CS189" i="6"/>
  <c r="CT189" i="6" s="1"/>
  <c r="AM188" i="6"/>
  <c r="CX186" i="6"/>
  <c r="DP187" i="6"/>
  <c r="DO187" i="6"/>
  <c r="DW187" i="6"/>
  <c r="DN187" i="6"/>
  <c r="CC186" i="6"/>
  <c r="DQ186" i="6"/>
  <c r="DR186" i="6"/>
  <c r="S203" i="6"/>
  <c r="T203" i="6" s="1"/>
  <c r="U203" i="6"/>
  <c r="V203" i="6" s="1"/>
  <c r="L203" i="6"/>
  <c r="K203" i="6"/>
  <c r="BK203" i="6"/>
  <c r="BU203" i="6"/>
  <c r="BV203" i="6" s="1"/>
  <c r="BS203" i="6"/>
  <c r="BT203" i="6" s="1"/>
  <c r="BL203" i="6"/>
  <c r="CS203" i="6"/>
  <c r="CT203" i="6" s="1"/>
  <c r="CU203" i="6"/>
  <c r="CV203" i="6" s="1"/>
  <c r="CK203" i="6"/>
  <c r="CL203" i="6"/>
  <c r="BR187" i="6"/>
  <c r="BQ187" i="6"/>
  <c r="Q186" i="6"/>
  <c r="R186" i="6"/>
  <c r="AA186" i="6" s="1"/>
  <c r="DU189" i="6"/>
  <c r="DV189" i="6" s="1"/>
  <c r="DK189" i="6"/>
  <c r="DS189" i="6"/>
  <c r="DT189" i="6" s="1"/>
  <c r="DL189" i="6"/>
  <c r="S189" i="6"/>
  <c r="T189" i="6" s="1"/>
  <c r="K189" i="6"/>
  <c r="U189" i="6"/>
  <c r="V189" i="6" s="1"/>
  <c r="L189" i="6"/>
  <c r="C191" i="6"/>
  <c r="H190" i="6"/>
  <c r="I190" i="6" s="1"/>
  <c r="CH190" i="6"/>
  <c r="CI190" i="6" s="1"/>
  <c r="DH190" i="6"/>
  <c r="DI190" i="6" s="1"/>
  <c r="EA190" i="6" s="1"/>
  <c r="BH190" i="6"/>
  <c r="BI190" i="6" s="1"/>
  <c r="AH190" i="6"/>
  <c r="AI190" i="6" s="1"/>
  <c r="EF190" i="6"/>
  <c r="BC158" i="6"/>
  <c r="AX158" i="6"/>
  <c r="DQ159" i="6"/>
  <c r="DR159" i="6"/>
  <c r="CZ159" i="6"/>
  <c r="DB159" i="6"/>
  <c r="CY159" i="6"/>
  <c r="AQ159" i="6"/>
  <c r="AR159" i="6"/>
  <c r="BA159" i="6" s="1"/>
  <c r="BO160" i="6"/>
  <c r="BY160" i="6" s="1"/>
  <c r="BR159" i="6"/>
  <c r="BQ159" i="6"/>
  <c r="CA159" i="6" s="1"/>
  <c r="BR160" i="6"/>
  <c r="BQ160" i="6"/>
  <c r="BP160" i="6"/>
  <c r="X158" i="6"/>
  <c r="AC158" i="6"/>
  <c r="CU175" i="6"/>
  <c r="CS175" i="6"/>
  <c r="CT175" i="6" s="1"/>
  <c r="CL175" i="6"/>
  <c r="CK175" i="6"/>
  <c r="AU175" i="6"/>
  <c r="AK175" i="6"/>
  <c r="AL175" i="6"/>
  <c r="AS175" i="6"/>
  <c r="AT175" i="6" s="1"/>
  <c r="BU175" i="6"/>
  <c r="BS175" i="6"/>
  <c r="BT175" i="6" s="1"/>
  <c r="BL175" i="6"/>
  <c r="BK175" i="6"/>
  <c r="O173" i="6"/>
  <c r="Y173" i="6" s="1"/>
  <c r="N173" i="6"/>
  <c r="W173" i="6"/>
  <c r="P173" i="6"/>
  <c r="CQ172" i="6"/>
  <c r="CR172" i="6"/>
  <c r="AO173" i="6"/>
  <c r="AY173" i="6" s="1"/>
  <c r="AP173" i="6"/>
  <c r="AW173" i="6"/>
  <c r="AN173" i="6"/>
  <c r="CC172" i="6"/>
  <c r="DK162" i="6"/>
  <c r="DU162" i="6"/>
  <c r="DL162" i="6"/>
  <c r="DS162" i="6"/>
  <c r="DT162" i="6" s="1"/>
  <c r="K162" i="6"/>
  <c r="L162" i="6"/>
  <c r="S162" i="6"/>
  <c r="T162" i="6" s="1"/>
  <c r="U162" i="6"/>
  <c r="C164" i="6"/>
  <c r="AH163" i="6"/>
  <c r="AI163" i="6" s="1"/>
  <c r="BH163" i="6"/>
  <c r="BI163" i="6" s="1"/>
  <c r="H163" i="6"/>
  <c r="I163" i="6" s="1"/>
  <c r="DH163" i="6"/>
  <c r="DI163" i="6" s="1"/>
  <c r="EA163" i="6" s="1"/>
  <c r="CH163" i="6"/>
  <c r="CI163" i="6" s="1"/>
  <c r="CC171" i="6"/>
  <c r="DU175" i="6"/>
  <c r="DK175" i="6"/>
  <c r="DL175" i="6"/>
  <c r="DS175" i="6"/>
  <c r="DT175" i="6" s="1"/>
  <c r="U175" i="6"/>
  <c r="S175" i="6"/>
  <c r="T175" i="6" s="1"/>
  <c r="L175" i="6"/>
  <c r="K175" i="6"/>
  <c r="BH176" i="6"/>
  <c r="BI176" i="6" s="1"/>
  <c r="C177" i="6"/>
  <c r="DH176" i="6"/>
  <c r="DI176" i="6" s="1"/>
  <c r="EA176" i="6" s="1"/>
  <c r="CH176" i="6"/>
  <c r="CI176" i="6" s="1"/>
  <c r="H176" i="6"/>
  <c r="I176" i="6" s="1"/>
  <c r="AH176" i="6"/>
  <c r="AI176" i="6" s="1"/>
  <c r="CN173" i="6"/>
  <c r="CW173" i="6"/>
  <c r="CP173" i="6"/>
  <c r="CO173" i="6"/>
  <c r="DB172" i="6"/>
  <c r="CZ172" i="6"/>
  <c r="CY172" i="6"/>
  <c r="AK162" i="6"/>
  <c r="AL162" i="6"/>
  <c r="AU162" i="6"/>
  <c r="AS162" i="6"/>
  <c r="AT162" i="6" s="1"/>
  <c r="CK162" i="6"/>
  <c r="CU162" i="6"/>
  <c r="CL162" i="6"/>
  <c r="CS162" i="6"/>
  <c r="CT162" i="6" s="1"/>
  <c r="BS162" i="6"/>
  <c r="BT162" i="6" s="1"/>
  <c r="BL162" i="6"/>
  <c r="BK162" i="6"/>
  <c r="BU162" i="6"/>
  <c r="BC171" i="6"/>
  <c r="AX171" i="6"/>
  <c r="DC201" i="6"/>
  <c r="BJ204" i="6"/>
  <c r="CJ204" i="6"/>
  <c r="EF205" i="6"/>
  <c r="AJ204" i="6"/>
  <c r="DJ204" i="6"/>
  <c r="J204" i="6"/>
  <c r="BJ192" i="6"/>
  <c r="AJ192" i="6"/>
  <c r="DJ192" i="6"/>
  <c r="J192" i="6"/>
  <c r="CJ192" i="6"/>
  <c r="BV162" i="6" l="1"/>
  <c r="V162" i="6"/>
  <c r="CV162" i="6"/>
  <c r="AV162" i="6"/>
  <c r="DV162" i="6"/>
  <c r="CA187" i="6"/>
  <c r="CA173" i="6"/>
  <c r="CA160" i="6"/>
  <c r="AA160" i="6"/>
  <c r="CA201" i="6"/>
  <c r="CX172" i="6"/>
  <c r="DA172" i="6"/>
  <c r="DC159" i="6"/>
  <c r="DA159" i="6"/>
  <c r="DC160" i="6"/>
  <c r="DA160" i="6"/>
  <c r="AC172" i="6"/>
  <c r="AA172" i="6"/>
  <c r="BA160" i="6"/>
  <c r="AX172" i="6"/>
  <c r="BD172" i="6" s="1"/>
  <c r="BA172" i="6"/>
  <c r="BA201" i="6"/>
  <c r="DA201" i="6"/>
  <c r="EL212" i="6"/>
  <c r="DZ161" i="6"/>
  <c r="DX214" i="6"/>
  <c r="ED214" i="6" s="1"/>
  <c r="EC214" i="6"/>
  <c r="EB229" i="6"/>
  <c r="DZ229" i="6"/>
  <c r="EC228" i="6"/>
  <c r="DX228" i="6"/>
  <c r="ED228" i="6" s="1"/>
  <c r="DZ215" i="6"/>
  <c r="EB215" i="6"/>
  <c r="A163" i="6"/>
  <c r="EF162" i="6"/>
  <c r="BJ162" i="6"/>
  <c r="BM162" i="6" s="1"/>
  <c r="BO162" i="6" s="1"/>
  <c r="BY162" i="6" s="1"/>
  <c r="J162" i="6"/>
  <c r="M162" i="6" s="1"/>
  <c r="N162" i="6" s="1"/>
  <c r="CJ162" i="6"/>
  <c r="CM162" i="6" s="1"/>
  <c r="CN162" i="6" s="1"/>
  <c r="AJ162" i="6"/>
  <c r="AM162" i="6" s="1"/>
  <c r="AW162" i="6" s="1"/>
  <c r="DJ162" i="6"/>
  <c r="DM162" i="6" s="1"/>
  <c r="DP162" i="6" s="1"/>
  <c r="V175" i="6"/>
  <c r="DV175" i="6"/>
  <c r="BV175" i="6"/>
  <c r="AV175" i="6"/>
  <c r="CV175" i="6"/>
  <c r="A176" i="6"/>
  <c r="BJ175" i="6"/>
  <c r="BM175" i="6" s="1"/>
  <c r="BN175" i="6" s="1"/>
  <c r="CJ175" i="6"/>
  <c r="CM175" i="6" s="1"/>
  <c r="CP175" i="6" s="1"/>
  <c r="J175" i="6"/>
  <c r="M175" i="6" s="1"/>
  <c r="P175" i="6" s="1"/>
  <c r="DJ175" i="6"/>
  <c r="DM175" i="6" s="1"/>
  <c r="DN175" i="6" s="1"/>
  <c r="AJ175" i="6"/>
  <c r="EF175" i="6"/>
  <c r="EL226" i="6"/>
  <c r="EG227" i="6"/>
  <c r="EH227" i="6" s="1"/>
  <c r="EI227" i="6" s="1"/>
  <c r="EJ227" i="6" s="1"/>
  <c r="EG213" i="6"/>
  <c r="EH213" i="6" s="1"/>
  <c r="EI213" i="6" s="1"/>
  <c r="EL213" i="6" s="1"/>
  <c r="X228" i="6"/>
  <c r="AD228" i="6" s="1"/>
  <c r="AC228" i="6"/>
  <c r="AB215" i="6"/>
  <c r="Z215" i="6"/>
  <c r="BZ215" i="6"/>
  <c r="CB215" i="6"/>
  <c r="AX214" i="6"/>
  <c r="BD214" i="6" s="1"/>
  <c r="BC214" i="6"/>
  <c r="Z229" i="6"/>
  <c r="AB229" i="6"/>
  <c r="X214" i="6"/>
  <c r="AD214" i="6" s="1"/>
  <c r="AC214" i="6"/>
  <c r="BX214" i="6"/>
  <c r="CD214" i="6" s="1"/>
  <c r="CC214" i="6"/>
  <c r="CX228" i="6"/>
  <c r="DD228" i="6" s="1"/>
  <c r="DC228" i="6"/>
  <c r="BB229" i="6"/>
  <c r="AZ229" i="6"/>
  <c r="CX214" i="6"/>
  <c r="DD214" i="6" s="1"/>
  <c r="DC214" i="6"/>
  <c r="BB215" i="6"/>
  <c r="AZ215" i="6"/>
  <c r="DB229" i="6"/>
  <c r="CZ229" i="6"/>
  <c r="AX228" i="6"/>
  <c r="BD228" i="6" s="1"/>
  <c r="BC228" i="6"/>
  <c r="DB215" i="6"/>
  <c r="CZ215" i="6"/>
  <c r="BX228" i="6"/>
  <c r="CD228" i="6" s="1"/>
  <c r="CC228" i="6"/>
  <c r="CB229" i="6"/>
  <c r="BZ229" i="6"/>
  <c r="BO216" i="6"/>
  <c r="BY216" i="6" s="1"/>
  <c r="BN216" i="6"/>
  <c r="BP216" i="6"/>
  <c r="BW216" i="6"/>
  <c r="AW230" i="6"/>
  <c r="AP230" i="6"/>
  <c r="AO230" i="6"/>
  <c r="AY230" i="6" s="1"/>
  <c r="AN230" i="6"/>
  <c r="CW216" i="6"/>
  <c r="CN216" i="6"/>
  <c r="CO216" i="6"/>
  <c r="CY216" i="6" s="1"/>
  <c r="CP216" i="6"/>
  <c r="CQ229" i="6"/>
  <c r="DA229" i="6" s="1"/>
  <c r="CR229" i="6"/>
  <c r="CW230" i="6"/>
  <c r="CP230" i="6"/>
  <c r="CO230" i="6"/>
  <c r="CY230" i="6" s="1"/>
  <c r="CN230" i="6"/>
  <c r="P230" i="6"/>
  <c r="O230" i="6"/>
  <c r="Y230" i="6" s="1"/>
  <c r="W230" i="6"/>
  <c r="N230" i="6"/>
  <c r="BP230" i="6"/>
  <c r="BO230" i="6"/>
  <c r="BY230" i="6" s="1"/>
  <c r="BW230" i="6"/>
  <c r="BN230" i="6"/>
  <c r="BR215" i="6"/>
  <c r="BQ215" i="6"/>
  <c r="CA215" i="6" s="1"/>
  <c r="BQ229" i="6"/>
  <c r="BR229" i="6"/>
  <c r="DP216" i="6"/>
  <c r="DN216" i="6"/>
  <c r="DW216" i="6"/>
  <c r="DO216" i="6"/>
  <c r="DY216" i="6" s="1"/>
  <c r="N216" i="6"/>
  <c r="P216" i="6"/>
  <c r="W216" i="6"/>
  <c r="O216" i="6"/>
  <c r="Y216" i="6" s="1"/>
  <c r="AR215" i="6"/>
  <c r="BA215" i="6" s="1"/>
  <c r="AQ215" i="6"/>
  <c r="R215" i="6"/>
  <c r="AA215" i="6" s="1"/>
  <c r="Q215" i="6"/>
  <c r="CR215" i="6"/>
  <c r="CQ215" i="6"/>
  <c r="DA215" i="6" s="1"/>
  <c r="DR215" i="6"/>
  <c r="DQ215" i="6"/>
  <c r="DP230" i="6"/>
  <c r="DW230" i="6"/>
  <c r="DN230" i="6"/>
  <c r="DO230" i="6"/>
  <c r="DY230" i="6" s="1"/>
  <c r="AP216" i="6"/>
  <c r="AO216" i="6"/>
  <c r="AY216" i="6" s="1"/>
  <c r="AW216" i="6"/>
  <c r="AN216" i="6"/>
  <c r="A218" i="6"/>
  <c r="V217" i="6"/>
  <c r="BJ217" i="6"/>
  <c r="BM217" i="6" s="1"/>
  <c r="EF217" i="6"/>
  <c r="CJ217" i="6"/>
  <c r="CM217" i="6" s="1"/>
  <c r="CV217" i="6"/>
  <c r="J217" i="6"/>
  <c r="M217" i="6" s="1"/>
  <c r="DV217" i="6"/>
  <c r="AJ217" i="6"/>
  <c r="AM217" i="6" s="1"/>
  <c r="BV217" i="6"/>
  <c r="DJ217" i="6"/>
  <c r="DM217" i="6" s="1"/>
  <c r="AV217" i="6"/>
  <c r="R229" i="6"/>
  <c r="AA229" i="6" s="1"/>
  <c r="Q229" i="6"/>
  <c r="DV231" i="6"/>
  <c r="AV231" i="6"/>
  <c r="CJ231" i="6"/>
  <c r="CM231" i="6" s="1"/>
  <c r="CV231" i="6"/>
  <c r="BV231" i="6"/>
  <c r="DJ231" i="6"/>
  <c r="DM231" i="6" s="1"/>
  <c r="AJ231" i="6"/>
  <c r="AM231" i="6" s="1"/>
  <c r="J231" i="6"/>
  <c r="M231" i="6" s="1"/>
  <c r="A232" i="6"/>
  <c r="V231" i="6"/>
  <c r="BJ231" i="6"/>
  <c r="BM231" i="6" s="1"/>
  <c r="EF231" i="6"/>
  <c r="DQ229" i="6"/>
  <c r="DR229" i="6"/>
  <c r="AQ229" i="6"/>
  <c r="AR229" i="6"/>
  <c r="BA229" i="6" s="1"/>
  <c r="EL156" i="6"/>
  <c r="EL169" i="6"/>
  <c r="EL198" i="6"/>
  <c r="EL197" i="6"/>
  <c r="EL184" i="6"/>
  <c r="EL183" i="6"/>
  <c r="EJ156" i="6"/>
  <c r="CQ187" i="6"/>
  <c r="EG170" i="6"/>
  <c r="EH170" i="6" s="1"/>
  <c r="EI170" i="6" s="1"/>
  <c r="BW188" i="6"/>
  <c r="BZ188" i="6" s="1"/>
  <c r="DO202" i="6"/>
  <c r="DY202" i="6" s="1"/>
  <c r="CB160" i="6"/>
  <c r="DB187" i="6"/>
  <c r="BO188" i="6"/>
  <c r="BY188" i="6" s="1"/>
  <c r="DP202" i="6"/>
  <c r="CX159" i="6"/>
  <c r="DD159" i="6" s="1"/>
  <c r="BN188" i="6"/>
  <c r="BR188" i="6" s="1"/>
  <c r="DW202" i="6"/>
  <c r="AX160" i="6"/>
  <c r="BD160" i="6" s="1"/>
  <c r="DB201" i="6"/>
  <c r="AN161" i="6"/>
  <c r="AQ161" i="6" s="1"/>
  <c r="Q160" i="6"/>
  <c r="AC160" i="6" s="1"/>
  <c r="CX201" i="6"/>
  <c r="DD201" i="6" s="1"/>
  <c r="BD200" i="6"/>
  <c r="Z160" i="6"/>
  <c r="AW174" i="6"/>
  <c r="BB174" i="6" s="1"/>
  <c r="BP161" i="6"/>
  <c r="CD171" i="6"/>
  <c r="CC201" i="6"/>
  <c r="BC201" i="6"/>
  <c r="DP161" i="6"/>
  <c r="CN202" i="6"/>
  <c r="CQ202" i="6" s="1"/>
  <c r="EJ183" i="6"/>
  <c r="EJ184" i="6"/>
  <c r="BB160" i="6"/>
  <c r="B178" i="6"/>
  <c r="G177" i="6"/>
  <c r="BG177" i="6"/>
  <c r="CG177" i="6"/>
  <c r="AG177" i="6"/>
  <c r="DG177" i="6"/>
  <c r="CB187" i="6"/>
  <c r="DO188" i="6"/>
  <c r="DY188" i="6" s="1"/>
  <c r="DN188" i="6"/>
  <c r="DR188" i="6" s="1"/>
  <c r="G164" i="6"/>
  <c r="AG164" i="6"/>
  <c r="BG164" i="6"/>
  <c r="DG164" i="6"/>
  <c r="CG164" i="6"/>
  <c r="B165" i="6"/>
  <c r="DW188" i="6"/>
  <c r="CP202" i="6"/>
  <c r="CW202" i="6"/>
  <c r="CZ202" i="6" s="1"/>
  <c r="BC172" i="6"/>
  <c r="X172" i="6"/>
  <c r="DN161" i="6"/>
  <c r="DQ161" i="6" s="1"/>
  <c r="CX160" i="6"/>
  <c r="BC160" i="6"/>
  <c r="EJ197" i="6"/>
  <c r="EJ198" i="6"/>
  <c r="DR173" i="6"/>
  <c r="DX173" i="6" s="1"/>
  <c r="ED173" i="6" s="1"/>
  <c r="CB173" i="6"/>
  <c r="BD185" i="6"/>
  <c r="EG185" i="6" s="1"/>
  <c r="EH185" i="6" s="1"/>
  <c r="EI185" i="6" s="1"/>
  <c r="Z202" i="6"/>
  <c r="N202" i="6"/>
  <c r="CC160" i="6"/>
  <c r="BX160" i="6"/>
  <c r="CD160" i="6" s="1"/>
  <c r="EG157" i="6"/>
  <c r="EH157" i="6" s="1"/>
  <c r="EI157" i="6" s="1"/>
  <c r="CD172" i="6"/>
  <c r="CD186" i="6"/>
  <c r="AD159" i="6"/>
  <c r="AD199" i="6"/>
  <c r="AD158" i="6"/>
  <c r="BD158" i="6"/>
  <c r="BD171" i="6"/>
  <c r="DD186" i="6"/>
  <c r="BD186" i="6"/>
  <c r="DD199" i="6"/>
  <c r="EJ169" i="6"/>
  <c r="BR173" i="6"/>
  <c r="CO188" i="6"/>
  <c r="CY188" i="6" s="1"/>
  <c r="AX201" i="6"/>
  <c r="AR187" i="6"/>
  <c r="CZ160" i="6"/>
  <c r="DB160" i="6"/>
  <c r="DO161" i="6"/>
  <c r="DY161" i="6" s="1"/>
  <c r="DR202" i="6"/>
  <c r="EC202" i="6" s="1"/>
  <c r="BW174" i="6"/>
  <c r="CB174" i="6" s="1"/>
  <c r="CW188" i="6"/>
  <c r="DB188" i="6" s="1"/>
  <c r="BP174" i="6"/>
  <c r="AN174" i="6"/>
  <c r="AR174" i="6" s="1"/>
  <c r="AW202" i="6"/>
  <c r="AP202" i="6"/>
  <c r="AR202" i="6"/>
  <c r="AQ202" i="6"/>
  <c r="AO202" i="6"/>
  <c r="AY202" i="6" s="1"/>
  <c r="EC159" i="6"/>
  <c r="EC186" i="6"/>
  <c r="EB187" i="6"/>
  <c r="DZ187" i="6"/>
  <c r="EB188" i="6"/>
  <c r="DZ188" i="6"/>
  <c r="DZ202" i="6"/>
  <c r="EB202" i="6"/>
  <c r="EC160" i="6"/>
  <c r="DX159" i="6"/>
  <c r="ED159" i="6" s="1"/>
  <c r="DX186" i="6"/>
  <c r="ED186" i="6" s="1"/>
  <c r="EC173" i="6"/>
  <c r="DY187" i="6"/>
  <c r="DZ160" i="6"/>
  <c r="EB160" i="6"/>
  <c r="DY160" i="6"/>
  <c r="DX160" i="6"/>
  <c r="DY201" i="6"/>
  <c r="DX202" i="6"/>
  <c r="BX201" i="6"/>
  <c r="CP188" i="6"/>
  <c r="AZ201" i="6"/>
  <c r="BB201" i="6"/>
  <c r="CX200" i="6"/>
  <c r="DC200" i="6"/>
  <c r="BX200" i="6"/>
  <c r="CC200" i="6"/>
  <c r="Z201" i="6"/>
  <c r="AB201" i="6"/>
  <c r="BZ201" i="6"/>
  <c r="CB201" i="6"/>
  <c r="R201" i="6"/>
  <c r="AA201" i="6" s="1"/>
  <c r="Q201" i="6"/>
  <c r="BN174" i="6"/>
  <c r="BR174" i="6" s="1"/>
  <c r="AO174" i="6"/>
  <c r="AY174" i="6" s="1"/>
  <c r="DQ201" i="6"/>
  <c r="DR201" i="6"/>
  <c r="O202" i="6"/>
  <c r="Y202" i="6" s="1"/>
  <c r="P202" i="6"/>
  <c r="BW202" i="6"/>
  <c r="DM189" i="6"/>
  <c r="DN189" i="6" s="1"/>
  <c r="BN202" i="6"/>
  <c r="CM203" i="6"/>
  <c r="CO203" i="6" s="1"/>
  <c r="CY203" i="6" s="1"/>
  <c r="BM203" i="6"/>
  <c r="BO203" i="6" s="1"/>
  <c r="BY203" i="6" s="1"/>
  <c r="M203" i="6"/>
  <c r="N203" i="6" s="1"/>
  <c r="CM189" i="6"/>
  <c r="CW189" i="6" s="1"/>
  <c r="AM189" i="6"/>
  <c r="AO189" i="6" s="1"/>
  <c r="AY189" i="6" s="1"/>
  <c r="DM203" i="6"/>
  <c r="DO203" i="6" s="1"/>
  <c r="DY203" i="6" s="1"/>
  <c r="AM203" i="6"/>
  <c r="AW203" i="6" s="1"/>
  <c r="BP202" i="6"/>
  <c r="CR188" i="6"/>
  <c r="CQ188" i="6"/>
  <c r="AU190" i="6"/>
  <c r="AV190" i="6" s="1"/>
  <c r="AL190" i="6"/>
  <c r="AK190" i="6"/>
  <c r="AS190" i="6"/>
  <c r="AT190" i="6" s="1"/>
  <c r="DU190" i="6"/>
  <c r="DV190" i="6" s="1"/>
  <c r="DL190" i="6"/>
  <c r="DK190" i="6"/>
  <c r="DS190" i="6"/>
  <c r="DT190" i="6" s="1"/>
  <c r="U190" i="6"/>
  <c r="V190" i="6" s="1"/>
  <c r="S190" i="6"/>
  <c r="T190" i="6" s="1"/>
  <c r="K190" i="6"/>
  <c r="L190" i="6"/>
  <c r="M189" i="6"/>
  <c r="CC187" i="6"/>
  <c r="AO188" i="6"/>
  <c r="AY188" i="6" s="1"/>
  <c r="AW188" i="6"/>
  <c r="AN188" i="6"/>
  <c r="AP188" i="6"/>
  <c r="BM189" i="6"/>
  <c r="BX187" i="6"/>
  <c r="DU204" i="6"/>
  <c r="DV204" i="6" s="1"/>
  <c r="DK204" i="6"/>
  <c r="DL204" i="6"/>
  <c r="DS204" i="6"/>
  <c r="DT204" i="6" s="1"/>
  <c r="CU204" i="6"/>
  <c r="CV204" i="6" s="1"/>
  <c r="CK204" i="6"/>
  <c r="CS204" i="6"/>
  <c r="CT204" i="6" s="1"/>
  <c r="CL204" i="6"/>
  <c r="AH205" i="6"/>
  <c r="AI205" i="6" s="1"/>
  <c r="C206" i="6"/>
  <c r="CH205" i="6"/>
  <c r="CI205" i="6" s="1"/>
  <c r="BH205" i="6"/>
  <c r="BI205" i="6" s="1"/>
  <c r="DH205" i="6"/>
  <c r="DI205" i="6" s="1"/>
  <c r="EA205" i="6" s="1"/>
  <c r="H205" i="6"/>
  <c r="I205" i="6" s="1"/>
  <c r="Z187" i="6"/>
  <c r="AB187" i="6"/>
  <c r="BS190" i="6"/>
  <c r="BT190" i="6" s="1"/>
  <c r="BL190" i="6"/>
  <c r="BK190" i="6"/>
  <c r="BU190" i="6"/>
  <c r="BV190" i="6" s="1"/>
  <c r="CS190" i="6"/>
  <c r="CT190" i="6" s="1"/>
  <c r="CL190" i="6"/>
  <c r="CU190" i="6"/>
  <c r="CV190" i="6" s="1"/>
  <c r="CK190" i="6"/>
  <c r="C192" i="6"/>
  <c r="H191" i="6"/>
  <c r="I191" i="6" s="1"/>
  <c r="AH191" i="6"/>
  <c r="AI191" i="6" s="1"/>
  <c r="BH191" i="6"/>
  <c r="BI191" i="6" s="1"/>
  <c r="DH191" i="6"/>
  <c r="DI191" i="6" s="1"/>
  <c r="EA191" i="6" s="1"/>
  <c r="CH191" i="6"/>
  <c r="CI191" i="6" s="1"/>
  <c r="EF191" i="6"/>
  <c r="AC186" i="6"/>
  <c r="X186" i="6"/>
  <c r="DR187" i="6"/>
  <c r="DQ187" i="6"/>
  <c r="BL204" i="6"/>
  <c r="BS204" i="6"/>
  <c r="BT204" i="6" s="1"/>
  <c r="BK204" i="6"/>
  <c r="BU204" i="6"/>
  <c r="BV204" i="6" s="1"/>
  <c r="U204" i="6"/>
  <c r="V204" i="6" s="1"/>
  <c r="S204" i="6"/>
  <c r="T204" i="6" s="1"/>
  <c r="L204" i="6"/>
  <c r="K204" i="6"/>
  <c r="AS204" i="6"/>
  <c r="AT204" i="6" s="1"/>
  <c r="AU204" i="6"/>
  <c r="AV204" i="6" s="1"/>
  <c r="AL204" i="6"/>
  <c r="AK204" i="6"/>
  <c r="W188" i="6"/>
  <c r="N188" i="6"/>
  <c r="O188" i="6"/>
  <c r="Y188" i="6" s="1"/>
  <c r="P188" i="6"/>
  <c r="R187" i="6"/>
  <c r="AA187" i="6" s="1"/>
  <c r="Q187" i="6"/>
  <c r="AP161" i="6"/>
  <c r="AZ161" i="6"/>
  <c r="BB161" i="6"/>
  <c r="AO161" i="6"/>
  <c r="AY161" i="6" s="1"/>
  <c r="P161" i="6"/>
  <c r="CW161" i="6"/>
  <c r="BW161" i="6"/>
  <c r="O161" i="6"/>
  <c r="Y161" i="6" s="1"/>
  <c r="CP161" i="6"/>
  <c r="AX159" i="6"/>
  <c r="BC159" i="6"/>
  <c r="Z161" i="6"/>
  <c r="AB161" i="6"/>
  <c r="BN161" i="6"/>
  <c r="N161" i="6"/>
  <c r="CN161" i="6"/>
  <c r="AM175" i="6"/>
  <c r="AW175" i="6" s="1"/>
  <c r="BX159" i="6"/>
  <c r="CC159" i="6"/>
  <c r="CY173" i="6"/>
  <c r="CZ173" i="6"/>
  <c r="DB173" i="6"/>
  <c r="DW174" i="6"/>
  <c r="DP174" i="6"/>
  <c r="DN174" i="6"/>
  <c r="DO174" i="6"/>
  <c r="S176" i="6"/>
  <c r="T176" i="6" s="1"/>
  <c r="L176" i="6"/>
  <c r="U176" i="6"/>
  <c r="K176" i="6"/>
  <c r="DK176" i="6"/>
  <c r="DU176" i="6"/>
  <c r="DL176" i="6"/>
  <c r="DS176" i="6"/>
  <c r="DT176" i="6" s="1"/>
  <c r="BS176" i="6"/>
  <c r="BT176" i="6" s="1"/>
  <c r="BU176" i="6"/>
  <c r="BL176" i="6"/>
  <c r="BK176" i="6"/>
  <c r="DU163" i="6"/>
  <c r="DL163" i="6"/>
  <c r="DK163" i="6"/>
  <c r="DS163" i="6"/>
  <c r="DT163" i="6" s="1"/>
  <c r="BL163" i="6"/>
  <c r="BU163" i="6"/>
  <c r="BK163" i="6"/>
  <c r="BS163" i="6"/>
  <c r="BT163" i="6" s="1"/>
  <c r="C165" i="6"/>
  <c r="BH164" i="6"/>
  <c r="BI164" i="6" s="1"/>
  <c r="AH164" i="6"/>
  <c r="AI164" i="6" s="1"/>
  <c r="CH164" i="6"/>
  <c r="CI164" i="6" s="1"/>
  <c r="DH164" i="6"/>
  <c r="DI164" i="6" s="1"/>
  <c r="EA164" i="6" s="1"/>
  <c r="H164" i="6"/>
  <c r="I164" i="6" s="1"/>
  <c r="CO174" i="6"/>
  <c r="CW174" i="6"/>
  <c r="CN174" i="6"/>
  <c r="CP174" i="6"/>
  <c r="AZ173" i="6"/>
  <c r="BB173" i="6"/>
  <c r="R173" i="6"/>
  <c r="AA173" i="6" s="1"/>
  <c r="Q173" i="6"/>
  <c r="N174" i="6"/>
  <c r="W174" i="6"/>
  <c r="O174" i="6"/>
  <c r="Y174" i="6" s="1"/>
  <c r="P174" i="6"/>
  <c r="CR173" i="6"/>
  <c r="CQ173" i="6"/>
  <c r="AK176" i="6"/>
  <c r="AS176" i="6"/>
  <c r="AT176" i="6" s="1"/>
  <c r="AU176" i="6"/>
  <c r="AL176" i="6"/>
  <c r="CK176" i="6"/>
  <c r="CU176" i="6"/>
  <c r="CS176" i="6"/>
  <c r="CT176" i="6" s="1"/>
  <c r="CL176" i="6"/>
  <c r="BH177" i="6"/>
  <c r="BI177" i="6" s="1"/>
  <c r="C178" i="6"/>
  <c r="AH177" i="6"/>
  <c r="AI177" i="6" s="1"/>
  <c r="CH177" i="6"/>
  <c r="CI177" i="6" s="1"/>
  <c r="H177" i="6"/>
  <c r="I177" i="6" s="1"/>
  <c r="DH177" i="6"/>
  <c r="DI177" i="6" s="1"/>
  <c r="EA177" i="6" s="1"/>
  <c r="CL163" i="6"/>
  <c r="CU163" i="6"/>
  <c r="CK163" i="6"/>
  <c r="CS163" i="6"/>
  <c r="CT163" i="6" s="1"/>
  <c r="U163" i="6"/>
  <c r="L163" i="6"/>
  <c r="S163" i="6"/>
  <c r="T163" i="6" s="1"/>
  <c r="K163" i="6"/>
  <c r="AL163" i="6"/>
  <c r="AU163" i="6"/>
  <c r="AS163" i="6"/>
  <c r="AT163" i="6" s="1"/>
  <c r="AK163" i="6"/>
  <c r="AQ173" i="6"/>
  <c r="AR173" i="6"/>
  <c r="BA173" i="6" s="1"/>
  <c r="DC172" i="6"/>
  <c r="Z173" i="6"/>
  <c r="AB173" i="6"/>
  <c r="CJ205" i="6"/>
  <c r="DJ205" i="6"/>
  <c r="J205" i="6"/>
  <c r="AJ205" i="6"/>
  <c r="BJ205" i="6"/>
  <c r="EF206" i="6"/>
  <c r="AJ193" i="6"/>
  <c r="J193" i="6"/>
  <c r="DJ193" i="6"/>
  <c r="BJ193" i="6"/>
  <c r="CJ193" i="6"/>
  <c r="BA174" i="6" l="1"/>
  <c r="DA188" i="6"/>
  <c r="BA202" i="6"/>
  <c r="DC202" i="6"/>
  <c r="DA202" i="6"/>
  <c r="CX187" i="6"/>
  <c r="DA187" i="6"/>
  <c r="BX229" i="6"/>
  <c r="CD229" i="6" s="1"/>
  <c r="CA229" i="6"/>
  <c r="CX173" i="6"/>
  <c r="DA173" i="6"/>
  <c r="AX187" i="6"/>
  <c r="BD187" i="6" s="1"/>
  <c r="BA187" i="6"/>
  <c r="EL227" i="6"/>
  <c r="EJ213" i="6"/>
  <c r="V163" i="6"/>
  <c r="AV176" i="6"/>
  <c r="V176" i="6"/>
  <c r="BV163" i="6"/>
  <c r="DV163" i="6"/>
  <c r="AV163" i="6"/>
  <c r="CV163" i="6"/>
  <c r="DX229" i="6"/>
  <c r="ED229" i="6" s="1"/>
  <c r="EC229" i="6"/>
  <c r="EB216" i="6"/>
  <c r="DZ216" i="6"/>
  <c r="EB230" i="6"/>
  <c r="DZ230" i="6"/>
  <c r="EC215" i="6"/>
  <c r="DX215" i="6"/>
  <c r="ED215" i="6" s="1"/>
  <c r="A164" i="6"/>
  <c r="EF163" i="6"/>
  <c r="BJ163" i="6"/>
  <c r="BM163" i="6" s="1"/>
  <c r="BW163" i="6" s="1"/>
  <c r="CB163" i="6" s="1"/>
  <c r="AJ163" i="6"/>
  <c r="AM163" i="6" s="1"/>
  <c r="AO163" i="6" s="1"/>
  <c r="AY163" i="6" s="1"/>
  <c r="CJ163" i="6"/>
  <c r="CM163" i="6" s="1"/>
  <c r="CW163" i="6" s="1"/>
  <c r="CZ163" i="6" s="1"/>
  <c r="J163" i="6"/>
  <c r="M163" i="6" s="1"/>
  <c r="N163" i="6" s="1"/>
  <c r="Q163" i="6" s="1"/>
  <c r="DJ163" i="6"/>
  <c r="DM163" i="6" s="1"/>
  <c r="DW163" i="6" s="1"/>
  <c r="CW203" i="6"/>
  <c r="DB203" i="6" s="1"/>
  <c r="CV176" i="6"/>
  <c r="BV176" i="6"/>
  <c r="DV176" i="6"/>
  <c r="BP162" i="6"/>
  <c r="A177" i="6"/>
  <c r="EF176" i="6"/>
  <c r="CJ176" i="6"/>
  <c r="CM176" i="6" s="1"/>
  <c r="J176" i="6"/>
  <c r="M176" i="6" s="1"/>
  <c r="N176" i="6" s="1"/>
  <c r="AJ176" i="6"/>
  <c r="AM176" i="6" s="1"/>
  <c r="BJ176" i="6"/>
  <c r="BM176" i="6" s="1"/>
  <c r="BN176" i="6" s="1"/>
  <c r="DJ176" i="6"/>
  <c r="DM176" i="6" s="1"/>
  <c r="CB188" i="6"/>
  <c r="EG214" i="6"/>
  <c r="EH214" i="6" s="1"/>
  <c r="EI214" i="6" s="1"/>
  <c r="EL214" i="6" s="1"/>
  <c r="DC187" i="6"/>
  <c r="EG228" i="6"/>
  <c r="EH228" i="6" s="1"/>
  <c r="EI228" i="6" s="1"/>
  <c r="EJ228" i="6" s="1"/>
  <c r="X229" i="6"/>
  <c r="AD229" i="6" s="1"/>
  <c r="AC229" i="6"/>
  <c r="CX215" i="6"/>
  <c r="DD215" i="6" s="1"/>
  <c r="DC215" i="6"/>
  <c r="BX215" i="6"/>
  <c r="CD215" i="6" s="1"/>
  <c r="CC215" i="6"/>
  <c r="CB216" i="6"/>
  <c r="BZ216" i="6"/>
  <c r="AX215" i="6"/>
  <c r="BD215" i="6" s="1"/>
  <c r="BC215" i="6"/>
  <c r="DB230" i="6"/>
  <c r="CZ230" i="6"/>
  <c r="BB216" i="6"/>
  <c r="AZ216" i="6"/>
  <c r="AX229" i="6"/>
  <c r="BD229" i="6" s="1"/>
  <c r="BC229" i="6"/>
  <c r="X215" i="6"/>
  <c r="AD215" i="6" s="1"/>
  <c r="AC215" i="6"/>
  <c r="Z216" i="6"/>
  <c r="AB216" i="6"/>
  <c r="CC229" i="6"/>
  <c r="CB230" i="6"/>
  <c r="BZ230" i="6"/>
  <c r="Z230" i="6"/>
  <c r="AB230" i="6"/>
  <c r="CX229" i="6"/>
  <c r="DD229" i="6" s="1"/>
  <c r="DC229" i="6"/>
  <c r="CZ216" i="6"/>
  <c r="DB216" i="6"/>
  <c r="BB230" i="6"/>
  <c r="AZ230" i="6"/>
  <c r="DN231" i="6"/>
  <c r="DW231" i="6"/>
  <c r="DO231" i="6"/>
  <c r="DY231" i="6" s="1"/>
  <c r="DP231" i="6"/>
  <c r="AQ216" i="6"/>
  <c r="AR216" i="6"/>
  <c r="BA216" i="6" s="1"/>
  <c r="Q216" i="6"/>
  <c r="R216" i="6"/>
  <c r="AA216" i="6" s="1"/>
  <c r="AQ230" i="6"/>
  <c r="AR230" i="6"/>
  <c r="BA230" i="6" s="1"/>
  <c r="A233" i="6"/>
  <c r="V232" i="6"/>
  <c r="BJ232" i="6"/>
  <c r="BM232" i="6" s="1"/>
  <c r="AJ232" i="6"/>
  <c r="AM232" i="6" s="1"/>
  <c r="EF232" i="6"/>
  <c r="CV232" i="6"/>
  <c r="J232" i="6"/>
  <c r="M232" i="6" s="1"/>
  <c r="BV232" i="6"/>
  <c r="DV232" i="6"/>
  <c r="AV232" i="6"/>
  <c r="CJ232" i="6"/>
  <c r="CM232" i="6" s="1"/>
  <c r="DJ232" i="6"/>
  <c r="DM232" i="6" s="1"/>
  <c r="DW217" i="6"/>
  <c r="DP217" i="6"/>
  <c r="DN217" i="6"/>
  <c r="DO217" i="6"/>
  <c r="DY217" i="6" s="1"/>
  <c r="N217" i="6"/>
  <c r="W217" i="6"/>
  <c r="P217" i="6"/>
  <c r="O217" i="6"/>
  <c r="Y217" i="6" s="1"/>
  <c r="BO217" i="6"/>
  <c r="BY217" i="6" s="1"/>
  <c r="BP217" i="6"/>
  <c r="BW217" i="6"/>
  <c r="BN217" i="6"/>
  <c r="BQ230" i="6"/>
  <c r="CA230" i="6" s="1"/>
  <c r="BR230" i="6"/>
  <c r="Q230" i="6"/>
  <c r="R230" i="6"/>
  <c r="AA230" i="6" s="1"/>
  <c r="CQ230" i="6"/>
  <c r="DA230" i="6" s="1"/>
  <c r="CR230" i="6"/>
  <c r="CR216" i="6"/>
  <c r="CQ216" i="6"/>
  <c r="DA216" i="6" s="1"/>
  <c r="N231" i="6"/>
  <c r="W231" i="6"/>
  <c r="O231" i="6"/>
  <c r="Y231" i="6" s="1"/>
  <c r="P231" i="6"/>
  <c r="DQ230" i="6"/>
  <c r="DR230" i="6"/>
  <c r="BQ216" i="6"/>
  <c r="CA216" i="6" s="1"/>
  <c r="BR216" i="6"/>
  <c r="BN231" i="6"/>
  <c r="BW231" i="6"/>
  <c r="BO231" i="6"/>
  <c r="BY231" i="6" s="1"/>
  <c r="BP231" i="6"/>
  <c r="AW231" i="6"/>
  <c r="AN231" i="6"/>
  <c r="AP231" i="6"/>
  <c r="AO231" i="6"/>
  <c r="AY231" i="6" s="1"/>
  <c r="CW231" i="6"/>
  <c r="CO231" i="6"/>
  <c r="CY231" i="6" s="1"/>
  <c r="CP231" i="6"/>
  <c r="CN231" i="6"/>
  <c r="AO217" i="6"/>
  <c r="AY217" i="6" s="1"/>
  <c r="AW217" i="6"/>
  <c r="AN217" i="6"/>
  <c r="AP217" i="6"/>
  <c r="CP217" i="6"/>
  <c r="CN217" i="6"/>
  <c r="CO217" i="6"/>
  <c r="CY217" i="6" s="1"/>
  <c r="CW217" i="6"/>
  <c r="EF218" i="6"/>
  <c r="BJ218" i="6"/>
  <c r="BM218" i="6" s="1"/>
  <c r="BV218" i="6"/>
  <c r="V218" i="6"/>
  <c r="J218" i="6"/>
  <c r="M218" i="6" s="1"/>
  <c r="CJ218" i="6"/>
  <c r="CM218" i="6" s="1"/>
  <c r="CV218" i="6"/>
  <c r="DJ218" i="6"/>
  <c r="DM218" i="6" s="1"/>
  <c r="AJ218" i="6"/>
  <c r="AM218" i="6" s="1"/>
  <c r="A219" i="6"/>
  <c r="DV218" i="6"/>
  <c r="AV218" i="6"/>
  <c r="DQ216" i="6"/>
  <c r="DX216" i="6" s="1"/>
  <c r="ED216" i="6" s="1"/>
  <c r="DR216" i="6"/>
  <c r="EL157" i="6"/>
  <c r="DD187" i="6"/>
  <c r="EJ170" i="6"/>
  <c r="EL170" i="6"/>
  <c r="EL185" i="6"/>
  <c r="AR161" i="6"/>
  <c r="EJ157" i="6"/>
  <c r="EJ185" i="6"/>
  <c r="BQ188" i="6"/>
  <c r="CC173" i="6"/>
  <c r="BX173" i="6"/>
  <c r="CD173" i="6" s="1"/>
  <c r="X160" i="6"/>
  <c r="AD160" i="6" s="1"/>
  <c r="EG171" i="6"/>
  <c r="EH171" i="6" s="1"/>
  <c r="EI171" i="6" s="1"/>
  <c r="EL171" i="6" s="1"/>
  <c r="AZ174" i="6"/>
  <c r="CM190" i="6"/>
  <c r="CP190" i="6" s="1"/>
  <c r="DX201" i="6"/>
  <c r="ED201" i="6" s="1"/>
  <c r="BC202" i="6"/>
  <c r="CX202" i="6"/>
  <c r="DD202" i="6" s="1"/>
  <c r="CR202" i="6"/>
  <c r="B179" i="6"/>
  <c r="G178" i="6"/>
  <c r="AG178" i="6"/>
  <c r="CG178" i="6"/>
  <c r="BG178" i="6"/>
  <c r="DG178" i="6"/>
  <c r="AD172" i="6"/>
  <c r="BM204" i="6"/>
  <c r="BW204" i="6" s="1"/>
  <c r="BZ204" i="6" s="1"/>
  <c r="DQ188" i="6"/>
  <c r="G165" i="6"/>
  <c r="BG165" i="6"/>
  <c r="AG165" i="6"/>
  <c r="DG165" i="6"/>
  <c r="CG165" i="6"/>
  <c r="DB202" i="6"/>
  <c r="DR161" i="6"/>
  <c r="BZ174" i="6"/>
  <c r="CZ188" i="6"/>
  <c r="EG158" i="6"/>
  <c r="EH158" i="6" s="1"/>
  <c r="EI158" i="6" s="1"/>
  <c r="EG199" i="6"/>
  <c r="EH199" i="6" s="1"/>
  <c r="EI199" i="6" s="1"/>
  <c r="Q202" i="6"/>
  <c r="R202" i="6"/>
  <c r="AA202" i="6" s="1"/>
  <c r="DO175" i="6"/>
  <c r="DY175" i="6" s="1"/>
  <c r="DW189" i="6"/>
  <c r="DZ189" i="6" s="1"/>
  <c r="BC187" i="6"/>
  <c r="DD172" i="6"/>
  <c r="BD201" i="6"/>
  <c r="DD160" i="6"/>
  <c r="BD159" i="6"/>
  <c r="AD186" i="6"/>
  <c r="EG186" i="6" s="1"/>
  <c r="EH186" i="6" s="1"/>
  <c r="EI186" i="6" s="1"/>
  <c r="CD187" i="6"/>
  <c r="CD200" i="6"/>
  <c r="DD200" i="6"/>
  <c r="CD159" i="6"/>
  <c r="CM204" i="6"/>
  <c r="CO204" i="6" s="1"/>
  <c r="CY204" i="6" s="1"/>
  <c r="CX188" i="6"/>
  <c r="CO175" i="6"/>
  <c r="CY175" i="6" s="1"/>
  <c r="CO189" i="6"/>
  <c r="CY189" i="6" s="1"/>
  <c r="AX202" i="6"/>
  <c r="BP175" i="6"/>
  <c r="AN189" i="6"/>
  <c r="AQ189" i="6" s="1"/>
  <c r="W175" i="6"/>
  <c r="AB175" i="6" s="1"/>
  <c r="DP189" i="6"/>
  <c r="ED160" i="6"/>
  <c r="CD201" i="6"/>
  <c r="ED202" i="6"/>
  <c r="CW175" i="6"/>
  <c r="DB175" i="6" s="1"/>
  <c r="BW175" i="6"/>
  <c r="BZ175" i="6" s="1"/>
  <c r="DW175" i="6"/>
  <c r="DZ175" i="6" s="1"/>
  <c r="AQ174" i="6"/>
  <c r="AX174" i="6" s="1"/>
  <c r="BQ174" i="6"/>
  <c r="AP175" i="6"/>
  <c r="CP189" i="6"/>
  <c r="AN175" i="6"/>
  <c r="AR175" i="6" s="1"/>
  <c r="N175" i="6"/>
  <c r="R175" i="6" s="1"/>
  <c r="AP189" i="6"/>
  <c r="DO189" i="6"/>
  <c r="DY189" i="6" s="1"/>
  <c r="BB202" i="6"/>
  <c r="AZ202" i="6"/>
  <c r="DM190" i="6"/>
  <c r="DW190" i="6" s="1"/>
  <c r="DY174" i="6"/>
  <c r="EC187" i="6"/>
  <c r="EB189" i="6"/>
  <c r="EC188" i="6"/>
  <c r="DX187" i="6"/>
  <c r="ED187" i="6" s="1"/>
  <c r="DZ174" i="6"/>
  <c r="EB174" i="6"/>
  <c r="EC201" i="6"/>
  <c r="AO175" i="6"/>
  <c r="AY175" i="6" s="1"/>
  <c r="O175" i="6"/>
  <c r="Y175" i="6" s="1"/>
  <c r="AW189" i="6"/>
  <c r="AZ189" i="6" s="1"/>
  <c r="CN175" i="6"/>
  <c r="CQ175" i="6" s="1"/>
  <c r="BO175" i="6"/>
  <c r="BY175" i="6" s="1"/>
  <c r="DP175" i="6"/>
  <c r="AN162" i="6"/>
  <c r="CN189" i="6"/>
  <c r="CQ189" i="6" s="1"/>
  <c r="AO162" i="6"/>
  <c r="AY162" i="6" s="1"/>
  <c r="BW162" i="6"/>
  <c r="W162" i="6"/>
  <c r="AN203" i="6"/>
  <c r="O203" i="6"/>
  <c r="Y203" i="6" s="1"/>
  <c r="AZ162" i="6"/>
  <c r="BB162" i="6"/>
  <c r="AP162" i="6"/>
  <c r="BN162" i="6"/>
  <c r="P162" i="6"/>
  <c r="AP203" i="6"/>
  <c r="W203" i="6"/>
  <c r="CN203" i="6"/>
  <c r="R162" i="6"/>
  <c r="Q162" i="6"/>
  <c r="AZ203" i="6"/>
  <c r="BB203" i="6"/>
  <c r="Q203" i="6"/>
  <c r="R203" i="6"/>
  <c r="O162" i="6"/>
  <c r="Y162" i="6" s="1"/>
  <c r="AO203" i="6"/>
  <c r="AY203" i="6" s="1"/>
  <c r="P203" i="6"/>
  <c r="CP203" i="6"/>
  <c r="BZ202" i="6"/>
  <c r="CB202" i="6"/>
  <c r="X201" i="6"/>
  <c r="AC201" i="6"/>
  <c r="AM204" i="6"/>
  <c r="AN204" i="6" s="1"/>
  <c r="M204" i="6"/>
  <c r="P204" i="6" s="1"/>
  <c r="BP203" i="6"/>
  <c r="DP203" i="6"/>
  <c r="BN203" i="6"/>
  <c r="DN203" i="6"/>
  <c r="BM190" i="6"/>
  <c r="BO190" i="6" s="1"/>
  <c r="AM190" i="6"/>
  <c r="AP190" i="6" s="1"/>
  <c r="BW203" i="6"/>
  <c r="DW203" i="6"/>
  <c r="BR202" i="6"/>
  <c r="BQ202" i="6"/>
  <c r="CA202" i="6" s="1"/>
  <c r="DM204" i="6"/>
  <c r="DP204" i="6" s="1"/>
  <c r="Q188" i="6"/>
  <c r="R188" i="6"/>
  <c r="AA188" i="6" s="1"/>
  <c r="DB189" i="6"/>
  <c r="CZ189" i="6"/>
  <c r="CU191" i="6"/>
  <c r="CV191" i="6" s="1"/>
  <c r="CL191" i="6"/>
  <c r="CK191" i="6"/>
  <c r="CS191" i="6"/>
  <c r="CT191" i="6" s="1"/>
  <c r="BS191" i="6"/>
  <c r="BT191" i="6" s="1"/>
  <c r="BU191" i="6"/>
  <c r="BV191" i="6" s="1"/>
  <c r="BL191" i="6"/>
  <c r="BK191" i="6"/>
  <c r="S191" i="6"/>
  <c r="T191" i="6" s="1"/>
  <c r="L191" i="6"/>
  <c r="U191" i="6"/>
  <c r="V191" i="6" s="1"/>
  <c r="K191" i="6"/>
  <c r="DL205" i="6"/>
  <c r="DU205" i="6"/>
  <c r="DV205" i="6" s="1"/>
  <c r="DK205" i="6"/>
  <c r="DS205" i="6"/>
  <c r="DT205" i="6" s="1"/>
  <c r="CU205" i="6"/>
  <c r="CV205" i="6" s="1"/>
  <c r="CK205" i="6"/>
  <c r="CL205" i="6"/>
  <c r="CS205" i="6"/>
  <c r="CT205" i="6" s="1"/>
  <c r="AS205" i="6"/>
  <c r="AT205" i="6" s="1"/>
  <c r="AU205" i="6"/>
  <c r="AV205" i="6" s="1"/>
  <c r="AK205" i="6"/>
  <c r="AL205" i="6"/>
  <c r="BB188" i="6"/>
  <c r="AZ188" i="6"/>
  <c r="P189" i="6"/>
  <c r="W189" i="6"/>
  <c r="O189" i="6"/>
  <c r="Y189" i="6" s="1"/>
  <c r="N189" i="6"/>
  <c r="M190" i="6"/>
  <c r="DC188" i="6"/>
  <c r="AC187" i="6"/>
  <c r="X187" i="6"/>
  <c r="Z188" i="6"/>
  <c r="AB188" i="6"/>
  <c r="DQ189" i="6"/>
  <c r="DR189" i="6"/>
  <c r="DU191" i="6"/>
  <c r="DV191" i="6" s="1"/>
  <c r="DL191" i="6"/>
  <c r="DS191" i="6"/>
  <c r="DT191" i="6" s="1"/>
  <c r="DK191" i="6"/>
  <c r="AS191" i="6"/>
  <c r="AT191" i="6" s="1"/>
  <c r="AL191" i="6"/>
  <c r="AK191" i="6"/>
  <c r="AU191" i="6"/>
  <c r="AV191" i="6" s="1"/>
  <c r="C193" i="6"/>
  <c r="CH192" i="6"/>
  <c r="CI192" i="6" s="1"/>
  <c r="DH192" i="6"/>
  <c r="DI192" i="6" s="1"/>
  <c r="EA192" i="6" s="1"/>
  <c r="BH192" i="6"/>
  <c r="BI192" i="6" s="1"/>
  <c r="H192" i="6"/>
  <c r="I192" i="6" s="1"/>
  <c r="AH192" i="6"/>
  <c r="AI192" i="6" s="1"/>
  <c r="EF192" i="6"/>
  <c r="U205" i="6"/>
  <c r="V205" i="6" s="1"/>
  <c r="K205" i="6"/>
  <c r="S205" i="6"/>
  <c r="T205" i="6" s="1"/>
  <c r="L205" i="6"/>
  <c r="BU205" i="6"/>
  <c r="BV205" i="6" s="1"/>
  <c r="BL205" i="6"/>
  <c r="BK205" i="6"/>
  <c r="BS205" i="6"/>
  <c r="BT205" i="6" s="1"/>
  <c r="DH206" i="6"/>
  <c r="DI206" i="6" s="1"/>
  <c r="EA206" i="6" s="1"/>
  <c r="C207" i="6"/>
  <c r="H206" i="6"/>
  <c r="I206" i="6" s="1"/>
  <c r="CH206" i="6"/>
  <c r="CI206" i="6" s="1"/>
  <c r="BH206" i="6"/>
  <c r="BI206" i="6" s="1"/>
  <c r="AH206" i="6"/>
  <c r="AI206" i="6" s="1"/>
  <c r="BN189" i="6"/>
  <c r="BP189" i="6"/>
  <c r="BO189" i="6"/>
  <c r="BW189" i="6"/>
  <c r="AR188" i="6"/>
  <c r="BA188" i="6" s="1"/>
  <c r="AQ188" i="6"/>
  <c r="DW162" i="6"/>
  <c r="DN162" i="6"/>
  <c r="CO162" i="6"/>
  <c r="CY162" i="6" s="1"/>
  <c r="DO162" i="6"/>
  <c r="CW162" i="6"/>
  <c r="CZ161" i="6"/>
  <c r="DB161" i="6"/>
  <c r="BZ161" i="6"/>
  <c r="CB161" i="6"/>
  <c r="CR161" i="6"/>
  <c r="CQ161" i="6"/>
  <c r="DA161" i="6" s="1"/>
  <c r="BR161" i="6"/>
  <c r="BQ161" i="6"/>
  <c r="CA161" i="6" s="1"/>
  <c r="R161" i="6"/>
  <c r="AA161" i="6" s="1"/>
  <c r="Q161" i="6"/>
  <c r="CR162" i="6"/>
  <c r="CQ162" i="6"/>
  <c r="CP162" i="6"/>
  <c r="BR175" i="6"/>
  <c r="BQ175" i="6"/>
  <c r="DQ175" i="6"/>
  <c r="DR175" i="6"/>
  <c r="S177" i="6"/>
  <c r="T177" i="6" s="1"/>
  <c r="K177" i="6"/>
  <c r="L177" i="6"/>
  <c r="U177" i="6"/>
  <c r="AU177" i="6"/>
  <c r="AL177" i="6"/>
  <c r="AS177" i="6"/>
  <c r="AT177" i="6" s="1"/>
  <c r="AK177" i="6"/>
  <c r="BU177" i="6"/>
  <c r="BS177" i="6"/>
  <c r="BT177" i="6" s="1"/>
  <c r="BL177" i="6"/>
  <c r="BK177" i="6"/>
  <c r="Q174" i="6"/>
  <c r="R174" i="6"/>
  <c r="AA174" i="6" s="1"/>
  <c r="CZ174" i="6"/>
  <c r="DB174" i="6"/>
  <c r="U164" i="6"/>
  <c r="L164" i="6"/>
  <c r="K164" i="6"/>
  <c r="S164" i="6"/>
  <c r="T164" i="6" s="1"/>
  <c r="CL164" i="6"/>
  <c r="CU164" i="6"/>
  <c r="CK164" i="6"/>
  <c r="CS164" i="6"/>
  <c r="CT164" i="6" s="1"/>
  <c r="BL164" i="6"/>
  <c r="BU164" i="6"/>
  <c r="BK164" i="6"/>
  <c r="BS164" i="6"/>
  <c r="BT164" i="6" s="1"/>
  <c r="AZ175" i="6"/>
  <c r="BB175" i="6"/>
  <c r="AX173" i="6"/>
  <c r="BC173" i="6"/>
  <c r="DU177" i="6"/>
  <c r="DS177" i="6"/>
  <c r="DT177" i="6" s="1"/>
  <c r="DL177" i="6"/>
  <c r="DK177" i="6"/>
  <c r="CS177" i="6"/>
  <c r="CT177" i="6" s="1"/>
  <c r="CU177" i="6"/>
  <c r="CL177" i="6"/>
  <c r="CK177" i="6"/>
  <c r="DH178" i="6"/>
  <c r="DI178" i="6" s="1"/>
  <c r="EA178" i="6" s="1"/>
  <c r="C179" i="6"/>
  <c r="CH178" i="6"/>
  <c r="CI178" i="6" s="1"/>
  <c r="AH178" i="6"/>
  <c r="AI178" i="6" s="1"/>
  <c r="H178" i="6"/>
  <c r="I178" i="6" s="1"/>
  <c r="BH178" i="6"/>
  <c r="BI178" i="6" s="1"/>
  <c r="BC174" i="6"/>
  <c r="DC173" i="6"/>
  <c r="Z174" i="6"/>
  <c r="AB174" i="6"/>
  <c r="AC173" i="6"/>
  <c r="X173" i="6"/>
  <c r="CQ174" i="6"/>
  <c r="CR174" i="6"/>
  <c r="CY174" i="6"/>
  <c r="DU164" i="6"/>
  <c r="DL164" i="6"/>
  <c r="DS164" i="6"/>
  <c r="DT164" i="6" s="1"/>
  <c r="DK164" i="6"/>
  <c r="AU164" i="6"/>
  <c r="AL164" i="6"/>
  <c r="AK164" i="6"/>
  <c r="AS164" i="6"/>
  <c r="AT164" i="6" s="1"/>
  <c r="BH165" i="6"/>
  <c r="BI165" i="6" s="1"/>
  <c r="DH165" i="6"/>
  <c r="DI165" i="6" s="1"/>
  <c r="EA165" i="6" s="1"/>
  <c r="H165" i="6"/>
  <c r="I165" i="6" s="1"/>
  <c r="CH165" i="6"/>
  <c r="CI165" i="6" s="1"/>
  <c r="AH165" i="6"/>
  <c r="AI165" i="6" s="1"/>
  <c r="DR174" i="6"/>
  <c r="DQ174" i="6"/>
  <c r="J206" i="6"/>
  <c r="DJ206" i="6"/>
  <c r="CJ206" i="6"/>
  <c r="AJ206" i="6"/>
  <c r="BJ206" i="6"/>
  <c r="EF207" i="6"/>
  <c r="CA175" i="6" l="1"/>
  <c r="DA162" i="6"/>
  <c r="BA175" i="6"/>
  <c r="AA162" i="6"/>
  <c r="DA189" i="6"/>
  <c r="AA175" i="6"/>
  <c r="AA203" i="6"/>
  <c r="BC161" i="6"/>
  <c r="BA161" i="6"/>
  <c r="CX174" i="6"/>
  <c r="DD174" i="6" s="1"/>
  <c r="DA174" i="6"/>
  <c r="BX174" i="6"/>
  <c r="CD174" i="6" s="1"/>
  <c r="CA174" i="6"/>
  <c r="BX188" i="6"/>
  <c r="CD188" i="6" s="1"/>
  <c r="CA188" i="6"/>
  <c r="DA175" i="6"/>
  <c r="CZ203" i="6"/>
  <c r="V164" i="6"/>
  <c r="BV177" i="6"/>
  <c r="AV177" i="6"/>
  <c r="V177" i="6"/>
  <c r="DZ231" i="6"/>
  <c r="EB231" i="6"/>
  <c r="AV164" i="6"/>
  <c r="DV164" i="6"/>
  <c r="CV177" i="6"/>
  <c r="DV177" i="6"/>
  <c r="BV164" i="6"/>
  <c r="CV164" i="6"/>
  <c r="EC216" i="6"/>
  <c r="DX230" i="6"/>
  <c r="ED230" i="6" s="1"/>
  <c r="EC230" i="6"/>
  <c r="EB217" i="6"/>
  <c r="DZ217" i="6"/>
  <c r="A165" i="6"/>
  <c r="EF164" i="6"/>
  <c r="J164" i="6"/>
  <c r="M164" i="6" s="1"/>
  <c r="P164" i="6" s="1"/>
  <c r="AJ164" i="6"/>
  <c r="AM164" i="6" s="1"/>
  <c r="AP164" i="6" s="1"/>
  <c r="DJ164" i="6"/>
  <c r="DM164" i="6" s="1"/>
  <c r="DN164" i="6" s="1"/>
  <c r="BJ164" i="6"/>
  <c r="BM164" i="6" s="1"/>
  <c r="BW164" i="6" s="1"/>
  <c r="BZ164" i="6" s="1"/>
  <c r="CJ164" i="6"/>
  <c r="BZ163" i="6"/>
  <c r="A178" i="6"/>
  <c r="BJ177" i="6"/>
  <c r="BM177" i="6" s="1"/>
  <c r="J177" i="6"/>
  <c r="M177" i="6" s="1"/>
  <c r="DJ177" i="6"/>
  <c r="DM177" i="6" s="1"/>
  <c r="CJ177" i="6"/>
  <c r="CM177" i="6" s="1"/>
  <c r="EF177" i="6"/>
  <c r="AJ177" i="6"/>
  <c r="AM177" i="6" s="1"/>
  <c r="AW177" i="6" s="1"/>
  <c r="EJ214" i="6"/>
  <c r="EL228" i="6"/>
  <c r="EG215" i="6"/>
  <c r="EH215" i="6" s="1"/>
  <c r="EI215" i="6" s="1"/>
  <c r="EL215" i="6" s="1"/>
  <c r="EG229" i="6"/>
  <c r="EH229" i="6" s="1"/>
  <c r="EI229" i="6" s="1"/>
  <c r="EL229" i="6" s="1"/>
  <c r="CC188" i="6"/>
  <c r="BX216" i="6"/>
  <c r="CD216" i="6" s="1"/>
  <c r="CC216" i="6"/>
  <c r="BZ217" i="6"/>
  <c r="CB217" i="6"/>
  <c r="BB217" i="6"/>
  <c r="AZ217" i="6"/>
  <c r="CB231" i="6"/>
  <c r="BZ231" i="6"/>
  <c r="AB231" i="6"/>
  <c r="Z231" i="6"/>
  <c r="Z217" i="6"/>
  <c r="AB217" i="6"/>
  <c r="X216" i="6"/>
  <c r="AD216" i="6" s="1"/>
  <c r="AC216" i="6"/>
  <c r="DB231" i="6"/>
  <c r="CZ231" i="6"/>
  <c r="AZ231" i="6"/>
  <c r="BB231" i="6"/>
  <c r="CX230" i="6"/>
  <c r="DD230" i="6" s="1"/>
  <c r="DC230" i="6"/>
  <c r="BX230" i="6"/>
  <c r="CD230" i="6" s="1"/>
  <c r="CC230" i="6"/>
  <c r="DB217" i="6"/>
  <c r="CZ217" i="6"/>
  <c r="CX216" i="6"/>
  <c r="DD216" i="6" s="1"/>
  <c r="DC216" i="6"/>
  <c r="X230" i="6"/>
  <c r="AD230" i="6" s="1"/>
  <c r="AC230" i="6"/>
  <c r="AX230" i="6"/>
  <c r="BD230" i="6" s="1"/>
  <c r="BC230" i="6"/>
  <c r="AX216" i="6"/>
  <c r="BD216" i="6" s="1"/>
  <c r="BC216" i="6"/>
  <c r="W218" i="6"/>
  <c r="P218" i="6"/>
  <c r="O218" i="6"/>
  <c r="Y218" i="6" s="1"/>
  <c r="N218" i="6"/>
  <c r="BR231" i="6"/>
  <c r="BQ231" i="6"/>
  <c r="CA231" i="6" s="1"/>
  <c r="R231" i="6"/>
  <c r="AA231" i="6" s="1"/>
  <c r="Q231" i="6"/>
  <c r="Q217" i="6"/>
  <c r="R217" i="6"/>
  <c r="AA217" i="6" s="1"/>
  <c r="BV233" i="6"/>
  <c r="CJ233" i="6"/>
  <c r="CM233" i="6" s="1"/>
  <c r="CV233" i="6"/>
  <c r="V233" i="6"/>
  <c r="J233" i="6"/>
  <c r="M233" i="6" s="1"/>
  <c r="AV233" i="6"/>
  <c r="A234" i="6"/>
  <c r="DJ233" i="6"/>
  <c r="DM233" i="6" s="1"/>
  <c r="AJ233" i="6"/>
  <c r="AM233" i="6" s="1"/>
  <c r="EF233" i="6"/>
  <c r="BJ233" i="6"/>
  <c r="BM233" i="6" s="1"/>
  <c r="DV233" i="6"/>
  <c r="DN218" i="6"/>
  <c r="DO218" i="6"/>
  <c r="DY218" i="6" s="1"/>
  <c r="DP218" i="6"/>
  <c r="DW218" i="6"/>
  <c r="CR231" i="6"/>
  <c r="CQ231" i="6"/>
  <c r="DA231" i="6" s="1"/>
  <c r="BR217" i="6"/>
  <c r="BQ217" i="6"/>
  <c r="CA217" i="6" s="1"/>
  <c r="DN232" i="6"/>
  <c r="DO232" i="6"/>
  <c r="DY232" i="6" s="1"/>
  <c r="DP232" i="6"/>
  <c r="DW232" i="6"/>
  <c r="AO232" i="6"/>
  <c r="AY232" i="6" s="1"/>
  <c r="AN232" i="6"/>
  <c r="AW232" i="6"/>
  <c r="AP232" i="6"/>
  <c r="AW218" i="6"/>
  <c r="AN218" i="6"/>
  <c r="AP218" i="6"/>
  <c r="AO218" i="6"/>
  <c r="AY218" i="6" s="1"/>
  <c r="AR217" i="6"/>
  <c r="BA217" i="6" s="1"/>
  <c r="AQ217" i="6"/>
  <c r="DR217" i="6"/>
  <c r="DQ217" i="6"/>
  <c r="CO232" i="6"/>
  <c r="CY232" i="6" s="1"/>
  <c r="CN232" i="6"/>
  <c r="CW232" i="6"/>
  <c r="CP232" i="6"/>
  <c r="W232" i="6"/>
  <c r="N232" i="6"/>
  <c r="O232" i="6"/>
  <c r="Y232" i="6" s="1"/>
  <c r="P232" i="6"/>
  <c r="BP232" i="6"/>
  <c r="BW232" i="6"/>
  <c r="BN232" i="6"/>
  <c r="BO232" i="6"/>
  <c r="BY232" i="6" s="1"/>
  <c r="CJ219" i="6"/>
  <c r="CM219" i="6" s="1"/>
  <c r="AV219" i="6"/>
  <c r="J219" i="6"/>
  <c r="M219" i="6" s="1"/>
  <c r="V219" i="6"/>
  <c r="AJ219" i="6"/>
  <c r="AM219" i="6" s="1"/>
  <c r="CV219" i="6"/>
  <c r="EF219" i="6"/>
  <c r="A220" i="6"/>
  <c r="BJ219" i="6"/>
  <c r="BM219" i="6" s="1"/>
  <c r="BV219" i="6"/>
  <c r="DV219" i="6"/>
  <c r="DJ219" i="6"/>
  <c r="DM219" i="6" s="1"/>
  <c r="CN218" i="6"/>
  <c r="CW218" i="6"/>
  <c r="CP218" i="6"/>
  <c r="CO218" i="6"/>
  <c r="CY218" i="6" s="1"/>
  <c r="BW218" i="6"/>
  <c r="BO218" i="6"/>
  <c r="BY218" i="6" s="1"/>
  <c r="BP218" i="6"/>
  <c r="BN218" i="6"/>
  <c r="CQ217" i="6"/>
  <c r="DA217" i="6" s="1"/>
  <c r="CR217" i="6"/>
  <c r="AQ231" i="6"/>
  <c r="AR231" i="6"/>
  <c r="BA231" i="6" s="1"/>
  <c r="DR231" i="6"/>
  <c r="DQ231" i="6"/>
  <c r="EL158" i="6"/>
  <c r="EJ199" i="6"/>
  <c r="EL199" i="6"/>
  <c r="AX161" i="6"/>
  <c r="BD161" i="6" s="1"/>
  <c r="EL186" i="6"/>
  <c r="EJ171" i="6"/>
  <c r="P176" i="6"/>
  <c r="BO163" i="6"/>
  <c r="BY163" i="6" s="1"/>
  <c r="BN163" i="6"/>
  <c r="BQ163" i="6" s="1"/>
  <c r="BP163" i="6"/>
  <c r="P163" i="6"/>
  <c r="W163" i="6"/>
  <c r="Z163" i="6" s="1"/>
  <c r="CO190" i="6"/>
  <c r="CY190" i="6" s="1"/>
  <c r="CN190" i="6"/>
  <c r="CR190" i="6" s="1"/>
  <c r="O163" i="6"/>
  <c r="Y163" i="6" s="1"/>
  <c r="CW190" i="6"/>
  <c r="DB190" i="6" s="1"/>
  <c r="CN163" i="6"/>
  <c r="CR163" i="6" s="1"/>
  <c r="CO163" i="6"/>
  <c r="CY163" i="6" s="1"/>
  <c r="CP163" i="6"/>
  <c r="W176" i="6"/>
  <c r="AB176" i="6" s="1"/>
  <c r="O176" i="6"/>
  <c r="Y176" i="6" s="1"/>
  <c r="M191" i="6"/>
  <c r="P191" i="6" s="1"/>
  <c r="CM164" i="6"/>
  <c r="CW164" i="6" s="1"/>
  <c r="CZ164" i="6" s="1"/>
  <c r="BO204" i="6"/>
  <c r="BY204" i="6" s="1"/>
  <c r="EC161" i="6"/>
  <c r="DX161" i="6"/>
  <c r="ED161" i="6" s="1"/>
  <c r="DX189" i="6"/>
  <c r="ED189" i="6" s="1"/>
  <c r="DX188" i="6"/>
  <c r="ED188" i="6" s="1"/>
  <c r="EB175" i="6"/>
  <c r="CC174" i="6"/>
  <c r="AC203" i="6"/>
  <c r="X162" i="6"/>
  <c r="AC202" i="6"/>
  <c r="EJ158" i="6"/>
  <c r="EG172" i="6"/>
  <c r="EH172" i="6" s="1"/>
  <c r="EI172" i="6" s="1"/>
  <c r="BG179" i="6"/>
  <c r="DG179" i="6"/>
  <c r="G179" i="6"/>
  <c r="AG179" i="6"/>
  <c r="CG179" i="6"/>
  <c r="W204" i="6"/>
  <c r="Z204" i="6" s="1"/>
  <c r="BP204" i="6"/>
  <c r="BN204" i="6"/>
  <c r="BQ204" i="6" s="1"/>
  <c r="CZ175" i="6"/>
  <c r="Z175" i="6"/>
  <c r="AR189" i="6"/>
  <c r="EG159" i="6"/>
  <c r="EH159" i="6" s="1"/>
  <c r="EI159" i="6" s="1"/>
  <c r="EG200" i="6"/>
  <c r="EH200" i="6" s="1"/>
  <c r="EI200" i="6" s="1"/>
  <c r="Q175" i="6"/>
  <c r="X175" i="6" s="1"/>
  <c r="CX189" i="6"/>
  <c r="AN190" i="6"/>
  <c r="AR190" i="6" s="1"/>
  <c r="EG160" i="6"/>
  <c r="EH160" i="6" s="1"/>
  <c r="EI160" i="6" s="1"/>
  <c r="X202" i="6"/>
  <c r="DC162" i="6"/>
  <c r="CB204" i="6"/>
  <c r="CB175" i="6"/>
  <c r="DO163" i="6"/>
  <c r="DY163" i="6" s="1"/>
  <c r="BB189" i="6"/>
  <c r="DD173" i="6"/>
  <c r="BD174" i="6"/>
  <c r="AD187" i="6"/>
  <c r="EG187" i="6" s="1"/>
  <c r="EH187" i="6" s="1"/>
  <c r="EI187" i="6" s="1"/>
  <c r="AD201" i="6"/>
  <c r="EG201" i="6" s="1"/>
  <c r="EH201" i="6" s="1"/>
  <c r="EI201" i="6" s="1"/>
  <c r="AD173" i="6"/>
  <c r="BD173" i="6"/>
  <c r="DD188" i="6"/>
  <c r="DB163" i="6"/>
  <c r="CR189" i="6"/>
  <c r="BD202" i="6"/>
  <c r="CP204" i="6"/>
  <c r="CN204" i="6"/>
  <c r="CW204" i="6"/>
  <c r="CX175" i="6"/>
  <c r="AQ175" i="6"/>
  <c r="EJ186" i="6"/>
  <c r="CX162" i="6"/>
  <c r="BO176" i="6"/>
  <c r="BY176" i="6" s="1"/>
  <c r="DN190" i="6"/>
  <c r="DQ190" i="6" s="1"/>
  <c r="BP176" i="6"/>
  <c r="DN163" i="6"/>
  <c r="DR163" i="6" s="1"/>
  <c r="AW190" i="6"/>
  <c r="BB190" i="6" s="1"/>
  <c r="R163" i="6"/>
  <c r="DP163" i="6"/>
  <c r="AO190" i="6"/>
  <c r="AY190" i="6" s="1"/>
  <c r="BW176" i="6"/>
  <c r="CB176" i="6" s="1"/>
  <c r="BN190" i="6"/>
  <c r="BQ190" i="6" s="1"/>
  <c r="DO190" i="6"/>
  <c r="DY190" i="6" s="1"/>
  <c r="CR175" i="6"/>
  <c r="BW190" i="6"/>
  <c r="BZ190" i="6" s="1"/>
  <c r="DP190" i="6"/>
  <c r="EC174" i="6"/>
  <c r="EC175" i="6"/>
  <c r="DY162" i="6"/>
  <c r="DZ190" i="6"/>
  <c r="EB190" i="6"/>
  <c r="DZ163" i="6"/>
  <c r="EB163" i="6"/>
  <c r="DZ162" i="6"/>
  <c r="EB162" i="6"/>
  <c r="EC189" i="6"/>
  <c r="DZ203" i="6"/>
  <c r="EB203" i="6"/>
  <c r="DX175" i="6"/>
  <c r="ED175" i="6" s="1"/>
  <c r="DX174" i="6"/>
  <c r="ED174" i="6" s="1"/>
  <c r="AC162" i="6"/>
  <c r="X203" i="6"/>
  <c r="BP190" i="6"/>
  <c r="AR162" i="6"/>
  <c r="BA162" i="6" s="1"/>
  <c r="AQ162" i="6"/>
  <c r="O204" i="6"/>
  <c r="Y204" i="6" s="1"/>
  <c r="AR203" i="6"/>
  <c r="BA203" i="6" s="1"/>
  <c r="AQ203" i="6"/>
  <c r="CB162" i="6"/>
  <c r="BZ162" i="6"/>
  <c r="Z162" i="6"/>
  <c r="AB162" i="6"/>
  <c r="N204" i="6"/>
  <c r="CQ203" i="6"/>
  <c r="DA203" i="6" s="1"/>
  <c r="CR203" i="6"/>
  <c r="BQ162" i="6"/>
  <c r="CA162" i="6" s="1"/>
  <c r="BR162" i="6"/>
  <c r="Z203" i="6"/>
  <c r="AB203" i="6"/>
  <c r="BX202" i="6"/>
  <c r="CC202" i="6"/>
  <c r="CB203" i="6"/>
  <c r="BZ203" i="6"/>
  <c r="AW204" i="6"/>
  <c r="AP204" i="6"/>
  <c r="AO204" i="6"/>
  <c r="AY204" i="6" s="1"/>
  <c r="AQ204" i="6"/>
  <c r="AR204" i="6"/>
  <c r="CM205" i="6"/>
  <c r="CO205" i="6" s="1"/>
  <c r="CY205" i="6" s="1"/>
  <c r="DN204" i="6"/>
  <c r="BM205" i="6"/>
  <c r="BW205" i="6" s="1"/>
  <c r="BZ205" i="6" s="1"/>
  <c r="DM191" i="6"/>
  <c r="DN191" i="6" s="1"/>
  <c r="DW204" i="6"/>
  <c r="DR203" i="6"/>
  <c r="DQ203" i="6"/>
  <c r="BQ203" i="6"/>
  <c r="CA203" i="6" s="1"/>
  <c r="BR203" i="6"/>
  <c r="AM205" i="6"/>
  <c r="AW205" i="6" s="1"/>
  <c r="BB205" i="6" s="1"/>
  <c r="DM205" i="6"/>
  <c r="DO205" i="6" s="1"/>
  <c r="DY205" i="6" s="1"/>
  <c r="BM191" i="6"/>
  <c r="BN191" i="6" s="1"/>
  <c r="M205" i="6"/>
  <c r="P205" i="6" s="1"/>
  <c r="DO204" i="6"/>
  <c r="CB189" i="6"/>
  <c r="BZ189" i="6"/>
  <c r="AK206" i="6"/>
  <c r="AL206" i="6"/>
  <c r="AS206" i="6"/>
  <c r="AT206" i="6" s="1"/>
  <c r="AU206" i="6"/>
  <c r="AV206" i="6" s="1"/>
  <c r="CU206" i="6"/>
  <c r="CV206" i="6" s="1"/>
  <c r="CL206" i="6"/>
  <c r="CS206" i="6"/>
  <c r="CT206" i="6" s="1"/>
  <c r="CK206" i="6"/>
  <c r="AH207" i="6"/>
  <c r="AI207" i="6" s="1"/>
  <c r="BH207" i="6"/>
  <c r="BI207" i="6" s="1"/>
  <c r="DH207" i="6"/>
  <c r="DI207" i="6" s="1"/>
  <c r="EA207" i="6" s="1"/>
  <c r="H207" i="6"/>
  <c r="I207" i="6" s="1"/>
  <c r="CH207" i="6"/>
  <c r="CI207" i="6" s="1"/>
  <c r="U192" i="6"/>
  <c r="V192" i="6" s="1"/>
  <c r="L192" i="6"/>
  <c r="K192" i="6"/>
  <c r="S192" i="6"/>
  <c r="T192" i="6" s="1"/>
  <c r="DS192" i="6"/>
  <c r="DT192" i="6" s="1"/>
  <c r="DK192" i="6"/>
  <c r="DL192" i="6"/>
  <c r="DU192" i="6"/>
  <c r="DV192" i="6" s="1"/>
  <c r="AH193" i="6"/>
  <c r="AI193" i="6" s="1"/>
  <c r="DH193" i="6"/>
  <c r="DI193" i="6" s="1"/>
  <c r="EA193" i="6" s="1"/>
  <c r="BH193" i="6"/>
  <c r="BI193" i="6" s="1"/>
  <c r="H193" i="6"/>
  <c r="I193" i="6" s="1"/>
  <c r="CH193" i="6"/>
  <c r="CI193" i="6" s="1"/>
  <c r="EF193" i="6"/>
  <c r="AM191" i="6"/>
  <c r="Q189" i="6"/>
  <c r="R189" i="6"/>
  <c r="AA189" i="6" s="1"/>
  <c r="AB189" i="6"/>
  <c r="Z189" i="6"/>
  <c r="CM191" i="6"/>
  <c r="AX188" i="6"/>
  <c r="BC188" i="6"/>
  <c r="BY189" i="6"/>
  <c r="BQ189" i="6"/>
  <c r="CA189" i="6" s="1"/>
  <c r="BR189" i="6"/>
  <c r="BU206" i="6"/>
  <c r="BV206" i="6" s="1"/>
  <c r="BK206" i="6"/>
  <c r="BS206" i="6"/>
  <c r="BT206" i="6" s="1"/>
  <c r="BL206" i="6"/>
  <c r="U206" i="6"/>
  <c r="V206" i="6" s="1"/>
  <c r="S206" i="6"/>
  <c r="T206" i="6" s="1"/>
  <c r="K206" i="6"/>
  <c r="L206" i="6"/>
  <c r="DU206" i="6"/>
  <c r="DV206" i="6" s="1"/>
  <c r="DS206" i="6"/>
  <c r="DT206" i="6" s="1"/>
  <c r="DK206" i="6"/>
  <c r="DL206" i="6"/>
  <c r="BY190" i="6"/>
  <c r="AU192" i="6"/>
  <c r="AV192" i="6" s="1"/>
  <c r="AS192" i="6"/>
  <c r="AT192" i="6" s="1"/>
  <c r="AL192" i="6"/>
  <c r="AK192" i="6"/>
  <c r="BK192" i="6"/>
  <c r="BS192" i="6"/>
  <c r="BT192" i="6" s="1"/>
  <c r="BL192" i="6"/>
  <c r="BU192" i="6"/>
  <c r="BV192" i="6" s="1"/>
  <c r="CK192" i="6"/>
  <c r="CS192" i="6"/>
  <c r="CT192" i="6" s="1"/>
  <c r="CU192" i="6"/>
  <c r="CV192" i="6" s="1"/>
  <c r="CL192" i="6"/>
  <c r="N190" i="6"/>
  <c r="W190" i="6"/>
  <c r="P190" i="6"/>
  <c r="O190" i="6"/>
  <c r="Y190" i="6" s="1"/>
  <c r="DC189" i="6"/>
  <c r="X188" i="6"/>
  <c r="AC188" i="6"/>
  <c r="DQ162" i="6"/>
  <c r="DR162" i="6"/>
  <c r="CZ162" i="6"/>
  <c r="DB162" i="6"/>
  <c r="AP163" i="6"/>
  <c r="CC161" i="6"/>
  <c r="BX161" i="6"/>
  <c r="CX161" i="6"/>
  <c r="DC161" i="6"/>
  <c r="X161" i="6"/>
  <c r="AC161" i="6"/>
  <c r="AN163" i="6"/>
  <c r="AW163" i="6"/>
  <c r="AU165" i="6"/>
  <c r="AL165" i="6"/>
  <c r="AS165" i="6"/>
  <c r="AT165" i="6" s="1"/>
  <c r="AK165" i="6"/>
  <c r="U165" i="6"/>
  <c r="L165" i="6"/>
  <c r="S165" i="6"/>
  <c r="T165" i="6" s="1"/>
  <c r="K165" i="6"/>
  <c r="BL165" i="6"/>
  <c r="BU165" i="6"/>
  <c r="BK165" i="6"/>
  <c r="BS165" i="6"/>
  <c r="BT165" i="6" s="1"/>
  <c r="BL178" i="6"/>
  <c r="BS178" i="6"/>
  <c r="BT178" i="6" s="1"/>
  <c r="BU178" i="6"/>
  <c r="BK178" i="6"/>
  <c r="AK178" i="6"/>
  <c r="AL178" i="6"/>
  <c r="AU178" i="6"/>
  <c r="AS178" i="6"/>
  <c r="AT178" i="6" s="1"/>
  <c r="DH179" i="6"/>
  <c r="DI179" i="6" s="1"/>
  <c r="EA179" i="6" s="1"/>
  <c r="BH179" i="6"/>
  <c r="BI179" i="6" s="1"/>
  <c r="H179" i="6"/>
  <c r="I179" i="6" s="1"/>
  <c r="CH179" i="6"/>
  <c r="CI179" i="6" s="1"/>
  <c r="AH179" i="6"/>
  <c r="AI179" i="6" s="1"/>
  <c r="Q176" i="6"/>
  <c r="R176" i="6"/>
  <c r="X174" i="6"/>
  <c r="AC174" i="6"/>
  <c r="AN176" i="6"/>
  <c r="AO176" i="6"/>
  <c r="AY176" i="6" s="1"/>
  <c r="AP176" i="6"/>
  <c r="AW176" i="6"/>
  <c r="BX175" i="6"/>
  <c r="CC175" i="6"/>
  <c r="DO176" i="6"/>
  <c r="DW176" i="6"/>
  <c r="DN176" i="6"/>
  <c r="DP176" i="6"/>
  <c r="BQ176" i="6"/>
  <c r="CA176" i="6" s="1"/>
  <c r="BR176" i="6"/>
  <c r="CL165" i="6"/>
  <c r="CU165" i="6"/>
  <c r="CV165" i="6" s="1"/>
  <c r="CK165" i="6"/>
  <c r="CS165" i="6"/>
  <c r="CT165" i="6" s="1"/>
  <c r="DL165" i="6"/>
  <c r="DU165" i="6"/>
  <c r="DS165" i="6"/>
  <c r="DT165" i="6" s="1"/>
  <c r="DK165" i="6"/>
  <c r="DC174" i="6"/>
  <c r="L178" i="6"/>
  <c r="U178" i="6"/>
  <c r="K178" i="6"/>
  <c r="S178" i="6"/>
  <c r="T178" i="6" s="1"/>
  <c r="CU178" i="6"/>
  <c r="CK178" i="6"/>
  <c r="CL178" i="6"/>
  <c r="CS178" i="6"/>
  <c r="CT178" i="6" s="1"/>
  <c r="DS178" i="6"/>
  <c r="DT178" i="6" s="1"/>
  <c r="DU178" i="6"/>
  <c r="DK178" i="6"/>
  <c r="DL178" i="6"/>
  <c r="CO176" i="6"/>
  <c r="CP176" i="6"/>
  <c r="CN176" i="6"/>
  <c r="CW176" i="6"/>
  <c r="AX175" i="6"/>
  <c r="BC175" i="6"/>
  <c r="DC175" i="6"/>
  <c r="BJ207" i="6"/>
  <c r="AJ207" i="6"/>
  <c r="CJ207" i="6"/>
  <c r="DJ207" i="6"/>
  <c r="J207" i="6"/>
  <c r="AA176" i="6" l="1"/>
  <c r="DV165" i="6"/>
  <c r="BA204" i="6"/>
  <c r="AA163" i="6"/>
  <c r="CA204" i="6"/>
  <c r="CA190" i="6"/>
  <c r="EJ215" i="6"/>
  <c r="BA190" i="6"/>
  <c r="AX189" i="6"/>
  <c r="BA189" i="6"/>
  <c r="CC163" i="6"/>
  <c r="CA163" i="6"/>
  <c r="BV165" i="6"/>
  <c r="CV178" i="6"/>
  <c r="V165" i="6"/>
  <c r="AV165" i="6"/>
  <c r="EC217" i="6"/>
  <c r="DZ232" i="6"/>
  <c r="EB232" i="6"/>
  <c r="EB218" i="6"/>
  <c r="DZ218" i="6"/>
  <c r="DX217" i="6"/>
  <c r="ED217" i="6" s="1"/>
  <c r="EC231" i="6"/>
  <c r="DX231" i="6"/>
  <c r="ED231" i="6" s="1"/>
  <c r="EF165" i="6"/>
  <c r="BJ165" i="6"/>
  <c r="BM165" i="6" s="1"/>
  <c r="BP165" i="6" s="1"/>
  <c r="J165" i="6"/>
  <c r="M165" i="6" s="1"/>
  <c r="N165" i="6" s="1"/>
  <c r="R165" i="6" s="1"/>
  <c r="AJ165" i="6"/>
  <c r="AM165" i="6" s="1"/>
  <c r="AP165" i="6" s="1"/>
  <c r="DJ165" i="6"/>
  <c r="DM165" i="6" s="1"/>
  <c r="DO165" i="6" s="1"/>
  <c r="DY165" i="6" s="1"/>
  <c r="CJ165" i="6"/>
  <c r="CM165" i="6" s="1"/>
  <c r="CO165" i="6" s="1"/>
  <c r="CY165" i="6" s="1"/>
  <c r="DV178" i="6"/>
  <c r="V178" i="6"/>
  <c r="AV178" i="6"/>
  <c r="BV178" i="6"/>
  <c r="A179" i="6"/>
  <c r="AJ178" i="6"/>
  <c r="AM178" i="6" s="1"/>
  <c r="BJ178" i="6"/>
  <c r="BM178" i="6" s="1"/>
  <c r="BO178" i="6" s="1"/>
  <c r="CJ178" i="6"/>
  <c r="CM178" i="6" s="1"/>
  <c r="J178" i="6"/>
  <c r="M178" i="6" s="1"/>
  <c r="N178" i="6" s="1"/>
  <c r="DJ178" i="6"/>
  <c r="DM178" i="6" s="1"/>
  <c r="EF178" i="6"/>
  <c r="EG216" i="6"/>
  <c r="EH216" i="6" s="1"/>
  <c r="EI216" i="6" s="1"/>
  <c r="EL216" i="6" s="1"/>
  <c r="EG230" i="6"/>
  <c r="EH230" i="6" s="1"/>
  <c r="EI230" i="6" s="1"/>
  <c r="EJ230" i="6" s="1"/>
  <c r="EJ229" i="6"/>
  <c r="CZ218" i="6"/>
  <c r="DB218" i="6"/>
  <c r="BZ232" i="6"/>
  <c r="CB232" i="6"/>
  <c r="CX231" i="6"/>
  <c r="DD231" i="6" s="1"/>
  <c r="DC231" i="6"/>
  <c r="CX217" i="6"/>
  <c r="DD217" i="6" s="1"/>
  <c r="DC217" i="6"/>
  <c r="BZ218" i="6"/>
  <c r="CB218" i="6"/>
  <c r="AB232" i="6"/>
  <c r="Z232" i="6"/>
  <c r="AX217" i="6"/>
  <c r="BD217" i="6" s="1"/>
  <c r="BC217" i="6"/>
  <c r="BB218" i="6"/>
  <c r="AZ218" i="6"/>
  <c r="X231" i="6"/>
  <c r="AD231" i="6" s="1"/>
  <c r="AC231" i="6"/>
  <c r="AX231" i="6"/>
  <c r="BD231" i="6" s="1"/>
  <c r="BC231" i="6"/>
  <c r="BX217" i="6"/>
  <c r="CD217" i="6" s="1"/>
  <c r="CC217" i="6"/>
  <c r="X217" i="6"/>
  <c r="AD217" i="6" s="1"/>
  <c r="AC217" i="6"/>
  <c r="BX231" i="6"/>
  <c r="CD231" i="6" s="1"/>
  <c r="CC231" i="6"/>
  <c r="CZ232" i="6"/>
  <c r="DB232" i="6"/>
  <c r="AZ232" i="6"/>
  <c r="BB232" i="6"/>
  <c r="AB218" i="6"/>
  <c r="Z218" i="6"/>
  <c r="CQ232" i="6"/>
  <c r="DA232" i="6" s="1"/>
  <c r="CR232" i="6"/>
  <c r="AQ218" i="6"/>
  <c r="AR218" i="6"/>
  <c r="BA218" i="6" s="1"/>
  <c r="AQ232" i="6"/>
  <c r="AR232" i="6"/>
  <c r="BA232" i="6" s="1"/>
  <c r="CW233" i="6"/>
  <c r="CP233" i="6"/>
  <c r="CO233" i="6"/>
  <c r="CY233" i="6" s="1"/>
  <c r="CN233" i="6"/>
  <c r="CQ218" i="6"/>
  <c r="DA218" i="6" s="1"/>
  <c r="CR218" i="6"/>
  <c r="BP219" i="6"/>
  <c r="BW219" i="6"/>
  <c r="BN219" i="6"/>
  <c r="BO219" i="6"/>
  <c r="BY219" i="6" s="1"/>
  <c r="AW219" i="6"/>
  <c r="AO219" i="6"/>
  <c r="AY219" i="6" s="1"/>
  <c r="AP219" i="6"/>
  <c r="AN219" i="6"/>
  <c r="CP219" i="6"/>
  <c r="CO219" i="6"/>
  <c r="CY219" i="6" s="1"/>
  <c r="CN219" i="6"/>
  <c r="CW219" i="6"/>
  <c r="DR232" i="6"/>
  <c r="DQ232" i="6"/>
  <c r="DR218" i="6"/>
  <c r="DQ218" i="6"/>
  <c r="AW233" i="6"/>
  <c r="AP233" i="6"/>
  <c r="AO233" i="6"/>
  <c r="AY233" i="6" s="1"/>
  <c r="AN233" i="6"/>
  <c r="O233" i="6"/>
  <c r="Y233" i="6" s="1"/>
  <c r="N233" i="6"/>
  <c r="P233" i="6"/>
  <c r="W233" i="6"/>
  <c r="Q232" i="6"/>
  <c r="R232" i="6"/>
  <c r="AA232" i="6" s="1"/>
  <c r="Q218" i="6"/>
  <c r="R218" i="6"/>
  <c r="AA218" i="6" s="1"/>
  <c r="BR218" i="6"/>
  <c r="BQ218" i="6"/>
  <c r="CA218" i="6" s="1"/>
  <c r="DP219" i="6"/>
  <c r="DW219" i="6"/>
  <c r="DO219" i="6"/>
  <c r="DY219" i="6" s="1"/>
  <c r="DN219" i="6"/>
  <c r="AJ220" i="6"/>
  <c r="AM220" i="6" s="1"/>
  <c r="BV220" i="6"/>
  <c r="DV220" i="6"/>
  <c r="CJ220" i="6"/>
  <c r="CM220" i="6" s="1"/>
  <c r="V220" i="6"/>
  <c r="BJ220" i="6"/>
  <c r="BM220" i="6" s="1"/>
  <c r="CV220" i="6"/>
  <c r="EF220" i="6"/>
  <c r="A221" i="6"/>
  <c r="J220" i="6"/>
  <c r="M220" i="6" s="1"/>
  <c r="AV220" i="6"/>
  <c r="DJ220" i="6"/>
  <c r="DM220" i="6" s="1"/>
  <c r="DN233" i="6"/>
  <c r="DW233" i="6"/>
  <c r="DO233" i="6"/>
  <c r="DY233" i="6" s="1"/>
  <c r="DP233" i="6"/>
  <c r="O219" i="6"/>
  <c r="Y219" i="6" s="1"/>
  <c r="W219" i="6"/>
  <c r="N219" i="6"/>
  <c r="P219" i="6"/>
  <c r="BQ232" i="6"/>
  <c r="CA232" i="6" s="1"/>
  <c r="BR232" i="6"/>
  <c r="BW233" i="6"/>
  <c r="BP233" i="6"/>
  <c r="BN233" i="6"/>
  <c r="BO233" i="6"/>
  <c r="BY233" i="6" s="1"/>
  <c r="EF234" i="6"/>
  <c r="AJ234" i="6"/>
  <c r="AM234" i="6" s="1"/>
  <c r="V234" i="6"/>
  <c r="BV234" i="6"/>
  <c r="DJ234" i="6"/>
  <c r="DM234" i="6" s="1"/>
  <c r="DV234" i="6"/>
  <c r="AV234" i="6"/>
  <c r="A235" i="6"/>
  <c r="CJ234" i="6"/>
  <c r="CM234" i="6" s="1"/>
  <c r="CV234" i="6"/>
  <c r="J234" i="6"/>
  <c r="M234" i="6" s="1"/>
  <c r="BJ234" i="6"/>
  <c r="BM234" i="6" s="1"/>
  <c r="EL160" i="6"/>
  <c r="EL159" i="6"/>
  <c r="EL172" i="6"/>
  <c r="EJ200" i="6"/>
  <c r="EL201" i="6"/>
  <c r="EL200" i="6"/>
  <c r="EL187" i="6"/>
  <c r="BR163" i="6"/>
  <c r="BX163" i="6"/>
  <c r="CD163" i="6" s="1"/>
  <c r="X163" i="6"/>
  <c r="AD163" i="6" s="1"/>
  <c r="W191" i="6"/>
  <c r="AB191" i="6" s="1"/>
  <c r="AB163" i="6"/>
  <c r="N191" i="6"/>
  <c r="R191" i="6" s="1"/>
  <c r="O191" i="6"/>
  <c r="Y191" i="6" s="1"/>
  <c r="CQ190" i="6"/>
  <c r="Z176" i="6"/>
  <c r="CZ190" i="6"/>
  <c r="CQ163" i="6"/>
  <c r="AP177" i="6"/>
  <c r="CP164" i="6"/>
  <c r="CN164" i="6"/>
  <c r="CR164" i="6" s="1"/>
  <c r="CO164" i="6"/>
  <c r="CY164" i="6" s="1"/>
  <c r="AN177" i="6"/>
  <c r="AQ177" i="6" s="1"/>
  <c r="AO177" i="6"/>
  <c r="AY177" i="6" s="1"/>
  <c r="DQ163" i="6"/>
  <c r="CM206" i="6"/>
  <c r="CO206" i="6" s="1"/>
  <c r="CY206" i="6" s="1"/>
  <c r="N205" i="6"/>
  <c r="R205" i="6" s="1"/>
  <c r="AD162" i="6"/>
  <c r="BN164" i="6"/>
  <c r="BR164" i="6" s="1"/>
  <c r="BX189" i="6"/>
  <c r="BC204" i="6"/>
  <c r="BP164" i="6"/>
  <c r="AC175" i="6"/>
  <c r="BO205" i="6"/>
  <c r="BY205" i="6" s="1"/>
  <c r="AN205" i="6"/>
  <c r="AQ205" i="6" s="1"/>
  <c r="DN205" i="6"/>
  <c r="DQ205" i="6" s="1"/>
  <c r="BO164" i="6"/>
  <c r="BY164" i="6" s="1"/>
  <c r="EJ172" i="6"/>
  <c r="AD202" i="6"/>
  <c r="BR204" i="6"/>
  <c r="BX204" i="6" s="1"/>
  <c r="AB204" i="6"/>
  <c r="CC204" i="6"/>
  <c r="CP205" i="6"/>
  <c r="BC189" i="6"/>
  <c r="EJ160" i="6"/>
  <c r="AQ190" i="6"/>
  <c r="EJ159" i="6"/>
  <c r="EJ201" i="6"/>
  <c r="CB205" i="6"/>
  <c r="CB190" i="6"/>
  <c r="AC163" i="6"/>
  <c r="AZ190" i="6"/>
  <c r="EJ187" i="6"/>
  <c r="EG173" i="6"/>
  <c r="EH173" i="6" s="1"/>
  <c r="EI173" i="6" s="1"/>
  <c r="AZ205" i="6"/>
  <c r="BZ176" i="6"/>
  <c r="CB164" i="6"/>
  <c r="BW191" i="6"/>
  <c r="CB191" i="6" s="1"/>
  <c r="DD175" i="6"/>
  <c r="DD189" i="6"/>
  <c r="CD202" i="6"/>
  <c r="BD188" i="6"/>
  <c r="CD175" i="6"/>
  <c r="AD175" i="6"/>
  <c r="AD174" i="6"/>
  <c r="EG174" i="6" s="1"/>
  <c r="EH174" i="6" s="1"/>
  <c r="EI174" i="6" s="1"/>
  <c r="DD161" i="6"/>
  <c r="CD161" i="6"/>
  <c r="BD189" i="6"/>
  <c r="BD175" i="6"/>
  <c r="AD161" i="6"/>
  <c r="AD188" i="6"/>
  <c r="DB164" i="6"/>
  <c r="DD162" i="6"/>
  <c r="DR190" i="6"/>
  <c r="BR190" i="6"/>
  <c r="BX190" i="6" s="1"/>
  <c r="CQ204" i="6"/>
  <c r="DA204" i="6" s="1"/>
  <c r="CR204" i="6"/>
  <c r="DB204" i="6"/>
  <c r="CZ204" i="6"/>
  <c r="DW191" i="6"/>
  <c r="DZ191" i="6" s="1"/>
  <c r="AX204" i="6"/>
  <c r="AD203" i="6"/>
  <c r="BP191" i="6"/>
  <c r="DP191" i="6"/>
  <c r="DY176" i="6"/>
  <c r="EC162" i="6"/>
  <c r="DY204" i="6"/>
  <c r="EC203" i="6"/>
  <c r="DX203" i="6"/>
  <c r="ED203" i="6" s="1"/>
  <c r="DZ204" i="6"/>
  <c r="EB204" i="6"/>
  <c r="DX162" i="6"/>
  <c r="ED162" i="6" s="1"/>
  <c r="EB176" i="6"/>
  <c r="DZ176" i="6"/>
  <c r="DX190" i="6"/>
  <c r="ED190" i="6" s="1"/>
  <c r="AO164" i="6"/>
  <c r="AY164" i="6" s="1"/>
  <c r="BC162" i="6"/>
  <c r="AX162" i="6"/>
  <c r="AW164" i="6"/>
  <c r="BO191" i="6"/>
  <c r="BY191" i="6" s="1"/>
  <c r="DO191" i="6"/>
  <c r="AX203" i="6"/>
  <c r="BC203" i="6"/>
  <c r="Q204" i="6"/>
  <c r="R204" i="6"/>
  <c r="AA204" i="6" s="1"/>
  <c r="CC162" i="6"/>
  <c r="BX162" i="6"/>
  <c r="CX203" i="6"/>
  <c r="DC203" i="6"/>
  <c r="AZ204" i="6"/>
  <c r="BB204" i="6"/>
  <c r="BX203" i="6"/>
  <c r="CC203" i="6"/>
  <c r="BP205" i="6"/>
  <c r="CN205" i="6"/>
  <c r="BN205" i="6"/>
  <c r="DW205" i="6"/>
  <c r="CW205" i="6"/>
  <c r="DR204" i="6"/>
  <c r="DQ204" i="6"/>
  <c r="AN164" i="6"/>
  <c r="AM206" i="6"/>
  <c r="AW206" i="6" s="1"/>
  <c r="AZ206" i="6" s="1"/>
  <c r="AP205" i="6"/>
  <c r="M206" i="6"/>
  <c r="O206" i="6" s="1"/>
  <c r="Y206" i="6" s="1"/>
  <c r="AO205" i="6"/>
  <c r="AY205" i="6" s="1"/>
  <c r="O205" i="6"/>
  <c r="Y205" i="6" s="1"/>
  <c r="DP205" i="6"/>
  <c r="CM192" i="6"/>
  <c r="CO192" i="6" s="1"/>
  <c r="CY192" i="6" s="1"/>
  <c r="DM206" i="6"/>
  <c r="DN206" i="6" s="1"/>
  <c r="BM206" i="6"/>
  <c r="BO206" i="6" s="1"/>
  <c r="BY206" i="6" s="1"/>
  <c r="W205" i="6"/>
  <c r="AB190" i="6"/>
  <c r="Z190" i="6"/>
  <c r="AM192" i="6"/>
  <c r="CC189" i="6"/>
  <c r="CP191" i="6"/>
  <c r="CW191" i="6"/>
  <c r="CO191" i="6"/>
  <c r="CY191" i="6" s="1"/>
  <c r="CN191" i="6"/>
  <c r="L193" i="6"/>
  <c r="S193" i="6"/>
  <c r="T193" i="6" s="1"/>
  <c r="K193" i="6"/>
  <c r="U193" i="6"/>
  <c r="V193" i="6" s="1"/>
  <c r="DS193" i="6"/>
  <c r="DT193" i="6" s="1"/>
  <c r="DL193" i="6"/>
  <c r="DU193" i="6"/>
  <c r="DV193" i="6" s="1"/>
  <c r="DK193" i="6"/>
  <c r="M192" i="6"/>
  <c r="S207" i="6"/>
  <c r="T207" i="6" s="1"/>
  <c r="K207" i="6"/>
  <c r="L207" i="6"/>
  <c r="U207" i="6"/>
  <c r="V207" i="6" s="1"/>
  <c r="BK207" i="6"/>
  <c r="BS207" i="6"/>
  <c r="BT207" i="6" s="1"/>
  <c r="BL207" i="6"/>
  <c r="BU207" i="6"/>
  <c r="BV207" i="6" s="1"/>
  <c r="AX190" i="6"/>
  <c r="BC190" i="6"/>
  <c r="BR191" i="6"/>
  <c r="BQ191" i="6"/>
  <c r="R190" i="6"/>
  <c r="AA190" i="6" s="1"/>
  <c r="Q190" i="6"/>
  <c r="DQ191" i="6"/>
  <c r="DR191" i="6"/>
  <c r="BM192" i="6"/>
  <c r="AC189" i="6"/>
  <c r="X189" i="6"/>
  <c r="AO191" i="6"/>
  <c r="AY191" i="6" s="1"/>
  <c r="AW191" i="6"/>
  <c r="AP191" i="6"/>
  <c r="AN191" i="6"/>
  <c r="CS193" i="6"/>
  <c r="CT193" i="6" s="1"/>
  <c r="CL193" i="6"/>
  <c r="CK193" i="6"/>
  <c r="CU193" i="6"/>
  <c r="CV193" i="6" s="1"/>
  <c r="BS193" i="6"/>
  <c r="BT193" i="6" s="1"/>
  <c r="BL193" i="6"/>
  <c r="BK193" i="6"/>
  <c r="BU193" i="6"/>
  <c r="BV193" i="6" s="1"/>
  <c r="AS193" i="6"/>
  <c r="AT193" i="6" s="1"/>
  <c r="AK193" i="6"/>
  <c r="AL193" i="6"/>
  <c r="AU193" i="6"/>
  <c r="AV193" i="6" s="1"/>
  <c r="DM192" i="6"/>
  <c r="CC190" i="6"/>
  <c r="CU207" i="6"/>
  <c r="CV207" i="6" s="1"/>
  <c r="CS207" i="6"/>
  <c r="CT207" i="6" s="1"/>
  <c r="CK207" i="6"/>
  <c r="CL207" i="6"/>
  <c r="DU207" i="6"/>
  <c r="DV207" i="6" s="1"/>
  <c r="DL207" i="6"/>
  <c r="DS207" i="6"/>
  <c r="DT207" i="6" s="1"/>
  <c r="DK207" i="6"/>
  <c r="AU207" i="6"/>
  <c r="AV207" i="6" s="1"/>
  <c r="AS207" i="6"/>
  <c r="AT207" i="6" s="1"/>
  <c r="AK207" i="6"/>
  <c r="AL207" i="6"/>
  <c r="DP164" i="6"/>
  <c r="N164" i="6"/>
  <c r="W164" i="6"/>
  <c r="O164" i="6"/>
  <c r="Y164" i="6" s="1"/>
  <c r="DW164" i="6"/>
  <c r="DQ164" i="6"/>
  <c r="DR164" i="6"/>
  <c r="DO164" i="6"/>
  <c r="AQ163" i="6"/>
  <c r="AR163" i="6"/>
  <c r="BA163" i="6" s="1"/>
  <c r="BB163" i="6"/>
  <c r="AZ163" i="6"/>
  <c r="CQ176" i="6"/>
  <c r="CR176" i="6"/>
  <c r="CY176" i="6"/>
  <c r="BX176" i="6"/>
  <c r="CC176" i="6"/>
  <c r="DQ176" i="6"/>
  <c r="DR176" i="6"/>
  <c r="AZ177" i="6"/>
  <c r="BB177" i="6"/>
  <c r="BO177" i="6"/>
  <c r="BP177" i="6"/>
  <c r="BN177" i="6"/>
  <c r="BW177" i="6"/>
  <c r="AR176" i="6"/>
  <c r="BA176" i="6" s="1"/>
  <c r="AQ176" i="6"/>
  <c r="X176" i="6"/>
  <c r="AC176" i="6"/>
  <c r="DO177" i="6"/>
  <c r="DN177" i="6"/>
  <c r="DW177" i="6"/>
  <c r="DP177" i="6"/>
  <c r="AU179" i="6"/>
  <c r="AL179" i="6"/>
  <c r="AK179" i="6"/>
  <c r="AS179" i="6"/>
  <c r="AT179" i="6" s="1"/>
  <c r="S179" i="6"/>
  <c r="T179" i="6" s="1"/>
  <c r="L179" i="6"/>
  <c r="K179" i="6"/>
  <c r="U179" i="6"/>
  <c r="DU179" i="6"/>
  <c r="DS179" i="6"/>
  <c r="DT179" i="6" s="1"/>
  <c r="DL179" i="6"/>
  <c r="DK179" i="6"/>
  <c r="CZ176" i="6"/>
  <c r="DB176" i="6"/>
  <c r="W177" i="6"/>
  <c r="P177" i="6"/>
  <c r="O177" i="6"/>
  <c r="Y177" i="6" s="1"/>
  <c r="N177" i="6"/>
  <c r="BB176" i="6"/>
  <c r="AZ176" i="6"/>
  <c r="CN177" i="6"/>
  <c r="CO177" i="6"/>
  <c r="CP177" i="6"/>
  <c r="CW177" i="6"/>
  <c r="CU179" i="6"/>
  <c r="CK179" i="6"/>
  <c r="CL179" i="6"/>
  <c r="CS179" i="6"/>
  <c r="CT179" i="6" s="1"/>
  <c r="BU179" i="6"/>
  <c r="BS179" i="6"/>
  <c r="BT179" i="6" s="1"/>
  <c r="BK179" i="6"/>
  <c r="BL179" i="6"/>
  <c r="CA191" i="6" l="1"/>
  <c r="CX176" i="6"/>
  <c r="DA176" i="6"/>
  <c r="DC163" i="6"/>
  <c r="DA163" i="6"/>
  <c r="AA205" i="6"/>
  <c r="CX190" i="6"/>
  <c r="DD190" i="6" s="1"/>
  <c r="DA190" i="6"/>
  <c r="AA191" i="6"/>
  <c r="EC232" i="6"/>
  <c r="DX232" i="6"/>
  <c r="ED232" i="6" s="1"/>
  <c r="V179" i="6"/>
  <c r="EB191" i="6"/>
  <c r="EC163" i="6"/>
  <c r="DX163" i="6"/>
  <c r="ED163" i="6" s="1"/>
  <c r="BV179" i="6"/>
  <c r="CV179" i="6"/>
  <c r="EB233" i="6"/>
  <c r="DZ233" i="6"/>
  <c r="DZ219" i="6"/>
  <c r="EB219" i="6"/>
  <c r="EC218" i="6"/>
  <c r="DX218" i="6"/>
  <c r="ED218" i="6" s="1"/>
  <c r="EJ216" i="6"/>
  <c r="EL230" i="6"/>
  <c r="DV179" i="6"/>
  <c r="AV179" i="6"/>
  <c r="AJ179" i="6"/>
  <c r="AM179" i="6" s="1"/>
  <c r="EF179" i="6"/>
  <c r="BJ179" i="6"/>
  <c r="BM179" i="6" s="1"/>
  <c r="CJ179" i="6"/>
  <c r="CM179" i="6" s="1"/>
  <c r="CO179" i="6" s="1"/>
  <c r="CY179" i="6" s="1"/>
  <c r="J179" i="6"/>
  <c r="M179" i="6" s="1"/>
  <c r="DJ179" i="6"/>
  <c r="DM179" i="6" s="1"/>
  <c r="EG231" i="6"/>
  <c r="EH231" i="6" s="1"/>
  <c r="EI231" i="6" s="1"/>
  <c r="EJ231" i="6" s="1"/>
  <c r="EG217" i="6"/>
  <c r="EH217" i="6" s="1"/>
  <c r="EI217" i="6" s="1"/>
  <c r="EL217" i="6" s="1"/>
  <c r="Z219" i="6"/>
  <c r="AB219" i="6"/>
  <c r="X218" i="6"/>
  <c r="AD218" i="6" s="1"/>
  <c r="AC218" i="6"/>
  <c r="Z233" i="6"/>
  <c r="AB233" i="6"/>
  <c r="DB219" i="6"/>
  <c r="CZ219" i="6"/>
  <c r="AX218" i="6"/>
  <c r="BD218" i="6" s="1"/>
  <c r="BC218" i="6"/>
  <c r="BX232" i="6"/>
  <c r="CD232" i="6" s="1"/>
  <c r="CC232" i="6"/>
  <c r="CX218" i="6"/>
  <c r="DD218" i="6" s="1"/>
  <c r="DC218" i="6"/>
  <c r="DB233" i="6"/>
  <c r="CZ233" i="6"/>
  <c r="BX218" i="6"/>
  <c r="CD218" i="6" s="1"/>
  <c r="CC218" i="6"/>
  <c r="X232" i="6"/>
  <c r="AD232" i="6" s="1"/>
  <c r="AC232" i="6"/>
  <c r="BZ219" i="6"/>
  <c r="CB219" i="6"/>
  <c r="AX232" i="6"/>
  <c r="BD232" i="6" s="1"/>
  <c r="BC232" i="6"/>
  <c r="CB233" i="6"/>
  <c r="BZ233" i="6"/>
  <c r="AZ233" i="6"/>
  <c r="BB233" i="6"/>
  <c r="AZ219" i="6"/>
  <c r="BB219" i="6"/>
  <c r="CX232" i="6"/>
  <c r="DD232" i="6" s="1"/>
  <c r="DC232" i="6"/>
  <c r="DR233" i="6"/>
  <c r="DQ233" i="6"/>
  <c r="AW220" i="6"/>
  <c r="AP220" i="6"/>
  <c r="AO220" i="6"/>
  <c r="AY220" i="6" s="1"/>
  <c r="AN220" i="6"/>
  <c r="AQ233" i="6"/>
  <c r="AR233" i="6"/>
  <c r="BA233" i="6" s="1"/>
  <c r="AR219" i="6"/>
  <c r="BA219" i="6" s="1"/>
  <c r="AQ219" i="6"/>
  <c r="AW234" i="6"/>
  <c r="AP234" i="6"/>
  <c r="AN234" i="6"/>
  <c r="AO234" i="6"/>
  <c r="AY234" i="6" s="1"/>
  <c r="DN220" i="6"/>
  <c r="DW220" i="6"/>
  <c r="DO220" i="6"/>
  <c r="DY220" i="6" s="1"/>
  <c r="DP220" i="6"/>
  <c r="CN220" i="6"/>
  <c r="CO220" i="6"/>
  <c r="CY220" i="6" s="1"/>
  <c r="CW220" i="6"/>
  <c r="CP220" i="6"/>
  <c r="DQ219" i="6"/>
  <c r="DR219" i="6"/>
  <c r="CR219" i="6"/>
  <c r="CQ219" i="6"/>
  <c r="DA219" i="6" s="1"/>
  <c r="BR219" i="6"/>
  <c r="BQ219" i="6"/>
  <c r="CW234" i="6"/>
  <c r="CN234" i="6"/>
  <c r="CO234" i="6"/>
  <c r="CY234" i="6" s="1"/>
  <c r="CP234" i="6"/>
  <c r="DO234" i="6"/>
  <c r="DY234" i="6" s="1"/>
  <c r="DP234" i="6"/>
  <c r="DN234" i="6"/>
  <c r="DW234" i="6"/>
  <c r="Q219" i="6"/>
  <c r="R219" i="6"/>
  <c r="AA219" i="6" s="1"/>
  <c r="R233" i="6"/>
  <c r="AA233" i="6" s="1"/>
  <c r="Q233" i="6"/>
  <c r="CQ233" i="6"/>
  <c r="DA233" i="6" s="1"/>
  <c r="CR233" i="6"/>
  <c r="P234" i="6"/>
  <c r="W234" i="6"/>
  <c r="N234" i="6"/>
  <c r="O234" i="6"/>
  <c r="Y234" i="6" s="1"/>
  <c r="BQ233" i="6"/>
  <c r="CA233" i="6" s="1"/>
  <c r="BR233" i="6"/>
  <c r="EF221" i="6"/>
  <c r="J221" i="6"/>
  <c r="M221" i="6" s="1"/>
  <c r="V221" i="6"/>
  <c r="AJ221" i="6"/>
  <c r="AM221" i="6" s="1"/>
  <c r="BV221" i="6"/>
  <c r="BJ221" i="6"/>
  <c r="BM221" i="6" s="1"/>
  <c r="CV221" i="6"/>
  <c r="AV221" i="6"/>
  <c r="CJ221" i="6"/>
  <c r="CM221" i="6" s="1"/>
  <c r="DV221" i="6"/>
  <c r="DJ221" i="6"/>
  <c r="DM221" i="6" s="1"/>
  <c r="BO234" i="6"/>
  <c r="BY234" i="6" s="1"/>
  <c r="BN234" i="6"/>
  <c r="BP234" i="6"/>
  <c r="BW234" i="6"/>
  <c r="DJ235" i="6"/>
  <c r="DM235" i="6" s="1"/>
  <c r="AJ235" i="6"/>
  <c r="AM235" i="6" s="1"/>
  <c r="CV235" i="6"/>
  <c r="EF235" i="6"/>
  <c r="BJ235" i="6"/>
  <c r="BM235" i="6" s="1"/>
  <c r="DV235" i="6"/>
  <c r="AV235" i="6"/>
  <c r="V235" i="6"/>
  <c r="J235" i="6"/>
  <c r="M235" i="6" s="1"/>
  <c r="BV235" i="6"/>
  <c r="CJ235" i="6"/>
  <c r="CM235" i="6" s="1"/>
  <c r="O220" i="6"/>
  <c r="Y220" i="6" s="1"/>
  <c r="N220" i="6"/>
  <c r="W220" i="6"/>
  <c r="P220" i="6"/>
  <c r="BO220" i="6"/>
  <c r="BY220" i="6" s="1"/>
  <c r="BW220" i="6"/>
  <c r="BN220" i="6"/>
  <c r="BP220" i="6"/>
  <c r="EL174" i="6"/>
  <c r="EL173" i="6"/>
  <c r="EJ173" i="6"/>
  <c r="Z191" i="6"/>
  <c r="CP206" i="6"/>
  <c r="Q191" i="6"/>
  <c r="CQ164" i="6"/>
  <c r="W206" i="6"/>
  <c r="AB206" i="6" s="1"/>
  <c r="DC190" i="6"/>
  <c r="AN165" i="6"/>
  <c r="AQ165" i="6" s="1"/>
  <c r="CX163" i="6"/>
  <c r="DD163" i="6" s="1"/>
  <c r="AR177" i="6"/>
  <c r="CW206" i="6"/>
  <c r="CZ206" i="6" s="1"/>
  <c r="CN206" i="6"/>
  <c r="CR206" i="6" s="1"/>
  <c r="BW206" i="6"/>
  <c r="CB206" i="6" s="1"/>
  <c r="BW165" i="6"/>
  <c r="BZ165" i="6" s="1"/>
  <c r="CW165" i="6"/>
  <c r="DB165" i="6" s="1"/>
  <c r="DO206" i="6"/>
  <c r="DY206" i="6" s="1"/>
  <c r="BO165" i="6"/>
  <c r="BY165" i="6" s="1"/>
  <c r="Q165" i="6"/>
  <c r="CP165" i="6"/>
  <c r="BN165" i="6"/>
  <c r="BQ165" i="6" s="1"/>
  <c r="CN165" i="6"/>
  <c r="CR165" i="6" s="1"/>
  <c r="O165" i="6"/>
  <c r="Y165" i="6" s="1"/>
  <c r="Q205" i="6"/>
  <c r="AC205" i="6" s="1"/>
  <c r="W165" i="6"/>
  <c r="Z165" i="6" s="1"/>
  <c r="P165" i="6"/>
  <c r="AW165" i="6"/>
  <c r="AZ165" i="6" s="1"/>
  <c r="AO165" i="6"/>
  <c r="AY165" i="6" s="1"/>
  <c r="DP165" i="6"/>
  <c r="M193" i="6"/>
  <c r="P193" i="6" s="1"/>
  <c r="BQ164" i="6"/>
  <c r="DX176" i="6"/>
  <c r="ED176" i="6" s="1"/>
  <c r="EC190" i="6"/>
  <c r="AR205" i="6"/>
  <c r="CD204" i="6"/>
  <c r="DR205" i="6"/>
  <c r="EG202" i="6"/>
  <c r="EH202" i="6" s="1"/>
  <c r="EI202" i="6" s="1"/>
  <c r="CP192" i="6"/>
  <c r="BZ191" i="6"/>
  <c r="BN178" i="6"/>
  <c r="BQ178" i="6" s="1"/>
  <c r="W178" i="6"/>
  <c r="Z178" i="6" s="1"/>
  <c r="EJ174" i="6"/>
  <c r="EG188" i="6"/>
  <c r="EH188" i="6" s="1"/>
  <c r="EI188" i="6" s="1"/>
  <c r="EG175" i="6"/>
  <c r="EH175" i="6" s="1"/>
  <c r="EI175" i="6" s="1"/>
  <c r="EG161" i="6"/>
  <c r="EH161" i="6" s="1"/>
  <c r="EI161" i="6" s="1"/>
  <c r="CD190" i="6"/>
  <c r="CD189" i="6"/>
  <c r="BD204" i="6"/>
  <c r="AD189" i="6"/>
  <c r="DD203" i="6"/>
  <c r="AD176" i="6"/>
  <c r="CD176" i="6"/>
  <c r="CD162" i="6"/>
  <c r="BD203" i="6"/>
  <c r="BD162" i="6"/>
  <c r="BD190" i="6"/>
  <c r="CD203" i="6"/>
  <c r="CX204" i="6"/>
  <c r="DC204" i="6"/>
  <c r="P178" i="6"/>
  <c r="O178" i="6"/>
  <c r="Y178" i="6" s="1"/>
  <c r="DW165" i="6"/>
  <c r="DZ165" i="6" s="1"/>
  <c r="BB206" i="6"/>
  <c r="BW178" i="6"/>
  <c r="BZ178" i="6" s="1"/>
  <c r="BP178" i="6"/>
  <c r="DN165" i="6"/>
  <c r="CN192" i="6"/>
  <c r="CR192" i="6" s="1"/>
  <c r="EB165" i="6"/>
  <c r="EC204" i="6"/>
  <c r="DZ177" i="6"/>
  <c r="EB177" i="6"/>
  <c r="DY177" i="6"/>
  <c r="EC176" i="6"/>
  <c r="DY164" i="6"/>
  <c r="DX164" i="6"/>
  <c r="EC164" i="6"/>
  <c r="DZ164" i="6"/>
  <c r="EB164" i="6"/>
  <c r="EC191" i="6"/>
  <c r="DZ205" i="6"/>
  <c r="EB205" i="6"/>
  <c r="DY191" i="6"/>
  <c r="DX191" i="6"/>
  <c r="ED191" i="6" s="1"/>
  <c r="DX204" i="6"/>
  <c r="ED204" i="6" s="1"/>
  <c r="CW192" i="6"/>
  <c r="DB192" i="6" s="1"/>
  <c r="AZ164" i="6"/>
  <c r="BB164" i="6"/>
  <c r="AC204" i="6"/>
  <c r="X204" i="6"/>
  <c r="CZ205" i="6"/>
  <c r="DB205" i="6"/>
  <c r="AB205" i="6"/>
  <c r="Z205" i="6"/>
  <c r="AO206" i="6"/>
  <c r="AY206" i="6" s="1"/>
  <c r="AN206" i="6"/>
  <c r="CR205" i="6"/>
  <c r="CQ205" i="6"/>
  <c r="DA205" i="6" s="1"/>
  <c r="BQ205" i="6"/>
  <c r="CA205" i="6" s="1"/>
  <c r="BR205" i="6"/>
  <c r="DW206" i="6"/>
  <c r="DQ206" i="6"/>
  <c r="DR206" i="6"/>
  <c r="DP206" i="6"/>
  <c r="AQ164" i="6"/>
  <c r="AR164" i="6"/>
  <c r="BA164" i="6" s="1"/>
  <c r="CM207" i="6"/>
  <c r="CW207" i="6" s="1"/>
  <c r="CZ207" i="6" s="1"/>
  <c r="AP206" i="6"/>
  <c r="P206" i="6"/>
  <c r="M207" i="6"/>
  <c r="N207" i="6" s="1"/>
  <c r="BP206" i="6"/>
  <c r="N206" i="6"/>
  <c r="AM207" i="6"/>
  <c r="AN207" i="6" s="1"/>
  <c r="DM207" i="6"/>
  <c r="DO207" i="6" s="1"/>
  <c r="DY207" i="6" s="1"/>
  <c r="BM193" i="6"/>
  <c r="BO193" i="6" s="1"/>
  <c r="BY193" i="6" s="1"/>
  <c r="CM193" i="6"/>
  <c r="CO193" i="6" s="1"/>
  <c r="BM207" i="6"/>
  <c r="BO207" i="6" s="1"/>
  <c r="BY207" i="6" s="1"/>
  <c r="BN206" i="6"/>
  <c r="AM193" i="6"/>
  <c r="AQ191" i="6"/>
  <c r="AR191" i="6"/>
  <c r="BA191" i="6" s="1"/>
  <c r="AZ191" i="6"/>
  <c r="BB191" i="6"/>
  <c r="BP192" i="6"/>
  <c r="BW192" i="6"/>
  <c r="BN192" i="6"/>
  <c r="BO192" i="6"/>
  <c r="AC190" i="6"/>
  <c r="X190" i="6"/>
  <c r="DM193" i="6"/>
  <c r="DO192" i="6"/>
  <c r="DP192" i="6"/>
  <c r="DW192" i="6"/>
  <c r="DN192" i="6"/>
  <c r="CC191" i="6"/>
  <c r="BX191" i="6"/>
  <c r="N192" i="6"/>
  <c r="O192" i="6"/>
  <c r="Y192" i="6" s="1"/>
  <c r="P192" i="6"/>
  <c r="W192" i="6"/>
  <c r="CR191" i="6"/>
  <c r="CQ191" i="6"/>
  <c r="DA191" i="6" s="1"/>
  <c r="DB191" i="6"/>
  <c r="CZ191" i="6"/>
  <c r="AO192" i="6"/>
  <c r="AY192" i="6" s="1"/>
  <c r="AW192" i="6"/>
  <c r="AP192" i="6"/>
  <c r="AN192" i="6"/>
  <c r="AC191" i="6"/>
  <c r="X191" i="6"/>
  <c r="R164" i="6"/>
  <c r="AA164" i="6" s="1"/>
  <c r="Q164" i="6"/>
  <c r="AB164" i="6"/>
  <c r="Z164" i="6"/>
  <c r="AX163" i="6"/>
  <c r="BC163" i="6"/>
  <c r="CQ177" i="6"/>
  <c r="CR177" i="6"/>
  <c r="AB177" i="6"/>
  <c r="Z177" i="6"/>
  <c r="R178" i="6"/>
  <c r="Q178" i="6"/>
  <c r="CB177" i="6"/>
  <c r="BZ177" i="6"/>
  <c r="CO178" i="6"/>
  <c r="CP178" i="6"/>
  <c r="CW178" i="6"/>
  <c r="CN178" i="6"/>
  <c r="BY178" i="6"/>
  <c r="DB177" i="6"/>
  <c r="CZ177" i="6"/>
  <c r="CY177" i="6"/>
  <c r="R177" i="6"/>
  <c r="AA177" i="6" s="1"/>
  <c r="Q177" i="6"/>
  <c r="AN178" i="6"/>
  <c r="AP178" i="6"/>
  <c r="AW178" i="6"/>
  <c r="AO178" i="6"/>
  <c r="AY178" i="6" s="1"/>
  <c r="DR177" i="6"/>
  <c r="DQ177" i="6"/>
  <c r="BC176" i="6"/>
  <c r="AX176" i="6"/>
  <c r="BR177" i="6"/>
  <c r="BQ177" i="6"/>
  <c r="CA177" i="6" s="1"/>
  <c r="BY177" i="6"/>
  <c r="DO178" i="6"/>
  <c r="DP178" i="6"/>
  <c r="DN178" i="6"/>
  <c r="DW178" i="6"/>
  <c r="DC176" i="6"/>
  <c r="DD176" i="6"/>
  <c r="AC165" i="6"/>
  <c r="AA178" i="6" l="1"/>
  <c r="CA178" i="6"/>
  <c r="AA165" i="6"/>
  <c r="CX164" i="6"/>
  <c r="DD164" i="6" s="1"/>
  <c r="DA164" i="6"/>
  <c r="BX219" i="6"/>
  <c r="CD219" i="6" s="1"/>
  <c r="CA219" i="6"/>
  <c r="AX177" i="6"/>
  <c r="BD177" i="6" s="1"/>
  <c r="BA177" i="6"/>
  <c r="BC205" i="6"/>
  <c r="BA205" i="6"/>
  <c r="CA165" i="6"/>
  <c r="CX177" i="6"/>
  <c r="DD177" i="6" s="1"/>
  <c r="DA177" i="6"/>
  <c r="BX164" i="6"/>
  <c r="CD164" i="6" s="1"/>
  <c r="CA164" i="6"/>
  <c r="DC164" i="6"/>
  <c r="EB234" i="6"/>
  <c r="DZ234" i="6"/>
  <c r="DZ220" i="6"/>
  <c r="EB220" i="6"/>
  <c r="DX219" i="6"/>
  <c r="ED219" i="6" s="1"/>
  <c r="EC219" i="6"/>
  <c r="EC233" i="6"/>
  <c r="DX233" i="6"/>
  <c r="ED233" i="6" s="1"/>
  <c r="EL231" i="6"/>
  <c r="EJ217" i="6"/>
  <c r="EG232" i="6"/>
  <c r="EH232" i="6" s="1"/>
  <c r="EI232" i="6" s="1"/>
  <c r="EL232" i="6" s="1"/>
  <c r="EG218" i="6"/>
  <c r="EH218" i="6" s="1"/>
  <c r="EI218" i="6" s="1"/>
  <c r="EL218" i="6" s="1"/>
  <c r="CB234" i="6"/>
  <c r="BZ234" i="6"/>
  <c r="AB234" i="6"/>
  <c r="Z234" i="6"/>
  <c r="CC219" i="6"/>
  <c r="AX233" i="6"/>
  <c r="BD233" i="6" s="1"/>
  <c r="BC233" i="6"/>
  <c r="BX233" i="6"/>
  <c r="CD233" i="6" s="1"/>
  <c r="CC233" i="6"/>
  <c r="X233" i="6"/>
  <c r="AD233" i="6" s="1"/>
  <c r="AC233" i="6"/>
  <c r="AZ234" i="6"/>
  <c r="BB234" i="6"/>
  <c r="BB220" i="6"/>
  <c r="AZ220" i="6"/>
  <c r="AB220" i="6"/>
  <c r="Z220" i="6"/>
  <c r="X219" i="6"/>
  <c r="AD219" i="6" s="1"/>
  <c r="AC219" i="6"/>
  <c r="CX219" i="6"/>
  <c r="DD219" i="6" s="1"/>
  <c r="DC219" i="6"/>
  <c r="CB220" i="6"/>
  <c r="BZ220" i="6"/>
  <c r="CX233" i="6"/>
  <c r="DD233" i="6" s="1"/>
  <c r="DC233" i="6"/>
  <c r="DB234" i="6"/>
  <c r="CZ234" i="6"/>
  <c r="CZ220" i="6"/>
  <c r="DB220" i="6"/>
  <c r="AX219" i="6"/>
  <c r="BD219" i="6" s="1"/>
  <c r="BC219" i="6"/>
  <c r="EG189" i="6"/>
  <c r="EH189" i="6" s="1"/>
  <c r="EI189" i="6" s="1"/>
  <c r="EJ189" i="6" s="1"/>
  <c r="CW235" i="6"/>
  <c r="CP235" i="6"/>
  <c r="CN235" i="6"/>
  <c r="CO235" i="6"/>
  <c r="CY235" i="6" s="1"/>
  <c r="DN221" i="6"/>
  <c r="DO221" i="6"/>
  <c r="DY221" i="6" s="1"/>
  <c r="DW221" i="6"/>
  <c r="DP221" i="6"/>
  <c r="DR234" i="6"/>
  <c r="DQ234" i="6"/>
  <c r="CR220" i="6"/>
  <c r="CQ220" i="6"/>
  <c r="DQ220" i="6"/>
  <c r="DR220" i="6"/>
  <c r="AW221" i="6"/>
  <c r="AO221" i="6"/>
  <c r="AY221" i="6" s="1"/>
  <c r="AP221" i="6"/>
  <c r="AN221" i="6"/>
  <c r="BR220" i="6"/>
  <c r="BQ220" i="6"/>
  <c r="CA220" i="6" s="1"/>
  <c r="AP235" i="6"/>
  <c r="AO235" i="6"/>
  <c r="AY235" i="6" s="1"/>
  <c r="AW235" i="6"/>
  <c r="AN235" i="6"/>
  <c r="BR234" i="6"/>
  <c r="BQ234" i="6"/>
  <c r="CA234" i="6" s="1"/>
  <c r="BO221" i="6"/>
  <c r="BY221" i="6" s="1"/>
  <c r="BN221" i="6"/>
  <c r="BP221" i="6"/>
  <c r="BW221" i="6"/>
  <c r="P221" i="6"/>
  <c r="O221" i="6"/>
  <c r="Y221" i="6" s="1"/>
  <c r="N221" i="6"/>
  <c r="W221" i="6"/>
  <c r="CQ234" i="6"/>
  <c r="DA234" i="6" s="1"/>
  <c r="CR234" i="6"/>
  <c r="AR220" i="6"/>
  <c r="BA220" i="6" s="1"/>
  <c r="AQ220" i="6"/>
  <c r="R220" i="6"/>
  <c r="AA220" i="6" s="1"/>
  <c r="Q220" i="6"/>
  <c r="W235" i="6"/>
  <c r="N235" i="6"/>
  <c r="O235" i="6"/>
  <c r="Y235" i="6" s="1"/>
  <c r="P235" i="6"/>
  <c r="BP235" i="6"/>
  <c r="BO235" i="6"/>
  <c r="BY235" i="6" s="1"/>
  <c r="BW235" i="6"/>
  <c r="BN235" i="6"/>
  <c r="DW235" i="6"/>
  <c r="DP235" i="6"/>
  <c r="DN235" i="6"/>
  <c r="DO235" i="6"/>
  <c r="DY235" i="6" s="1"/>
  <c r="CP221" i="6"/>
  <c r="CN221" i="6"/>
  <c r="CW221" i="6"/>
  <c r="CO221" i="6"/>
  <c r="CY221" i="6" s="1"/>
  <c r="Q234" i="6"/>
  <c r="R234" i="6"/>
  <c r="AA234" i="6" s="1"/>
  <c r="AQ234" i="6"/>
  <c r="AR234" i="6"/>
  <c r="BA234" i="6" s="1"/>
  <c r="EL161" i="6"/>
  <c r="EL175" i="6"/>
  <c r="EL202" i="6"/>
  <c r="EL188" i="6"/>
  <c r="X165" i="6"/>
  <c r="AD165" i="6" s="1"/>
  <c r="X205" i="6"/>
  <c r="AD205" i="6" s="1"/>
  <c r="Z206" i="6"/>
  <c r="DB206" i="6"/>
  <c r="AR165" i="6"/>
  <c r="BC177" i="6"/>
  <c r="BZ206" i="6"/>
  <c r="CQ206" i="6"/>
  <c r="CB165" i="6"/>
  <c r="BR165" i="6"/>
  <c r="CC165" i="6" s="1"/>
  <c r="CZ165" i="6"/>
  <c r="CQ165" i="6"/>
  <c r="AX205" i="6"/>
  <c r="BD205" i="6" s="1"/>
  <c r="CP193" i="6"/>
  <c r="DN207" i="6"/>
  <c r="DR207" i="6" s="1"/>
  <c r="BB165" i="6"/>
  <c r="N193" i="6"/>
  <c r="R193" i="6" s="1"/>
  <c r="AB165" i="6"/>
  <c r="O193" i="6"/>
  <c r="Y193" i="6" s="1"/>
  <c r="W193" i="6"/>
  <c r="AB193" i="6" s="1"/>
  <c r="AW207" i="6"/>
  <c r="AZ207" i="6" s="1"/>
  <c r="EG162" i="6"/>
  <c r="EH162" i="6" s="1"/>
  <c r="EI162" i="6" s="1"/>
  <c r="CC164" i="6"/>
  <c r="EC205" i="6"/>
  <c r="DX205" i="6"/>
  <c r="ED205" i="6" s="1"/>
  <c r="BX177" i="6"/>
  <c r="EJ202" i="6"/>
  <c r="EJ161" i="6"/>
  <c r="P207" i="6"/>
  <c r="EJ175" i="6"/>
  <c r="BR178" i="6"/>
  <c r="BX178" i="6" s="1"/>
  <c r="CZ192" i="6"/>
  <c r="CN207" i="6"/>
  <c r="CQ207" i="6" s="1"/>
  <c r="AB178" i="6"/>
  <c r="DB207" i="6"/>
  <c r="EJ188" i="6"/>
  <c r="CB178" i="6"/>
  <c r="EG203" i="6"/>
  <c r="EH203" i="6" s="1"/>
  <c r="EI203" i="6" s="1"/>
  <c r="CD191" i="6"/>
  <c r="AD190" i="6"/>
  <c r="EG190" i="6" s="1"/>
  <c r="EH190" i="6" s="1"/>
  <c r="EI190" i="6" s="1"/>
  <c r="AD204" i="6"/>
  <c r="BD176" i="6"/>
  <c r="EG176" i="6" s="1"/>
  <c r="EH176" i="6" s="1"/>
  <c r="EI176" i="6" s="1"/>
  <c r="BD163" i="6"/>
  <c r="EG163" i="6" s="1"/>
  <c r="EH163" i="6" s="1"/>
  <c r="EI163" i="6" s="1"/>
  <c r="AD191" i="6"/>
  <c r="DD204" i="6"/>
  <c r="CQ192" i="6"/>
  <c r="ED164" i="6"/>
  <c r="CP179" i="6"/>
  <c r="CW179" i="6"/>
  <c r="CZ179" i="6" s="1"/>
  <c r="CN193" i="6"/>
  <c r="CQ193" i="6" s="1"/>
  <c r="CN179" i="6"/>
  <c r="CR179" i="6" s="1"/>
  <c r="CW193" i="6"/>
  <c r="DB193" i="6" s="1"/>
  <c r="DR165" i="6"/>
  <c r="DQ165" i="6"/>
  <c r="DY178" i="6"/>
  <c r="EC177" i="6"/>
  <c r="DZ206" i="6"/>
  <c r="EB206" i="6"/>
  <c r="EB178" i="6"/>
  <c r="DZ178" i="6"/>
  <c r="DZ192" i="6"/>
  <c r="EB192" i="6"/>
  <c r="DY192" i="6"/>
  <c r="EC206" i="6"/>
  <c r="DX206" i="6"/>
  <c r="ED206" i="6" s="1"/>
  <c r="DX177" i="6"/>
  <c r="ED177" i="6" s="1"/>
  <c r="CX205" i="6"/>
  <c r="DC205" i="6"/>
  <c r="BX205" i="6"/>
  <c r="CC205" i="6"/>
  <c r="BN193" i="6"/>
  <c r="BR193" i="6" s="1"/>
  <c r="BP193" i="6"/>
  <c r="AQ206" i="6"/>
  <c r="AR206" i="6"/>
  <c r="BA206" i="6" s="1"/>
  <c r="BW193" i="6"/>
  <c r="CO207" i="6"/>
  <c r="O207" i="6"/>
  <c r="Y207" i="6" s="1"/>
  <c r="DP207" i="6"/>
  <c r="BC164" i="6"/>
  <c r="AX164" i="6"/>
  <c r="CP207" i="6"/>
  <c r="BP207" i="6"/>
  <c r="R207" i="6"/>
  <c r="Q207" i="6"/>
  <c r="W207" i="6"/>
  <c r="DW207" i="6"/>
  <c r="BN207" i="6"/>
  <c r="Q206" i="6"/>
  <c r="R206" i="6"/>
  <c r="AA206" i="6" s="1"/>
  <c r="AP207" i="6"/>
  <c r="AQ207" i="6"/>
  <c r="AR207" i="6"/>
  <c r="BW207" i="6"/>
  <c r="AO207" i="6"/>
  <c r="AY207" i="6" s="1"/>
  <c r="BR206" i="6"/>
  <c r="BQ206" i="6"/>
  <c r="CA206" i="6" s="1"/>
  <c r="AR192" i="6"/>
  <c r="BA192" i="6" s="1"/>
  <c r="AQ192" i="6"/>
  <c r="AZ192" i="6"/>
  <c r="BB192" i="6"/>
  <c r="CX191" i="6"/>
  <c r="DC191" i="6"/>
  <c r="AB192" i="6"/>
  <c r="Z192" i="6"/>
  <c r="DP193" i="6"/>
  <c r="DO193" i="6"/>
  <c r="DN193" i="6"/>
  <c r="DW193" i="6"/>
  <c r="BY192" i="6"/>
  <c r="BZ192" i="6"/>
  <c r="CB192" i="6"/>
  <c r="AX191" i="6"/>
  <c r="BC191" i="6"/>
  <c r="Q192" i="6"/>
  <c r="R192" i="6"/>
  <c r="AA192" i="6" s="1"/>
  <c r="CY193" i="6"/>
  <c r="DQ192" i="6"/>
  <c r="DR192" i="6"/>
  <c r="BR192" i="6"/>
  <c r="BQ192" i="6"/>
  <c r="CA192" i="6" s="1"/>
  <c r="AP193" i="6"/>
  <c r="AW193" i="6"/>
  <c r="AN193" i="6"/>
  <c r="AO193" i="6"/>
  <c r="AY193" i="6" s="1"/>
  <c r="X164" i="6"/>
  <c r="AC164" i="6"/>
  <c r="DQ178" i="6"/>
  <c r="DR178" i="6"/>
  <c r="AZ178" i="6"/>
  <c r="BB178" i="6"/>
  <c r="AR178" i="6"/>
  <c r="BA178" i="6" s="1"/>
  <c r="AQ178" i="6"/>
  <c r="X177" i="6"/>
  <c r="AC177" i="6"/>
  <c r="CZ178" i="6"/>
  <c r="DB178" i="6"/>
  <c r="CY178" i="6"/>
  <c r="AW179" i="6"/>
  <c r="AN179" i="6"/>
  <c r="AP179" i="6"/>
  <c r="AO179" i="6"/>
  <c r="AY179" i="6" s="1"/>
  <c r="DW179" i="6"/>
  <c r="DP179" i="6"/>
  <c r="DO179" i="6"/>
  <c r="DN179" i="6"/>
  <c r="AC178" i="6"/>
  <c r="X178" i="6"/>
  <c r="DC177" i="6"/>
  <c r="CC177" i="6"/>
  <c r="CQ178" i="6"/>
  <c r="DA178" i="6" s="1"/>
  <c r="CR178" i="6"/>
  <c r="W179" i="6"/>
  <c r="O179" i="6"/>
  <c r="Y179" i="6" s="1"/>
  <c r="N179" i="6"/>
  <c r="P179" i="6"/>
  <c r="BW179" i="6"/>
  <c r="BN179" i="6"/>
  <c r="BP179" i="6"/>
  <c r="BO179" i="6"/>
  <c r="BA207" i="6" l="1"/>
  <c r="AA207" i="6"/>
  <c r="DC207" i="6"/>
  <c r="DA207" i="6"/>
  <c r="CX206" i="6"/>
  <c r="DD206" i="6" s="1"/>
  <c r="DA206" i="6"/>
  <c r="CX220" i="6"/>
  <c r="DD220" i="6" s="1"/>
  <c r="DA220" i="6"/>
  <c r="AA193" i="6"/>
  <c r="AX165" i="6"/>
  <c r="BD165" i="6" s="1"/>
  <c r="BA165" i="6"/>
  <c r="CX193" i="6"/>
  <c r="DD193" i="6" s="1"/>
  <c r="DA193" i="6"/>
  <c r="CX165" i="6"/>
  <c r="DA165" i="6"/>
  <c r="CX192" i="6"/>
  <c r="DA192" i="6"/>
  <c r="DX234" i="6"/>
  <c r="ED234" i="6" s="1"/>
  <c r="EC234" i="6"/>
  <c r="DZ235" i="6"/>
  <c r="EB235" i="6"/>
  <c r="DX220" i="6"/>
  <c r="ED220" i="6" s="1"/>
  <c r="EC220" i="6"/>
  <c r="DZ221" i="6"/>
  <c r="EB221" i="6"/>
  <c r="EJ232" i="6"/>
  <c r="EJ218" i="6"/>
  <c r="EG219" i="6"/>
  <c r="EH219" i="6" s="1"/>
  <c r="EI219" i="6" s="1"/>
  <c r="EL219" i="6" s="1"/>
  <c r="EG233" i="6"/>
  <c r="EH233" i="6" s="1"/>
  <c r="EI233" i="6" s="1"/>
  <c r="EJ233" i="6" s="1"/>
  <c r="EL189" i="6"/>
  <c r="CZ221" i="6"/>
  <c r="DB221" i="6"/>
  <c r="BZ235" i="6"/>
  <c r="CB235" i="6"/>
  <c r="X220" i="6"/>
  <c r="AD220" i="6" s="1"/>
  <c r="AC220" i="6"/>
  <c r="CX234" i="6"/>
  <c r="DD234" i="6" s="1"/>
  <c r="DC234" i="6"/>
  <c r="BB235" i="6"/>
  <c r="AZ235" i="6"/>
  <c r="DC220" i="6"/>
  <c r="X234" i="6"/>
  <c r="AD234" i="6" s="1"/>
  <c r="AC234" i="6"/>
  <c r="AB221" i="6"/>
  <c r="Z221" i="6"/>
  <c r="BZ221" i="6"/>
  <c r="CB221" i="6"/>
  <c r="BX234" i="6"/>
  <c r="CD234" i="6" s="1"/>
  <c r="CC234" i="6"/>
  <c r="BB221" i="6"/>
  <c r="AZ221" i="6"/>
  <c r="Z235" i="6"/>
  <c r="AB235" i="6"/>
  <c r="AX220" i="6"/>
  <c r="BD220" i="6" s="1"/>
  <c r="BC220" i="6"/>
  <c r="AX234" i="6"/>
  <c r="BD234" i="6" s="1"/>
  <c r="BC234" i="6"/>
  <c r="BX220" i="6"/>
  <c r="CD220" i="6" s="1"/>
  <c r="CC220" i="6"/>
  <c r="DB235" i="6"/>
  <c r="CZ235" i="6"/>
  <c r="R221" i="6"/>
  <c r="AA221" i="6" s="1"/>
  <c r="Q221" i="6"/>
  <c r="CR235" i="6"/>
  <c r="CQ235" i="6"/>
  <c r="DA235" i="6" s="1"/>
  <c r="CR221" i="6"/>
  <c r="CQ221" i="6"/>
  <c r="DA221" i="6" s="1"/>
  <c r="Q235" i="6"/>
  <c r="R235" i="6"/>
  <c r="AA235" i="6" s="1"/>
  <c r="BR235" i="6"/>
  <c r="BQ235" i="6"/>
  <c r="CA235" i="6" s="1"/>
  <c r="BQ221" i="6"/>
  <c r="CA221" i="6" s="1"/>
  <c r="BR221" i="6"/>
  <c r="AQ235" i="6"/>
  <c r="AR235" i="6"/>
  <c r="BA235" i="6" s="1"/>
  <c r="AQ221" i="6"/>
  <c r="AR221" i="6"/>
  <c r="BA221" i="6" s="1"/>
  <c r="DR235" i="6"/>
  <c r="DQ235" i="6"/>
  <c r="DR221" i="6"/>
  <c r="DQ221" i="6"/>
  <c r="EL163" i="6"/>
  <c r="EL162" i="6"/>
  <c r="EL176" i="6"/>
  <c r="EL203" i="6"/>
  <c r="EL190" i="6"/>
  <c r="EJ162" i="6"/>
  <c r="CC178" i="6"/>
  <c r="BX165" i="6"/>
  <c r="CD165" i="6" s="1"/>
  <c r="DC206" i="6"/>
  <c r="BC165" i="6"/>
  <c r="DD165" i="6"/>
  <c r="DC165" i="6"/>
  <c r="DQ207" i="6"/>
  <c r="EC207" i="6" s="1"/>
  <c r="Z193" i="6"/>
  <c r="Q193" i="6"/>
  <c r="CR207" i="6"/>
  <c r="EJ163" i="6"/>
  <c r="BB207" i="6"/>
  <c r="DX178" i="6"/>
  <c r="ED178" i="6" s="1"/>
  <c r="CD177" i="6"/>
  <c r="CD178" i="6"/>
  <c r="AX207" i="6"/>
  <c r="BD207" i="6" s="1"/>
  <c r="EJ176" i="6"/>
  <c r="DC192" i="6"/>
  <c r="BC207" i="6"/>
  <c r="CQ179" i="6"/>
  <c r="EJ190" i="6"/>
  <c r="DB179" i="6"/>
  <c r="EJ203" i="6"/>
  <c r="EG204" i="6"/>
  <c r="EH204" i="6" s="1"/>
  <c r="EI204" i="6" s="1"/>
  <c r="DD192" i="6"/>
  <c r="CZ193" i="6"/>
  <c r="AD164" i="6"/>
  <c r="DD191" i="6"/>
  <c r="BD164" i="6"/>
  <c r="AD178" i="6"/>
  <c r="AD177" i="6"/>
  <c r="BD191" i="6"/>
  <c r="DD205" i="6"/>
  <c r="CD205" i="6"/>
  <c r="CR193" i="6"/>
  <c r="BQ193" i="6"/>
  <c r="EC165" i="6"/>
  <c r="DX165" i="6"/>
  <c r="ED165" i="6" s="1"/>
  <c r="EC192" i="6"/>
  <c r="DZ193" i="6"/>
  <c r="EB193" i="6"/>
  <c r="DY193" i="6"/>
  <c r="DY179" i="6"/>
  <c r="EB179" i="6"/>
  <c r="DZ179" i="6"/>
  <c r="EC178" i="6"/>
  <c r="DZ207" i="6"/>
  <c r="EB207" i="6"/>
  <c r="DX192" i="6"/>
  <c r="ED192" i="6" s="1"/>
  <c r="X207" i="6"/>
  <c r="AC207" i="6"/>
  <c r="X193" i="6"/>
  <c r="AC193" i="6"/>
  <c r="BZ207" i="6"/>
  <c r="CB207" i="6"/>
  <c r="X206" i="6"/>
  <c r="AC206" i="6"/>
  <c r="AB207" i="6"/>
  <c r="Z207" i="6"/>
  <c r="CX207" i="6"/>
  <c r="CY207" i="6"/>
  <c r="AX206" i="6"/>
  <c r="BC206" i="6"/>
  <c r="BB193" i="6"/>
  <c r="AZ193" i="6"/>
  <c r="DC193" i="6"/>
  <c r="BX206" i="6"/>
  <c r="CC206" i="6"/>
  <c r="BZ193" i="6"/>
  <c r="CB193" i="6"/>
  <c r="BR207" i="6"/>
  <c r="BQ207" i="6"/>
  <c r="CA207" i="6" s="1"/>
  <c r="BB179" i="6"/>
  <c r="AZ179" i="6"/>
  <c r="CC192" i="6"/>
  <c r="AC192" i="6"/>
  <c r="X192" i="6"/>
  <c r="BX192" i="6"/>
  <c r="DR193" i="6"/>
  <c r="DQ193" i="6"/>
  <c r="BZ179" i="6"/>
  <c r="CB179" i="6"/>
  <c r="AB179" i="6"/>
  <c r="Z179" i="6"/>
  <c r="AR193" i="6"/>
  <c r="BA193" i="6" s="1"/>
  <c r="AQ193" i="6"/>
  <c r="BC192" i="6"/>
  <c r="AX192" i="6"/>
  <c r="BY179" i="6"/>
  <c r="BR179" i="6"/>
  <c r="BQ179" i="6"/>
  <c r="CA179" i="6" s="1"/>
  <c r="R179" i="6"/>
  <c r="AA179" i="6" s="1"/>
  <c r="Q179" i="6"/>
  <c r="DC178" i="6"/>
  <c r="DQ179" i="6"/>
  <c r="DR179" i="6"/>
  <c r="AR179" i="6"/>
  <c r="BA179" i="6" s="1"/>
  <c r="AQ179" i="6"/>
  <c r="CX178" i="6"/>
  <c r="AX178" i="6"/>
  <c r="BC178" i="6"/>
  <c r="EL233" i="6" l="1"/>
  <c r="DC179" i="6"/>
  <c r="DA179" i="6"/>
  <c r="BX193" i="6"/>
  <c r="CD193" i="6" s="1"/>
  <c r="CA193" i="6"/>
  <c r="EC221" i="6"/>
  <c r="DX221" i="6"/>
  <c r="ED221" i="6" s="1"/>
  <c r="DX235" i="6"/>
  <c r="ED235" i="6" s="1"/>
  <c r="EC235" i="6"/>
  <c r="DX207" i="6"/>
  <c r="ED207" i="6" s="1"/>
  <c r="EJ219" i="6"/>
  <c r="EG220" i="6"/>
  <c r="EH220" i="6" s="1"/>
  <c r="EI220" i="6" s="1"/>
  <c r="EL220" i="6" s="1"/>
  <c r="EG234" i="6"/>
  <c r="EH234" i="6" s="1"/>
  <c r="EI234" i="6" s="1"/>
  <c r="EJ234" i="6" s="1"/>
  <c r="X221" i="6"/>
  <c r="AD221" i="6" s="1"/>
  <c r="AC221" i="6"/>
  <c r="AX221" i="6"/>
  <c r="BD221" i="6" s="1"/>
  <c r="BC221" i="6"/>
  <c r="X235" i="6"/>
  <c r="AD235" i="6" s="1"/>
  <c r="AC235" i="6"/>
  <c r="CX235" i="6"/>
  <c r="DD235" i="6" s="1"/>
  <c r="DC235" i="6"/>
  <c r="BX221" i="6"/>
  <c r="CD221" i="6" s="1"/>
  <c r="CC221" i="6"/>
  <c r="AX235" i="6"/>
  <c r="BD235" i="6" s="1"/>
  <c r="BC235" i="6"/>
  <c r="BX235" i="6"/>
  <c r="CD235" i="6" s="1"/>
  <c r="CC235" i="6"/>
  <c r="CX221" i="6"/>
  <c r="DD221" i="6" s="1"/>
  <c r="DC221" i="6"/>
  <c r="EG165" i="6"/>
  <c r="EH165" i="6" s="1"/>
  <c r="EI165" i="6" s="1"/>
  <c r="EL204" i="6"/>
  <c r="EG191" i="6"/>
  <c r="EH191" i="6" s="1"/>
  <c r="EI191" i="6" s="1"/>
  <c r="DX193" i="6"/>
  <c r="ED193" i="6" s="1"/>
  <c r="EG177" i="6"/>
  <c r="EH177" i="6" s="1"/>
  <c r="EI177" i="6" s="1"/>
  <c r="EJ204" i="6"/>
  <c r="CC193" i="6"/>
  <c r="CX179" i="6"/>
  <c r="EG205" i="6"/>
  <c r="EH205" i="6" s="1"/>
  <c r="EI205" i="6" s="1"/>
  <c r="EG164" i="6"/>
  <c r="EH164" i="6" s="1"/>
  <c r="EI164" i="6" s="1"/>
  <c r="DD207" i="6"/>
  <c r="BD192" i="6"/>
  <c r="DD178" i="6"/>
  <c r="AD192" i="6"/>
  <c r="CD206" i="6"/>
  <c r="BD206" i="6"/>
  <c r="AD193" i="6"/>
  <c r="BD178" i="6"/>
  <c r="CD192" i="6"/>
  <c r="AD206" i="6"/>
  <c r="AD207" i="6"/>
  <c r="EC179" i="6"/>
  <c r="DX179" i="6"/>
  <c r="ED179" i="6" s="1"/>
  <c r="EC193" i="6"/>
  <c r="BX207" i="6"/>
  <c r="CC207" i="6"/>
  <c r="AX193" i="6"/>
  <c r="BC193" i="6"/>
  <c r="BX179" i="6"/>
  <c r="CC179" i="6"/>
  <c r="AX179" i="6"/>
  <c r="BC179" i="6"/>
  <c r="X179" i="6"/>
  <c r="AC179" i="6"/>
  <c r="EL234" i="6" l="1"/>
  <c r="EJ220" i="6"/>
  <c r="EG221" i="6"/>
  <c r="EH221" i="6" s="1"/>
  <c r="EI221" i="6" s="1"/>
  <c r="G208" i="6" s="1"/>
  <c r="EK211" i="6" s="1"/>
  <c r="EG235" i="6"/>
  <c r="EH235" i="6" s="1"/>
  <c r="EI235" i="6" s="1"/>
  <c r="EL235" i="6" s="1"/>
  <c r="EL165" i="6"/>
  <c r="EL164" i="6"/>
  <c r="EL177" i="6"/>
  <c r="EL205" i="6"/>
  <c r="EL191" i="6"/>
  <c r="EJ191" i="6"/>
  <c r="EJ164" i="6"/>
  <c r="EG178" i="6"/>
  <c r="EH178" i="6" s="1"/>
  <c r="EI178" i="6" s="1"/>
  <c r="EJ177" i="6"/>
  <c r="DD179" i="6"/>
  <c r="EJ165" i="6"/>
  <c r="EJ205" i="6"/>
  <c r="G152" i="6"/>
  <c r="EK165" i="6" s="1"/>
  <c r="EG192" i="6"/>
  <c r="EH192" i="6" s="1"/>
  <c r="EI192" i="6" s="1"/>
  <c r="EG206" i="6"/>
  <c r="EH206" i="6" s="1"/>
  <c r="EI206" i="6" s="1"/>
  <c r="G222" i="6"/>
  <c r="AD179" i="6"/>
  <c r="BD193" i="6"/>
  <c r="EG193" i="6" s="1"/>
  <c r="EH193" i="6" s="1"/>
  <c r="EI193" i="6" s="1"/>
  <c r="BD179" i="6"/>
  <c r="CD179" i="6"/>
  <c r="CD207" i="6"/>
  <c r="EG207" i="6" s="1"/>
  <c r="EH207" i="6" s="1"/>
  <c r="EI207" i="6" s="1"/>
  <c r="EK235" i="6" l="1"/>
  <c r="EJ235" i="6"/>
  <c r="EK212" i="6"/>
  <c r="EJ221" i="6"/>
  <c r="EK220" i="6"/>
  <c r="EK219" i="6"/>
  <c r="EK213" i="6"/>
  <c r="EK217" i="6"/>
  <c r="EK221" i="6"/>
  <c r="EK216" i="6"/>
  <c r="EK215" i="6"/>
  <c r="EK214" i="6"/>
  <c r="EK210" i="6"/>
  <c r="EK218" i="6"/>
  <c r="EK209" i="6"/>
  <c r="EL221" i="6"/>
  <c r="EL178" i="6"/>
  <c r="EJ206" i="6"/>
  <c r="EL207" i="6"/>
  <c r="EL206" i="6"/>
  <c r="G194" i="6"/>
  <c r="EK196" i="6" s="1"/>
  <c r="EL193" i="6"/>
  <c r="EL192" i="6"/>
  <c r="G180" i="6"/>
  <c r="EK192" i="6" s="1"/>
  <c r="EJ178" i="6"/>
  <c r="EJ192" i="6"/>
  <c r="EK153" i="6"/>
  <c r="EK160" i="6"/>
  <c r="EK164" i="6"/>
  <c r="EK156" i="6"/>
  <c r="EK162" i="6"/>
  <c r="EK158" i="6"/>
  <c r="EK154" i="6"/>
  <c r="EK163" i="6"/>
  <c r="EK161" i="6"/>
  <c r="EK159" i="6"/>
  <c r="EK157" i="6"/>
  <c r="EK155" i="6"/>
  <c r="EK223" i="6"/>
  <c r="EK224" i="6"/>
  <c r="EK225" i="6"/>
  <c r="EK226" i="6"/>
  <c r="EK227" i="6"/>
  <c r="EK228" i="6"/>
  <c r="EK229" i="6"/>
  <c r="EK230" i="6"/>
  <c r="EK231" i="6"/>
  <c r="EK232" i="6"/>
  <c r="EK233" i="6"/>
  <c r="EK234" i="6"/>
  <c r="EG179" i="6"/>
  <c r="EH179" i="6" s="1"/>
  <c r="EI179" i="6" s="1"/>
  <c r="G166" i="6" s="1"/>
  <c r="EK179" i="6" s="1"/>
  <c r="EJ193" i="6"/>
  <c r="EJ207" i="6"/>
  <c r="H208" i="6" l="1"/>
  <c r="I208" i="6" s="1"/>
  <c r="O208" i="6" s="1"/>
  <c r="EK204" i="6"/>
  <c r="EL179" i="6"/>
  <c r="EK181" i="6"/>
  <c r="EK187" i="6"/>
  <c r="EK206" i="6"/>
  <c r="EK203" i="6"/>
  <c r="EK193" i="6"/>
  <c r="EK201" i="6"/>
  <c r="EK198" i="6"/>
  <c r="EK207" i="6"/>
  <c r="EK197" i="6"/>
  <c r="EK200" i="6"/>
  <c r="EK190" i="6"/>
  <c r="EK189" i="6"/>
  <c r="EK202" i="6"/>
  <c r="EK195" i="6"/>
  <c r="EK191" i="6"/>
  <c r="EK186" i="6"/>
  <c r="EK182" i="6"/>
  <c r="EK205" i="6"/>
  <c r="EK199" i="6"/>
  <c r="EK185" i="6"/>
  <c r="EK183" i="6"/>
  <c r="EK188" i="6"/>
  <c r="EK184" i="6"/>
  <c r="M208" i="6"/>
  <c r="N208" i="6"/>
  <c r="S208" i="6" s="1"/>
  <c r="H152" i="6"/>
  <c r="I152" i="6" s="1"/>
  <c r="N152" i="6" s="1"/>
  <c r="EK175" i="6"/>
  <c r="EK178" i="6"/>
  <c r="EK174" i="6"/>
  <c r="H222" i="6"/>
  <c r="I222" i="6" s="1"/>
  <c r="L208" i="6"/>
  <c r="K208" i="6"/>
  <c r="EK170" i="6"/>
  <c r="EK169" i="6"/>
  <c r="EK167" i="6"/>
  <c r="EK173" i="6"/>
  <c r="EK171" i="6"/>
  <c r="EK172" i="6"/>
  <c r="EK176" i="6"/>
  <c r="EK177" i="6"/>
  <c r="EK168" i="6"/>
  <c r="EJ179" i="6"/>
  <c r="M152" i="6"/>
  <c r="J208" i="6" l="1"/>
  <c r="H180" i="6"/>
  <c r="I180" i="6" s="1"/>
  <c r="P180" i="6" s="1"/>
  <c r="Q208" i="6"/>
  <c r="H194" i="6"/>
  <c r="I194" i="6" s="1"/>
  <c r="N194" i="6" s="1"/>
  <c r="R208" i="6"/>
  <c r="H166" i="6"/>
  <c r="I166" i="6" s="1"/>
  <c r="P166" i="6" s="1"/>
  <c r="M222" i="6"/>
  <c r="K222" i="6"/>
  <c r="L222" i="6"/>
  <c r="O222" i="6"/>
  <c r="N222" i="6"/>
  <c r="J222" i="6"/>
  <c r="K152" i="6"/>
  <c r="L152" i="6"/>
  <c r="P152" i="6"/>
  <c r="O152" i="6"/>
  <c r="J152" i="6"/>
  <c r="R152" i="6" s="1"/>
  <c r="O194" i="6" l="1"/>
  <c r="N180" i="6"/>
  <c r="K194" i="6"/>
  <c r="O180" i="6"/>
  <c r="M194" i="6"/>
  <c r="P194" i="6"/>
  <c r="L194" i="6"/>
  <c r="J180" i="6"/>
  <c r="T180" i="6" s="1"/>
  <c r="U208" i="6"/>
  <c r="V208" i="6" s="1"/>
  <c r="C241" i="6" s="1"/>
  <c r="DH241" i="6" s="1"/>
  <c r="DI241" i="6" s="1"/>
  <c r="EA241" i="6" s="1"/>
  <c r="M180" i="6"/>
  <c r="L180" i="6"/>
  <c r="K180" i="6"/>
  <c r="J194" i="6"/>
  <c r="S194" i="6" s="1"/>
  <c r="D241" i="6"/>
  <c r="M166" i="6"/>
  <c r="E241" i="6"/>
  <c r="B241" i="6"/>
  <c r="G241" i="6" s="1"/>
  <c r="R222" i="6"/>
  <c r="Q222" i="6"/>
  <c r="S222" i="6"/>
  <c r="N166" i="6"/>
  <c r="J166" i="6"/>
  <c r="O166" i="6"/>
  <c r="K166" i="6"/>
  <c r="L166" i="6"/>
  <c r="S152" i="6"/>
  <c r="T152" i="6"/>
  <c r="Q152" i="6"/>
  <c r="DS241" i="6" l="1"/>
  <c r="DT241" i="6" s="1"/>
  <c r="AH241" i="6"/>
  <c r="S180" i="6"/>
  <c r="DU241" i="6"/>
  <c r="H241" i="6"/>
  <c r="CH241" i="6"/>
  <c r="BH241" i="6"/>
  <c r="R194" i="6"/>
  <c r="T194" i="6"/>
  <c r="R180" i="6"/>
  <c r="A241" i="6"/>
  <c r="O42" i="6"/>
  <c r="Q194" i="6"/>
  <c r="Q180" i="6"/>
  <c r="U222" i="6"/>
  <c r="V222" i="6" s="1"/>
  <c r="O44" i="6" s="1"/>
  <c r="R166" i="6"/>
  <c r="C242" i="6"/>
  <c r="H242" i="6" s="1"/>
  <c r="I242" i="6" s="1"/>
  <c r="D242" i="6"/>
  <c r="T166" i="6"/>
  <c r="B242" i="6"/>
  <c r="E242" i="6"/>
  <c r="DG241" i="6"/>
  <c r="DK241" i="6" s="1"/>
  <c r="AG241" i="6"/>
  <c r="CG241" i="6"/>
  <c r="BG241" i="6"/>
  <c r="G242" i="6"/>
  <c r="BG242" i="6"/>
  <c r="AG242" i="6"/>
  <c r="DG242" i="6"/>
  <c r="CG242" i="6"/>
  <c r="S166" i="6"/>
  <c r="Q166" i="6"/>
  <c r="U152" i="6"/>
  <c r="BI241" i="6" l="1"/>
  <c r="BS241" i="6" s="1"/>
  <c r="BT241" i="6" s="1"/>
  <c r="CI241" i="6"/>
  <c r="CU241" i="6" s="1"/>
  <c r="I241" i="6"/>
  <c r="K241" i="6" s="1"/>
  <c r="CK241" i="6"/>
  <c r="AI241" i="6"/>
  <c r="AS241" i="6" s="1"/>
  <c r="AT241" i="6" s="1"/>
  <c r="U180" i="6"/>
  <c r="V180" i="6" s="1"/>
  <c r="O38" i="6" s="1"/>
  <c r="BU241" i="6"/>
  <c r="U194" i="6"/>
  <c r="V194" i="6" s="1"/>
  <c r="O40" i="6" s="1"/>
  <c r="BL241" i="6"/>
  <c r="S241" i="6"/>
  <c r="BH242" i="6"/>
  <c r="A242" i="6"/>
  <c r="U242" i="6"/>
  <c r="DH242" i="6"/>
  <c r="E240" i="6"/>
  <c r="D240" i="6"/>
  <c r="E239" i="6"/>
  <c r="D239" i="6"/>
  <c r="AH242" i="6"/>
  <c r="CH242" i="6"/>
  <c r="C240" i="6"/>
  <c r="CH240" i="6" s="1"/>
  <c r="CI240" i="6" s="1"/>
  <c r="DL241" i="6"/>
  <c r="BK241" i="6"/>
  <c r="S242" i="6"/>
  <c r="K242" i="6"/>
  <c r="L242" i="6"/>
  <c r="B240" i="6"/>
  <c r="C239" i="6"/>
  <c r="CH239" i="6" s="1"/>
  <c r="CI239" i="6" s="1"/>
  <c r="B239" i="6"/>
  <c r="U166" i="6"/>
  <c r="V166" i="6" s="1"/>
  <c r="E238" i="6" s="1"/>
  <c r="V152" i="6"/>
  <c r="AL241" i="6" l="1"/>
  <c r="CS241" i="6"/>
  <c r="CL241" i="6"/>
  <c r="AK241" i="6"/>
  <c r="AU241" i="6"/>
  <c r="AV241" i="6" s="1"/>
  <c r="CI242" i="6"/>
  <c r="CS242" i="6" s="1"/>
  <c r="BI242" i="6"/>
  <c r="BS242" i="6" s="1"/>
  <c r="BT242" i="6" s="1"/>
  <c r="AI242" i="6"/>
  <c r="AU242" i="6" s="1"/>
  <c r="AV242" i="6" s="1"/>
  <c r="U241" i="6"/>
  <c r="V241" i="6" s="1"/>
  <c r="L241" i="6"/>
  <c r="DI242" i="6"/>
  <c r="EA242" i="6" s="1"/>
  <c r="T241" i="6"/>
  <c r="T242" i="6"/>
  <c r="CT241" i="6"/>
  <c r="A239" i="6"/>
  <c r="BJ239" i="6" s="1"/>
  <c r="A240" i="6"/>
  <c r="DJ240" i="6" s="1"/>
  <c r="CU239" i="6"/>
  <c r="AH240" i="6"/>
  <c r="CK242" i="6"/>
  <c r="CL242" i="6"/>
  <c r="BH240" i="6"/>
  <c r="H240" i="6"/>
  <c r="DH240" i="6"/>
  <c r="AL242" i="6"/>
  <c r="AH239" i="6"/>
  <c r="BH239" i="6"/>
  <c r="CS239" i="6"/>
  <c r="DH239" i="6"/>
  <c r="H239" i="6"/>
  <c r="G239" i="6"/>
  <c r="BG239" i="6"/>
  <c r="AG239" i="6"/>
  <c r="DG239" i="6"/>
  <c r="CG239" i="6"/>
  <c r="G240" i="6"/>
  <c r="BG240" i="6"/>
  <c r="AG240" i="6"/>
  <c r="DG240" i="6"/>
  <c r="CG240" i="6"/>
  <c r="CL240" i="6" s="1"/>
  <c r="CU240" i="6"/>
  <c r="CS240" i="6"/>
  <c r="C238" i="6"/>
  <c r="BH238" i="6" s="1"/>
  <c r="BI238" i="6" s="1"/>
  <c r="D238" i="6"/>
  <c r="A238" i="6"/>
  <c r="BJ238" i="6" s="1"/>
  <c r="B238" i="6"/>
  <c r="O36" i="6"/>
  <c r="E237" i="6"/>
  <c r="C237" i="6"/>
  <c r="B237" i="6"/>
  <c r="D237" i="6"/>
  <c r="O34" i="6"/>
  <c r="A237" i="6"/>
  <c r="CJ237" i="6" s="1"/>
  <c r="DV241" i="6"/>
  <c r="DJ241" i="6"/>
  <c r="DM241" i="6" s="1"/>
  <c r="EF241" i="6"/>
  <c r="CV241" i="6"/>
  <c r="CJ241" i="6"/>
  <c r="CM241" i="6" s="1"/>
  <c r="BV241" i="6"/>
  <c r="BJ241" i="6"/>
  <c r="BM241" i="6" s="1"/>
  <c r="J241" i="6"/>
  <c r="AJ241" i="6"/>
  <c r="DJ242" i="6"/>
  <c r="BJ242" i="6"/>
  <c r="V242" i="6"/>
  <c r="J242" i="6"/>
  <c r="M242" i="6" s="1"/>
  <c r="EF242" i="6"/>
  <c r="CJ242" i="6"/>
  <c r="AJ242" i="6"/>
  <c r="AM241" i="6" l="1"/>
  <c r="AS242" i="6"/>
  <c r="BU242" i="6"/>
  <c r="BV242" i="6" s="1"/>
  <c r="BK242" i="6"/>
  <c r="AK242" i="6"/>
  <c r="AM242" i="6" s="1"/>
  <c r="AO242" i="6" s="1"/>
  <c r="AY242" i="6" s="1"/>
  <c r="BL242" i="6"/>
  <c r="BM242" i="6" s="1"/>
  <c r="M241" i="6"/>
  <c r="N241" i="6" s="1"/>
  <c r="BI239" i="6"/>
  <c r="BU239" i="6" s="1"/>
  <c r="BV239" i="6" s="1"/>
  <c r="AI240" i="6"/>
  <c r="AK240" i="6" s="1"/>
  <c r="DL242" i="6"/>
  <c r="DK242" i="6"/>
  <c r="DM242" i="6" s="1"/>
  <c r="DP242" i="6" s="1"/>
  <c r="DI240" i="6"/>
  <c r="EA240" i="6" s="1"/>
  <c r="I240" i="6"/>
  <c r="U240" i="6" s="1"/>
  <c r="V240" i="6" s="1"/>
  <c r="I239" i="6"/>
  <c r="U239" i="6" s="1"/>
  <c r="V239" i="6" s="1"/>
  <c r="BI240" i="6"/>
  <c r="BU240" i="6" s="1"/>
  <c r="BV240" i="6" s="1"/>
  <c r="DI239" i="6"/>
  <c r="EA239" i="6" s="1"/>
  <c r="DS242" i="6"/>
  <c r="DT242" i="6" s="1"/>
  <c r="CU242" i="6"/>
  <c r="CV242" i="6" s="1"/>
  <c r="AI239" i="6"/>
  <c r="AL239" i="6" s="1"/>
  <c r="DU242" i="6"/>
  <c r="DV242" i="6" s="1"/>
  <c r="DJ239" i="6"/>
  <c r="CT240" i="6"/>
  <c r="CT239" i="6"/>
  <c r="CT242" i="6"/>
  <c r="AT242" i="6"/>
  <c r="CV239" i="6"/>
  <c r="EF239" i="6"/>
  <c r="AJ239" i="6"/>
  <c r="J239" i="6"/>
  <c r="CJ239" i="6"/>
  <c r="CJ240" i="6"/>
  <c r="J240" i="6"/>
  <c r="EF240" i="6"/>
  <c r="BJ240" i="6"/>
  <c r="AJ240" i="6"/>
  <c r="CV240" i="6"/>
  <c r="CM242" i="6"/>
  <c r="CO242" i="6" s="1"/>
  <c r="CK240" i="6"/>
  <c r="G237" i="6"/>
  <c r="BG237" i="6"/>
  <c r="AG237" i="6"/>
  <c r="DG237" i="6"/>
  <c r="CG237" i="6"/>
  <c r="G238" i="6"/>
  <c r="AG238" i="6"/>
  <c r="BG238" i="6"/>
  <c r="DG238" i="6"/>
  <c r="CG238" i="6"/>
  <c r="H238" i="6"/>
  <c r="CK239" i="6"/>
  <c r="CL239" i="6"/>
  <c r="DJ238" i="6"/>
  <c r="AJ238" i="6"/>
  <c r="EF238" i="6"/>
  <c r="CJ238" i="6"/>
  <c r="AH238" i="6"/>
  <c r="DH238" i="6"/>
  <c r="CH238" i="6"/>
  <c r="BS238" i="6"/>
  <c r="BU238" i="6"/>
  <c r="BV238" i="6" s="1"/>
  <c r="J238" i="6"/>
  <c r="DH237" i="6"/>
  <c r="H237" i="6"/>
  <c r="BH237" i="6"/>
  <c r="AH237" i="6"/>
  <c r="CH237" i="6"/>
  <c r="DJ237" i="6"/>
  <c r="J237" i="6"/>
  <c r="EF237" i="6"/>
  <c r="BJ237" i="6"/>
  <c r="AJ237" i="6"/>
  <c r="P242" i="6"/>
  <c r="N242" i="6"/>
  <c r="W242" i="6"/>
  <c r="O242" i="6"/>
  <c r="Y242" i="6" s="1"/>
  <c r="AW241" i="6"/>
  <c r="AO241" i="6"/>
  <c r="AY241" i="6" s="1"/>
  <c r="AP241" i="6"/>
  <c r="AN241" i="6"/>
  <c r="P241" i="6"/>
  <c r="BP241" i="6"/>
  <c r="BN241" i="6"/>
  <c r="BW241" i="6"/>
  <c r="BO241" i="6"/>
  <c r="BY241" i="6" s="1"/>
  <c r="CW241" i="6"/>
  <c r="CO241" i="6"/>
  <c r="CY241" i="6" s="1"/>
  <c r="CP241" i="6"/>
  <c r="CN241" i="6"/>
  <c r="DP241" i="6"/>
  <c r="DN241" i="6"/>
  <c r="DW241" i="6"/>
  <c r="DO241" i="6"/>
  <c r="DY241" i="6" s="1"/>
  <c r="BO242" i="6" l="1"/>
  <c r="BY242" i="6" s="1"/>
  <c r="BP242" i="6"/>
  <c r="BN242" i="6"/>
  <c r="BW242" i="6"/>
  <c r="O241" i="6"/>
  <c r="Y241" i="6" s="1"/>
  <c r="W241" i="6"/>
  <c r="AB241" i="6" s="1"/>
  <c r="CY242" i="6"/>
  <c r="K240" i="6"/>
  <c r="BL239" i="6"/>
  <c r="AU239" i="6"/>
  <c r="AV239" i="6" s="1"/>
  <c r="DK240" i="6"/>
  <c r="L240" i="6"/>
  <c r="M240" i="6" s="1"/>
  <c r="O240" i="6" s="1"/>
  <c r="Y240" i="6" s="1"/>
  <c r="S240" i="6"/>
  <c r="T240" i="6" s="1"/>
  <c r="AL240" i="6"/>
  <c r="AM240" i="6" s="1"/>
  <c r="AW240" i="6" s="1"/>
  <c r="AU240" i="6"/>
  <c r="AV240" i="6" s="1"/>
  <c r="BS240" i="6"/>
  <c r="BT240" i="6" s="1"/>
  <c r="BK240" i="6"/>
  <c r="BK239" i="6"/>
  <c r="BS239" i="6"/>
  <c r="BT239" i="6" s="1"/>
  <c r="DL240" i="6"/>
  <c r="DS240" i="6"/>
  <c r="DT240" i="6" s="1"/>
  <c r="DK239" i="6"/>
  <c r="BL240" i="6"/>
  <c r="DL239" i="6"/>
  <c r="DS239" i="6"/>
  <c r="DT239" i="6" s="1"/>
  <c r="CI238" i="6"/>
  <c r="CS238" i="6" s="1"/>
  <c r="CT238" i="6" s="1"/>
  <c r="I238" i="6"/>
  <c r="U238" i="6" s="1"/>
  <c r="V238" i="6" s="1"/>
  <c r="S239" i="6"/>
  <c r="T239" i="6" s="1"/>
  <c r="DI238" i="6"/>
  <c r="EA238" i="6" s="1"/>
  <c r="AI238" i="6"/>
  <c r="AK238" i="6" s="1"/>
  <c r="L239" i="6"/>
  <c r="AS239" i="6"/>
  <c r="AT239" i="6" s="1"/>
  <c r="DU240" i="6"/>
  <c r="DV240" i="6" s="1"/>
  <c r="CI237" i="6"/>
  <c r="CS237" i="6" s="1"/>
  <c r="CT237" i="6" s="1"/>
  <c r="AI237" i="6"/>
  <c r="AS237" i="6" s="1"/>
  <c r="AT237" i="6" s="1"/>
  <c r="K239" i="6"/>
  <c r="BI237" i="6"/>
  <c r="BL237" i="6" s="1"/>
  <c r="DU239" i="6"/>
  <c r="DV239" i="6" s="1"/>
  <c r="AS240" i="6"/>
  <c r="AT240" i="6" s="1"/>
  <c r="DI237" i="6"/>
  <c r="EA237" i="6" s="1"/>
  <c r="AK239" i="6"/>
  <c r="AM239" i="6" s="1"/>
  <c r="AW239" i="6" s="1"/>
  <c r="I237" i="6"/>
  <c r="S237" i="6" s="1"/>
  <c r="T237" i="6" s="1"/>
  <c r="BT238" i="6"/>
  <c r="CM240" i="6"/>
  <c r="CO240" i="6" s="1"/>
  <c r="CY240" i="6" s="1"/>
  <c r="CN242" i="6"/>
  <c r="CQ242" i="6" s="1"/>
  <c r="CW242" i="6"/>
  <c r="DB242" i="6" s="1"/>
  <c r="CP242" i="6"/>
  <c r="AW242" i="6"/>
  <c r="BB242" i="6" s="1"/>
  <c r="DO242" i="6"/>
  <c r="DY242" i="6" s="1"/>
  <c r="DW242" i="6"/>
  <c r="DZ242" i="6" s="1"/>
  <c r="AP242" i="6"/>
  <c r="DN242" i="6"/>
  <c r="DQ242" i="6" s="1"/>
  <c r="AN242" i="6"/>
  <c r="AQ242" i="6" s="1"/>
  <c r="CM239" i="6"/>
  <c r="CO239" i="6" s="1"/>
  <c r="CY239" i="6" s="1"/>
  <c r="BL238" i="6"/>
  <c r="BK238" i="6"/>
  <c r="EB241" i="6"/>
  <c r="DZ241" i="6"/>
  <c r="EB242" i="6"/>
  <c r="CK237" i="6"/>
  <c r="DB241" i="6"/>
  <c r="CZ241" i="6"/>
  <c r="BZ241" i="6"/>
  <c r="CB241" i="6"/>
  <c r="BB241" i="6"/>
  <c r="AZ241" i="6"/>
  <c r="BZ242" i="6"/>
  <c r="CB242" i="6"/>
  <c r="AB242" i="6"/>
  <c r="Z242" i="6"/>
  <c r="CQ241" i="6"/>
  <c r="DA241" i="6" s="1"/>
  <c r="CR241" i="6"/>
  <c r="BR241" i="6"/>
  <c r="BQ241" i="6"/>
  <c r="CA241" i="6" s="1"/>
  <c r="R241" i="6"/>
  <c r="Q241" i="6"/>
  <c r="AQ241" i="6"/>
  <c r="AR241" i="6"/>
  <c r="BA241" i="6" s="1"/>
  <c r="DR241" i="6"/>
  <c r="DQ241" i="6"/>
  <c r="BR242" i="6"/>
  <c r="BQ242" i="6"/>
  <c r="CA242" i="6" s="1"/>
  <c r="R242" i="6"/>
  <c r="AA242" i="6" s="1"/>
  <c r="Q242" i="6"/>
  <c r="BB240" i="6" l="1"/>
  <c r="Z241" i="6"/>
  <c r="AA241" i="6"/>
  <c r="BB239" i="6"/>
  <c r="BM240" i="6"/>
  <c r="BP240" i="6" s="1"/>
  <c r="CU237" i="6"/>
  <c r="CV237" i="6" s="1"/>
  <c r="CL237" i="6"/>
  <c r="BM239" i="6"/>
  <c r="BP239" i="6" s="1"/>
  <c r="AU237" i="6"/>
  <c r="AV237" i="6" s="1"/>
  <c r="CL238" i="6"/>
  <c r="CK238" i="6"/>
  <c r="DM239" i="6"/>
  <c r="DN239" i="6" s="1"/>
  <c r="DR239" i="6" s="1"/>
  <c r="AL237" i="6"/>
  <c r="S238" i="6"/>
  <c r="T238" i="6" s="1"/>
  <c r="K237" i="6"/>
  <c r="DM240" i="6"/>
  <c r="DN240" i="6" s="1"/>
  <c r="DQ240" i="6" s="1"/>
  <c r="L238" i="6"/>
  <c r="K238" i="6"/>
  <c r="AL238" i="6"/>
  <c r="AM238" i="6" s="1"/>
  <c r="AN238" i="6" s="1"/>
  <c r="BK237" i="6"/>
  <c r="BM237" i="6" s="1"/>
  <c r="BO237" i="6" s="1"/>
  <c r="BU237" i="6"/>
  <c r="BV237" i="6" s="1"/>
  <c r="AK237" i="6"/>
  <c r="CU238" i="6"/>
  <c r="CV238" i="6" s="1"/>
  <c r="BN239" i="6"/>
  <c r="BR239" i="6" s="1"/>
  <c r="DA242" i="6"/>
  <c r="DS238" i="6"/>
  <c r="DT238" i="6" s="1"/>
  <c r="DK238" i="6"/>
  <c r="DL238" i="6"/>
  <c r="AS238" i="6"/>
  <c r="AT238" i="6" s="1"/>
  <c r="DL237" i="6"/>
  <c r="L237" i="6"/>
  <c r="U237" i="6"/>
  <c r="V237" i="6" s="1"/>
  <c r="AU238" i="6"/>
  <c r="AV238" i="6" s="1"/>
  <c r="BS237" i="6"/>
  <c r="BT237" i="6" s="1"/>
  <c r="DU238" i="6"/>
  <c r="DV238" i="6" s="1"/>
  <c r="DU237" i="6"/>
  <c r="DV237" i="6" s="1"/>
  <c r="DK237" i="6"/>
  <c r="M239" i="6"/>
  <c r="DS237" i="6"/>
  <c r="DT237" i="6" s="1"/>
  <c r="CR242" i="6"/>
  <c r="CW240" i="6"/>
  <c r="DB240" i="6" s="1"/>
  <c r="CP240" i="6"/>
  <c r="CN240" i="6"/>
  <c r="CQ240" i="6" s="1"/>
  <c r="DC240" i="6" s="1"/>
  <c r="CZ242" i="6"/>
  <c r="AZ242" i="6"/>
  <c r="AZ240" i="6"/>
  <c r="AP240" i="6"/>
  <c r="AO240" i="6"/>
  <c r="AY240" i="6" s="1"/>
  <c r="AN240" i="6"/>
  <c r="AQ240" i="6" s="1"/>
  <c r="DR242" i="6"/>
  <c r="AR242" i="6"/>
  <c r="BA242" i="6" s="1"/>
  <c r="AP239" i="6"/>
  <c r="P240" i="6"/>
  <c r="N240" i="6"/>
  <c r="R240" i="6" s="1"/>
  <c r="W240" i="6"/>
  <c r="AB240" i="6" s="1"/>
  <c r="BW240" i="6"/>
  <c r="BZ240" i="6" s="1"/>
  <c r="BO240" i="6"/>
  <c r="BY240" i="6" s="1"/>
  <c r="BN240" i="6"/>
  <c r="BQ240" i="6" s="1"/>
  <c r="AZ239" i="6"/>
  <c r="AN239" i="6"/>
  <c r="AR239" i="6" s="1"/>
  <c r="AO239" i="6"/>
  <c r="AY239" i="6" s="1"/>
  <c r="CP239" i="6"/>
  <c r="CN239" i="6"/>
  <c r="CW239" i="6"/>
  <c r="BM238" i="6"/>
  <c r="BN238" i="6" s="1"/>
  <c r="EC242" i="6"/>
  <c r="EC240" i="6"/>
  <c r="EC241" i="6"/>
  <c r="DX242" i="6"/>
  <c r="ED242" i="6" s="1"/>
  <c r="DX241" i="6"/>
  <c r="ED241" i="6" s="1"/>
  <c r="DX240" i="6"/>
  <c r="ED240" i="6" s="1"/>
  <c r="CM237" i="6"/>
  <c r="CN237" i="6" s="1"/>
  <c r="CR237" i="6" s="1"/>
  <c r="CX242" i="6"/>
  <c r="DC242" i="6"/>
  <c r="BX242" i="6"/>
  <c r="CC242" i="6"/>
  <c r="AX241" i="6"/>
  <c r="BC241" i="6"/>
  <c r="BX241" i="6"/>
  <c r="CC241" i="6"/>
  <c r="X242" i="6"/>
  <c r="AC242" i="6"/>
  <c r="X241" i="6"/>
  <c r="AC241" i="6"/>
  <c r="CX241" i="6"/>
  <c r="DC241" i="6"/>
  <c r="CM238" i="6" l="1"/>
  <c r="CO238" i="6" s="1"/>
  <c r="BW239" i="6"/>
  <c r="BZ239" i="6" s="1"/>
  <c r="BO239" i="6"/>
  <c r="BY239" i="6" s="1"/>
  <c r="AM237" i="6"/>
  <c r="AP237" i="6" s="1"/>
  <c r="DW239" i="6"/>
  <c r="M237" i="6"/>
  <c r="P237" i="6" s="1"/>
  <c r="CY238" i="6"/>
  <c r="DO240" i="6"/>
  <c r="DY240" i="6" s="1"/>
  <c r="DQ239" i="6"/>
  <c r="M238" i="6"/>
  <c r="W238" i="6" s="1"/>
  <c r="AB238" i="6" s="1"/>
  <c r="DO239" i="6"/>
  <c r="DY239" i="6" s="1"/>
  <c r="BQ239" i="6"/>
  <c r="BX239" i="6" s="1"/>
  <c r="CD239" i="6" s="1"/>
  <c r="DP239" i="6"/>
  <c r="BY237" i="6"/>
  <c r="DR240" i="6"/>
  <c r="DP240" i="6"/>
  <c r="DW240" i="6"/>
  <c r="DM238" i="6"/>
  <c r="DO238" i="6" s="1"/>
  <c r="DY238" i="6" s="1"/>
  <c r="CX240" i="6"/>
  <c r="DD240" i="6" s="1"/>
  <c r="CR240" i="6"/>
  <c r="DM237" i="6"/>
  <c r="DP237" i="6" s="1"/>
  <c r="AA240" i="6"/>
  <c r="BA239" i="6"/>
  <c r="P239" i="6"/>
  <c r="O239" i="6"/>
  <c r="Y239" i="6" s="1"/>
  <c r="N239" i="6"/>
  <c r="W239" i="6"/>
  <c r="CZ240" i="6"/>
  <c r="DA240" i="6"/>
  <c r="CA240" i="6"/>
  <c r="AR240" i="6"/>
  <c r="BA240" i="6" s="1"/>
  <c r="EB240" i="6"/>
  <c r="DZ240" i="6"/>
  <c r="DX239" i="6"/>
  <c r="ED239" i="6" s="1"/>
  <c r="EC239" i="6"/>
  <c r="DZ239" i="6"/>
  <c r="EB239" i="6"/>
  <c r="BO238" i="6"/>
  <c r="BY238" i="6" s="1"/>
  <c r="BC242" i="6"/>
  <c r="AX242" i="6"/>
  <c r="BD242" i="6" s="1"/>
  <c r="BR240" i="6"/>
  <c r="CC240" i="6" s="1"/>
  <c r="AO238" i="6"/>
  <c r="AY238" i="6" s="1"/>
  <c r="Q240" i="6"/>
  <c r="AC240" i="6" s="1"/>
  <c r="Z240" i="6"/>
  <c r="BX240" i="6"/>
  <c r="CD240" i="6" s="1"/>
  <c r="CB240" i="6"/>
  <c r="AQ239" i="6"/>
  <c r="AX239" i="6" s="1"/>
  <c r="BD239" i="6" s="1"/>
  <c r="AN237" i="6"/>
  <c r="AQ237" i="6" s="1"/>
  <c r="CQ239" i="6"/>
  <c r="DA239" i="6" s="1"/>
  <c r="CR239" i="6"/>
  <c r="DB239" i="6"/>
  <c r="CZ239" i="6"/>
  <c r="BW238" i="6"/>
  <c r="CB238" i="6" s="1"/>
  <c r="BP238" i="6"/>
  <c r="W237" i="6"/>
  <c r="AO237" i="6"/>
  <c r="AY237" i="6" s="1"/>
  <c r="DD241" i="6"/>
  <c r="AD242" i="6"/>
  <c r="BD241" i="6"/>
  <c r="DD242" i="6"/>
  <c r="AD241" i="6"/>
  <c r="CD241" i="6"/>
  <c r="CD242" i="6"/>
  <c r="N237" i="6"/>
  <c r="Q237" i="6" s="1"/>
  <c r="O237" i="6"/>
  <c r="Y237" i="6" s="1"/>
  <c r="BN237" i="6"/>
  <c r="BP237" i="6"/>
  <c r="AW237" i="6"/>
  <c r="AW238" i="6"/>
  <c r="AP238" i="6"/>
  <c r="CP238" i="6"/>
  <c r="CN238" i="6"/>
  <c r="CR238" i="6" s="1"/>
  <c r="CW238" i="6"/>
  <c r="BW237" i="6"/>
  <c r="AQ238" i="6"/>
  <c r="AR238" i="6"/>
  <c r="BQ238" i="6"/>
  <c r="BR238" i="6"/>
  <c r="DY237" i="6"/>
  <c r="CO237" i="6"/>
  <c r="CY237" i="6" s="1"/>
  <c r="CQ237" i="6"/>
  <c r="CW237" i="6"/>
  <c r="DB237" i="6" s="1"/>
  <c r="CP237" i="6"/>
  <c r="Z238" i="6" l="1"/>
  <c r="CB239" i="6"/>
  <c r="P238" i="6"/>
  <c r="N238" i="6"/>
  <c r="Q238" i="6" s="1"/>
  <c r="CC239" i="6"/>
  <c r="AX240" i="6"/>
  <c r="BD240" i="6" s="1"/>
  <c r="O238" i="6"/>
  <c r="Y238" i="6" s="1"/>
  <c r="DN238" i="6"/>
  <c r="DR238" i="6" s="1"/>
  <c r="DN237" i="6"/>
  <c r="DQ237" i="6" s="1"/>
  <c r="CA239" i="6"/>
  <c r="DW237" i="6"/>
  <c r="EB237" i="6" s="1"/>
  <c r="DO237" i="6"/>
  <c r="DP238" i="6"/>
  <c r="DW238" i="6"/>
  <c r="Z239" i="6"/>
  <c r="AB239" i="6"/>
  <c r="Q239" i="6"/>
  <c r="R239" i="6"/>
  <c r="CA238" i="6"/>
  <c r="BA238" i="6"/>
  <c r="DC237" i="6"/>
  <c r="DA237" i="6"/>
  <c r="BC240" i="6"/>
  <c r="DZ237" i="6"/>
  <c r="X240" i="6"/>
  <c r="AD240" i="6" s="1"/>
  <c r="BC239" i="6"/>
  <c r="AR237" i="6"/>
  <c r="DZ238" i="6"/>
  <c r="EB238" i="6"/>
  <c r="DX238" i="6"/>
  <c r="ED238" i="6" s="1"/>
  <c r="EC238" i="6"/>
  <c r="CX239" i="6"/>
  <c r="DC239" i="6"/>
  <c r="BZ238" i="6"/>
  <c r="EG241" i="6"/>
  <c r="EH241" i="6" s="1"/>
  <c r="EI241" i="6" s="1"/>
  <c r="W208" i="6" s="1"/>
  <c r="P42" i="6" s="1"/>
  <c r="AB237" i="6"/>
  <c r="Z237" i="6"/>
  <c r="EG242" i="6"/>
  <c r="EH242" i="6" s="1"/>
  <c r="EI242" i="6" s="1"/>
  <c r="W222" i="6" s="1"/>
  <c r="P44" i="6" s="1"/>
  <c r="R237" i="6"/>
  <c r="AA237" i="6" s="1"/>
  <c r="BR237" i="6"/>
  <c r="BQ237" i="6"/>
  <c r="CA237" i="6" s="1"/>
  <c r="CZ238" i="6"/>
  <c r="DB238" i="6"/>
  <c r="BB237" i="6"/>
  <c r="AZ237" i="6"/>
  <c r="BX238" i="6"/>
  <c r="CC238" i="6"/>
  <c r="CB237" i="6"/>
  <c r="BZ237" i="6"/>
  <c r="AX238" i="6"/>
  <c r="BC238" i="6"/>
  <c r="AZ238" i="6"/>
  <c r="BB238" i="6"/>
  <c r="CQ238" i="6"/>
  <c r="DA238" i="6" s="1"/>
  <c r="CX237" i="6"/>
  <c r="CZ237" i="6"/>
  <c r="DR237" i="6" l="1"/>
  <c r="R238" i="6"/>
  <c r="AA238" i="6" s="1"/>
  <c r="DQ238" i="6"/>
  <c r="EG240" i="6"/>
  <c r="EH240" i="6" s="1"/>
  <c r="EI240" i="6" s="1"/>
  <c r="W194" i="6" s="1"/>
  <c r="P40" i="6" s="1"/>
  <c r="AC239" i="6"/>
  <c r="AA239" i="6"/>
  <c r="X239" i="6"/>
  <c r="AD239" i="6" s="1"/>
  <c r="AX237" i="6"/>
  <c r="BD237" i="6" s="1"/>
  <c r="BA237" i="6"/>
  <c r="BC237" i="6"/>
  <c r="AC238" i="6"/>
  <c r="X238" i="6"/>
  <c r="AD238" i="6" s="1"/>
  <c r="EC237" i="6"/>
  <c r="DX237" i="6"/>
  <c r="ED237" i="6" s="1"/>
  <c r="DD239" i="6"/>
  <c r="CD238" i="6"/>
  <c r="DD237" i="6"/>
  <c r="BD238" i="6"/>
  <c r="X237" i="6"/>
  <c r="AC237" i="6"/>
  <c r="BX237" i="6"/>
  <c r="CC237" i="6"/>
  <c r="CX238" i="6"/>
  <c r="DC238" i="6"/>
  <c r="EG239" i="6" l="1"/>
  <c r="EH239" i="6" s="1"/>
  <c r="EI239" i="6" s="1"/>
  <c r="W180" i="6" s="1"/>
  <c r="P38" i="6" s="1"/>
  <c r="CD237" i="6"/>
  <c r="DD238" i="6"/>
  <c r="EG238" i="6" s="1"/>
  <c r="EH238" i="6" s="1"/>
  <c r="EI238" i="6" s="1"/>
  <c r="W166" i="6" s="1"/>
  <c r="P36" i="6" s="1"/>
  <c r="AD237" i="6"/>
  <c r="EG237" i="6" l="1"/>
  <c r="EH237" i="6" s="1"/>
  <c r="EI237" i="6" s="1"/>
  <c r="W152" i="6" s="1"/>
  <c r="P34" i="6" s="1"/>
  <c r="EK10" i="6" s="1"/>
</calcChain>
</file>

<file path=xl/sharedStrings.xml><?xml version="1.0" encoding="utf-8"?>
<sst xmlns="http://schemas.openxmlformats.org/spreadsheetml/2006/main" count="318" uniqueCount="155">
  <si>
    <t>Delta</t>
  </si>
  <si>
    <t>Gamma</t>
  </si>
  <si>
    <t>Theta</t>
  </si>
  <si>
    <t>Vega</t>
  </si>
  <si>
    <t>Rho</t>
  </si>
  <si>
    <t>Price</t>
  </si>
  <si>
    <t>σ √t</t>
  </si>
  <si>
    <t>Increment</t>
  </si>
  <si>
    <t>Underlying price</t>
  </si>
  <si>
    <t>Call</t>
  </si>
  <si>
    <t>Put</t>
  </si>
  <si>
    <t>Volatility</t>
  </si>
  <si>
    <t>Interest rate</t>
  </si>
  <si>
    <t>Dividend yield</t>
  </si>
  <si>
    <t>Strike</t>
  </si>
  <si>
    <t>www.macroption.com</t>
  </si>
  <si>
    <t>Position</t>
  </si>
  <si>
    <t>Stock</t>
  </si>
  <si>
    <t>Leg</t>
  </si>
  <si>
    <t>Type</t>
  </si>
  <si>
    <t>Date</t>
  </si>
  <si>
    <t>Option Strategy Simulator</t>
  </si>
  <si>
    <t>ID</t>
  </si>
  <si>
    <t>Auto Name Format</t>
  </si>
  <si>
    <t>Auto Name Formats</t>
  </si>
  <si>
    <t>mmm yy</t>
  </si>
  <si>
    <t>d/m/yy</t>
  </si>
  <si>
    <t>m/d/yy</t>
  </si>
  <si>
    <t>Example</t>
  </si>
  <si>
    <t>mmm yyyy</t>
  </si>
  <si>
    <t>mm/dd/yy</t>
  </si>
  <si>
    <t>Days</t>
  </si>
  <si>
    <t>Value</t>
  </si>
  <si>
    <t>P/L</t>
  </si>
  <si>
    <t>Initial CF</t>
  </si>
  <si>
    <t>Per share</t>
  </si>
  <si>
    <t>Total</t>
  </si>
  <si>
    <t>Time</t>
  </si>
  <si>
    <t>Leg 1</t>
  </si>
  <si>
    <t>Leg 2</t>
  </si>
  <si>
    <t>Leg 3</t>
  </si>
  <si>
    <t>Leg 4</t>
  </si>
  <si>
    <t>Leg 5</t>
  </si>
  <si>
    <t>Min</t>
  </si>
  <si>
    <t>Override</t>
  </si>
  <si>
    <t>Expiration</t>
  </si>
  <si>
    <t>t(r-q+σ2/2)</t>
  </si>
  <si>
    <t>ln(S0/X)</t>
  </si>
  <si>
    <t>d1</t>
  </si>
  <si>
    <t>d2</t>
  </si>
  <si>
    <t>N ( d1 )</t>
  </si>
  <si>
    <t>N ( - d1 )</t>
  </si>
  <si>
    <t>N ( d2 )</t>
  </si>
  <si>
    <t>N ( - d2 )</t>
  </si>
  <si>
    <t>e-rt</t>
  </si>
  <si>
    <t>X e-rt</t>
  </si>
  <si>
    <t>e-qt</t>
  </si>
  <si>
    <t>S0 e-qt</t>
  </si>
  <si>
    <t>None</t>
  </si>
  <si>
    <t>e(-d1^2/2)/√2PI</t>
  </si>
  <si>
    <t>Int rate</t>
  </si>
  <si>
    <t>Y</t>
  </si>
  <si>
    <t>Entire position</t>
  </si>
  <si>
    <t>Name</t>
  </si>
  <si>
    <t>XXX</t>
  </si>
  <si>
    <t>Contract Size</t>
  </si>
  <si>
    <t>Options</t>
  </si>
  <si>
    <t>Auto X axis</t>
  </si>
  <si>
    <t>Incr</t>
  </si>
  <si>
    <t>Max</t>
  </si>
  <si>
    <t>Total number of increments</t>
  </si>
  <si>
    <t>Active range min</t>
  </si>
  <si>
    <t>Active range max</t>
  </si>
  <si>
    <t>Active range mid</t>
  </si>
  <si>
    <t>Active range %</t>
  </si>
  <si>
    <t>Active range</t>
  </si>
  <si>
    <t>Total range min</t>
  </si>
  <si>
    <t>Total range max</t>
  </si>
  <si>
    <t>Total range</t>
  </si>
  <si>
    <t>Total range %</t>
  </si>
  <si>
    <t>Increment log rounded</t>
  </si>
  <si>
    <t>Increment type</t>
  </si>
  <si>
    <t>Mid rounded</t>
  </si>
  <si>
    <t>Log+2</t>
  </si>
  <si>
    <t>Active</t>
  </si>
  <si>
    <t>Next up</t>
  </si>
  <si>
    <t>Next down</t>
  </si>
  <si>
    <t>Auto Name 1</t>
  </si>
  <si>
    <t>Custom Name 1</t>
  </si>
  <si>
    <t>Auto Name 2</t>
  </si>
  <si>
    <t>Custom Name 2</t>
  </si>
  <si>
    <t>m/d</t>
  </si>
  <si>
    <t>d/m</t>
  </si>
  <si>
    <t>dmmm</t>
  </si>
  <si>
    <t>Chart X</t>
  </si>
  <si>
    <t>Chart Y</t>
  </si>
  <si>
    <t>L1</t>
  </si>
  <si>
    <t>L2</t>
  </si>
  <si>
    <t>L3</t>
  </si>
  <si>
    <t>L4</t>
  </si>
  <si>
    <t>L5</t>
  </si>
  <si>
    <t>support@macroption.com</t>
  </si>
  <si>
    <t>Diff</t>
  </si>
  <si>
    <t>Extremes and break-even points</t>
  </si>
  <si>
    <t>Div yld</t>
  </si>
  <si>
    <t>Vol</t>
  </si>
  <si>
    <t>Trend</t>
  </si>
  <si>
    <t>All</t>
  </si>
  <si>
    <t>Extremes</t>
  </si>
  <si>
    <t>y_rounded</t>
  </si>
  <si>
    <t>diff</t>
  </si>
  <si>
    <t>b/e_x</t>
  </si>
  <si>
    <t>is_ext</t>
  </si>
  <si>
    <t>mid_x</t>
  </si>
  <si>
    <t>end_x</t>
  </si>
  <si>
    <t>beg_x</t>
  </si>
  <si>
    <t>is_be</t>
  </si>
  <si>
    <t>index</t>
  </si>
  <si>
    <t>index_x</t>
  </si>
  <si>
    <t>extreme</t>
  </si>
  <si>
    <t>ext_count/be_type</t>
  </si>
  <si>
    <t>base_x</t>
  </si>
  <si>
    <t>y_-1</t>
  </si>
  <si>
    <t>y_0</t>
  </si>
  <si>
    <t>d_-1</t>
  </si>
  <si>
    <t>d_0</t>
  </si>
  <si>
    <t>d_1</t>
  </si>
  <si>
    <t>d_2</t>
  </si>
  <si>
    <t>Final</t>
  </si>
  <si>
    <t>final_x</t>
  </si>
  <si>
    <t>final_x_isnumber</t>
  </si>
  <si>
    <t>y</t>
  </si>
  <si>
    <t>Default Contract Size</t>
  </si>
  <si>
    <t>dd/mm/yy</t>
  </si>
  <si>
    <t>Show Values &amp; Greeks</t>
  </si>
  <si>
    <t>Large amounts area 1</t>
  </si>
  <si>
    <t>Large amounts area 2</t>
  </si>
  <si>
    <t>Large amounts area 3</t>
  </si>
  <si>
    <t>Div Yield</t>
  </si>
  <si>
    <t>Int Rate</t>
  </si>
  <si>
    <t>Und Price</t>
  </si>
  <si>
    <t>Und P</t>
  </si>
  <si>
    <t>Initial Price</t>
  </si>
  <si>
    <t>First Expiration</t>
  </si>
  <si>
    <t>Key Points</t>
  </si>
  <si>
    <t>X-Axis</t>
  </si>
  <si>
    <t>Y-Axis</t>
  </si>
  <si>
    <t>X-Axis Scale</t>
  </si>
  <si>
    <t>Global Parameters</t>
  </si>
  <si>
    <t>Days to Exp</t>
  </si>
  <si>
    <t>Time to Exp</t>
  </si>
  <si>
    <r>
      <t>Parameters</t>
    </r>
    <r>
      <rPr>
        <sz val="9"/>
        <color theme="1" tint="0.14999847407452621"/>
        <rFont val="Calibri"/>
        <family val="2"/>
        <scheme val="minor"/>
      </rPr>
      <t xml:space="preserve"> (change in rows 3-4)</t>
    </r>
  </si>
  <si>
    <t>Terms of use apply. See</t>
  </si>
  <si>
    <t>www.macroption.com/terms</t>
  </si>
  <si>
    <t>Expiration Date+Time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</si>
</sst>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#,##0_ ;[Red]\-#,##0\ "/>
    <numFmt numFmtId="166" formatCode="#,##0.00_ ;[Red]\-#,##0.00\ "/>
    <numFmt numFmtId="167" formatCode="#,##0.0000_ ;[Red]\-#,##0.0000\ "/>
    <numFmt numFmtId="168" formatCode="d\ mmm"/>
    <numFmt numFmtId="169" formatCode="dd/mm/yyyy\ hh:mm:ss"/>
    <numFmt numFmtId="170" formatCode="[$-F400]h:mm:ss\ AM/PM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 tint="0.14999847407452621"/>
      <name val="Calibri"/>
      <family val="2"/>
      <charset val="238"/>
      <scheme val="minor"/>
    </font>
    <font>
      <sz val="8"/>
      <color theme="1" tint="0.14999847407452621"/>
      <name val="Calibri"/>
      <family val="2"/>
      <scheme val="minor"/>
    </font>
    <font>
      <b/>
      <sz val="11"/>
      <color theme="1" tint="0.14999847407452621"/>
      <name val="Calibri"/>
      <family val="2"/>
      <charset val="238"/>
      <scheme val="minor"/>
    </font>
    <font>
      <sz val="11"/>
      <color theme="1" tint="0.14999847407452621"/>
      <name val="Calibri"/>
      <family val="2"/>
      <charset val="238"/>
      <scheme val="minor"/>
    </font>
    <font>
      <sz val="11"/>
      <color theme="1" tint="0.34998626667073579"/>
      <name val="Calibri"/>
      <family val="2"/>
      <charset val="238"/>
      <scheme val="minor"/>
    </font>
    <font>
      <sz val="11"/>
      <color theme="1" tint="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9"/>
      <color theme="1" tint="0.14996795556505021"/>
      <name val="Calibri"/>
      <family val="2"/>
      <scheme val="minor"/>
    </font>
    <font>
      <sz val="9"/>
      <color rgb="FF000000"/>
      <name val="Calibri"/>
      <family val="2"/>
    </font>
    <font>
      <sz val="8"/>
      <color rgb="FF000000"/>
      <name val="Tahoma"/>
      <family val="2"/>
    </font>
    <font>
      <sz val="9"/>
      <color theme="1" tint="0.14999847407452621"/>
      <name val="Calibri"/>
      <family val="2"/>
      <charset val="238"/>
      <scheme val="minor"/>
    </font>
    <font>
      <b/>
      <sz val="11"/>
      <color theme="1" tint="0.14999847407452621"/>
      <name val="Calibri"/>
      <family val="2"/>
      <scheme val="minor"/>
    </font>
    <font>
      <sz val="9"/>
      <color theme="1" tint="0.34998626667073579"/>
      <name val="Calibri"/>
      <family val="2"/>
      <charset val="238"/>
      <scheme val="minor"/>
    </font>
    <font>
      <sz val="9"/>
      <color theme="1" tint="0.14999847407452621"/>
      <name val="Calibri"/>
      <family val="2"/>
      <scheme val="minor"/>
    </font>
    <font>
      <sz val="11"/>
      <color theme="0" tint="-0.499984740745262"/>
      <name val="Calibri"/>
      <family val="2"/>
      <charset val="238"/>
      <scheme val="minor"/>
    </font>
    <font>
      <u/>
      <sz val="11"/>
      <color theme="0" tint="-0.499984740745262"/>
      <name val="Calibri"/>
      <family val="2"/>
      <charset val="238"/>
      <scheme val="minor"/>
    </font>
    <font>
      <sz val="11"/>
      <color theme="0" tint="-0.499984740745262"/>
      <name val="Calibri"/>
      <family val="2"/>
      <charset val="238"/>
    </font>
    <font>
      <sz val="1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gradientFill>
        <stop position="0">
          <color theme="0" tint="-0.1490218817712943"/>
        </stop>
        <stop position="1">
          <color theme="0" tint="-5.0965910824915313E-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auto="1"/>
      </patternFill>
    </fill>
  </fills>
  <borders count="79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0" tint="-0.499984740745262"/>
      </top>
      <bottom/>
      <diagonal/>
    </border>
    <border>
      <left style="thin">
        <color theme="1" tint="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499984740745262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2499465926084170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499984740745262"/>
      </left>
      <right/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499984740745262"/>
      </bottom>
      <diagonal/>
    </border>
    <border>
      <left/>
      <right/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293">
    <xf numFmtId="0" fontId="0" fillId="0" borderId="0" xfId="0"/>
    <xf numFmtId="0" fontId="0" fillId="4" borderId="0" xfId="0" applyFill="1"/>
    <xf numFmtId="0" fontId="0" fillId="3" borderId="0" xfId="0" applyFill="1"/>
    <xf numFmtId="0" fontId="6" fillId="3" borderId="0" xfId="0" applyFont="1" applyFill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7" borderId="11" xfId="0" applyFont="1" applyFill="1" applyBorder="1" applyAlignment="1">
      <alignment vertical="center"/>
    </xf>
    <xf numFmtId="0" fontId="6" fillId="7" borderId="7" xfId="0" applyFont="1" applyFill="1" applyBorder="1" applyAlignment="1">
      <alignment vertical="center"/>
    </xf>
    <xf numFmtId="0" fontId="6" fillId="7" borderId="12" xfId="0" applyFont="1" applyFill="1" applyBorder="1" applyAlignment="1">
      <alignment vertical="center"/>
    </xf>
    <xf numFmtId="0" fontId="4" fillId="7" borderId="2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left"/>
    </xf>
    <xf numFmtId="0" fontId="7" fillId="3" borderId="0" xfId="0" applyFont="1" applyFill="1"/>
    <xf numFmtId="0" fontId="7" fillId="3" borderId="6" xfId="0" applyFont="1" applyFill="1" applyBorder="1"/>
    <xf numFmtId="0" fontId="8" fillId="0" borderId="0" xfId="0" applyFont="1"/>
    <xf numFmtId="0" fontId="9" fillId="4" borderId="0" xfId="0" applyFont="1" applyFill="1"/>
    <xf numFmtId="0" fontId="9" fillId="4" borderId="17" xfId="0" applyFont="1" applyFill="1" applyBorder="1"/>
    <xf numFmtId="0" fontId="9" fillId="4" borderId="18" xfId="0" applyFont="1" applyFill="1" applyBorder="1"/>
    <xf numFmtId="0" fontId="9" fillId="4" borderId="19" xfId="0" applyFont="1" applyFill="1" applyBorder="1"/>
    <xf numFmtId="0" fontId="9" fillId="4" borderId="23" xfId="0" applyFont="1" applyFill="1" applyBorder="1"/>
    <xf numFmtId="0" fontId="9" fillId="4" borderId="24" xfId="0" applyFont="1" applyFill="1" applyBorder="1"/>
    <xf numFmtId="0" fontId="9" fillId="4" borderId="20" xfId="0" applyFont="1" applyFill="1" applyBorder="1"/>
    <xf numFmtId="0" fontId="9" fillId="4" borderId="21" xfId="0" applyFont="1" applyFill="1" applyBorder="1"/>
    <xf numFmtId="0" fontId="9" fillId="4" borderId="22" xfId="0" applyFont="1" applyFill="1" applyBorder="1"/>
    <xf numFmtId="0" fontId="5" fillId="6" borderId="11" xfId="0" applyFont="1" applyFill="1" applyBorder="1"/>
    <xf numFmtId="0" fontId="5" fillId="6" borderId="13" xfId="0" applyFont="1" applyFill="1" applyBorder="1" applyAlignment="1">
      <alignment horizontal="center" vertical="center"/>
    </xf>
    <xf numFmtId="165" fontId="6" fillId="2" borderId="8" xfId="0" applyNumberFormat="1" applyFont="1" applyFill="1" applyBorder="1" applyAlignment="1">
      <alignment horizontal="right" vertical="center" indent="1"/>
    </xf>
    <xf numFmtId="0" fontId="5" fillId="3" borderId="0" xfId="0" applyFont="1" applyFill="1" applyAlignment="1">
      <alignment vertical="center"/>
    </xf>
    <xf numFmtId="165" fontId="6" fillId="8" borderId="8" xfId="0" applyNumberFormat="1" applyFont="1" applyFill="1" applyBorder="1" applyAlignment="1">
      <alignment horizontal="right" vertical="center" indent="1"/>
    </xf>
    <xf numFmtId="0" fontId="5" fillId="7" borderId="11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vertical="center"/>
    </xf>
    <xf numFmtId="166" fontId="6" fillId="2" borderId="8" xfId="0" applyNumberFormat="1" applyFont="1" applyFill="1" applyBorder="1" applyAlignment="1">
      <alignment horizontal="right" vertical="center" indent="1"/>
    </xf>
    <xf numFmtId="2" fontId="8" fillId="8" borderId="27" xfId="0" applyNumberFormat="1" applyFont="1" applyFill="1" applyBorder="1" applyAlignment="1">
      <alignment horizontal="right" indent="1"/>
    </xf>
    <xf numFmtId="0" fontId="5" fillId="7" borderId="29" xfId="0" applyFont="1" applyFill="1" applyBorder="1" applyAlignment="1">
      <alignment horizontal="left"/>
    </xf>
    <xf numFmtId="0" fontId="4" fillId="7" borderId="30" xfId="0" applyFont="1" applyFill="1" applyBorder="1" applyAlignment="1">
      <alignment horizontal="center"/>
    </xf>
    <xf numFmtId="10" fontId="14" fillId="0" borderId="0" xfId="0" applyNumberFormat="1" applyFont="1"/>
    <xf numFmtId="0" fontId="14" fillId="0" borderId="0" xfId="0" applyFont="1"/>
    <xf numFmtId="0" fontId="5" fillId="7" borderId="1" xfId="0" applyFont="1" applyFill="1" applyBorder="1" applyAlignment="1">
      <alignment horizontal="left"/>
    </xf>
    <xf numFmtId="0" fontId="4" fillId="7" borderId="5" xfId="0" applyFont="1" applyFill="1" applyBorder="1" applyAlignment="1">
      <alignment horizontal="center"/>
    </xf>
    <xf numFmtId="14" fontId="14" fillId="0" borderId="0" xfId="0" applyNumberFormat="1" applyFont="1"/>
    <xf numFmtId="167" fontId="14" fillId="0" borderId="0" xfId="0" applyNumberFormat="1" applyFont="1"/>
    <xf numFmtId="10" fontId="14" fillId="0" borderId="0" xfId="1" applyNumberFormat="1" applyFont="1"/>
    <xf numFmtId="164" fontId="14" fillId="0" borderId="0" xfId="0" applyNumberFormat="1" applyFont="1"/>
    <xf numFmtId="10" fontId="14" fillId="10" borderId="0" xfId="0" applyNumberFormat="1" applyFont="1" applyFill="1"/>
    <xf numFmtId="0" fontId="5" fillId="7" borderId="5" xfId="0" applyFont="1" applyFill="1" applyBorder="1" applyAlignment="1">
      <alignment vertical="center"/>
    </xf>
    <xf numFmtId="0" fontId="5" fillId="7" borderId="6" xfId="0" applyFont="1" applyFill="1" applyBorder="1" applyAlignment="1">
      <alignment horizontal="center"/>
    </xf>
    <xf numFmtId="0" fontId="5" fillId="7" borderId="6" xfId="0" applyFont="1" applyFill="1" applyBorder="1" applyAlignment="1">
      <alignment vertical="center"/>
    </xf>
    <xf numFmtId="10" fontId="6" fillId="2" borderId="6" xfId="0" applyNumberFormat="1" applyFont="1" applyFill="1" applyBorder="1" applyAlignment="1">
      <alignment horizontal="right" vertical="center" indent="1"/>
    </xf>
    <xf numFmtId="0" fontId="5" fillId="7" borderId="2" xfId="0" applyFont="1" applyFill="1" applyBorder="1" applyAlignment="1">
      <alignment horizontal="center"/>
    </xf>
    <xf numFmtId="0" fontId="5" fillId="7" borderId="2" xfId="0" applyFont="1" applyFill="1" applyBorder="1" applyAlignment="1">
      <alignment vertical="center"/>
    </xf>
    <xf numFmtId="2" fontId="6" fillId="2" borderId="33" xfId="0" applyNumberFormat="1" applyFont="1" applyFill="1" applyBorder="1" applyAlignment="1">
      <alignment horizontal="right" vertical="center" indent="1"/>
    </xf>
    <xf numFmtId="10" fontId="6" fillId="2" borderId="34" xfId="0" applyNumberFormat="1" applyFont="1" applyFill="1" applyBorder="1" applyAlignment="1">
      <alignment horizontal="right" vertical="center" indent="1"/>
    </xf>
    <xf numFmtId="0" fontId="5" fillId="7" borderId="2" xfId="0" applyFont="1" applyFill="1" applyBorder="1" applyAlignment="1">
      <alignment horizontal="center" vertical="center"/>
    </xf>
    <xf numFmtId="166" fontId="8" fillId="8" borderId="10" xfId="0" applyNumberFormat="1" applyFont="1" applyFill="1" applyBorder="1" applyAlignment="1">
      <alignment horizontal="right" indent="1"/>
    </xf>
    <xf numFmtId="0" fontId="5" fillId="7" borderId="2" xfId="0" applyFont="1" applyFill="1" applyBorder="1" applyAlignment="1">
      <alignment horizontal="left" indent="3"/>
    </xf>
    <xf numFmtId="10" fontId="8" fillId="2" borderId="6" xfId="0" applyNumberFormat="1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right" vertical="center" indent="1"/>
    </xf>
    <xf numFmtId="164" fontId="14" fillId="3" borderId="0" xfId="0" applyNumberFormat="1" applyFont="1" applyFill="1"/>
    <xf numFmtId="0" fontId="5" fillId="7" borderId="31" xfId="0" applyFont="1" applyFill="1" applyBorder="1" applyAlignment="1">
      <alignment horizontal="center"/>
    </xf>
    <xf numFmtId="0" fontId="5" fillId="7" borderId="32" xfId="0" applyFont="1" applyFill="1" applyBorder="1" applyAlignment="1">
      <alignment horizontal="center"/>
    </xf>
    <xf numFmtId="0" fontId="5" fillId="7" borderId="12" xfId="0" applyFont="1" applyFill="1" applyBorder="1" applyAlignment="1">
      <alignment horizontal="center"/>
    </xf>
    <xf numFmtId="0" fontId="7" fillId="3" borderId="4" xfId="0" applyFont="1" applyFill="1" applyBorder="1"/>
    <xf numFmtId="165" fontId="6" fillId="8" borderId="35" xfId="0" applyNumberFormat="1" applyFont="1" applyFill="1" applyBorder="1" applyAlignment="1">
      <alignment horizontal="right" vertical="center" indent="1"/>
    </xf>
    <xf numFmtId="0" fontId="6" fillId="6" borderId="7" xfId="0" applyFont="1" applyFill="1" applyBorder="1"/>
    <xf numFmtId="0" fontId="5" fillId="6" borderId="7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6" fillId="3" borderId="0" xfId="0" applyFont="1" applyFill="1"/>
    <xf numFmtId="0" fontId="6" fillId="6" borderId="12" xfId="0" applyFont="1" applyFill="1" applyBorder="1"/>
    <xf numFmtId="0" fontId="6" fillId="8" borderId="15" xfId="0" applyFont="1" applyFill="1" applyBorder="1"/>
    <xf numFmtId="0" fontId="6" fillId="3" borderId="3" xfId="0" applyFont="1" applyFill="1" applyBorder="1" applyAlignment="1">
      <alignment horizontal="left"/>
    </xf>
    <xf numFmtId="2" fontId="6" fillId="8" borderId="37" xfId="0" applyNumberFormat="1" applyFont="1" applyFill="1" applyBorder="1"/>
    <xf numFmtId="0" fontId="6" fillId="8" borderId="37" xfId="0" applyFont="1" applyFill="1" applyBorder="1"/>
    <xf numFmtId="0" fontId="6" fillId="3" borderId="37" xfId="0" applyFont="1" applyFill="1" applyBorder="1"/>
    <xf numFmtId="0" fontId="6" fillId="8" borderId="37" xfId="0" applyFont="1" applyFill="1" applyBorder="1" applyAlignment="1">
      <alignment horizontal="right"/>
    </xf>
    <xf numFmtId="0" fontId="5" fillId="6" borderId="7" xfId="0" applyFont="1" applyFill="1" applyBorder="1"/>
    <xf numFmtId="0" fontId="6" fillId="6" borderId="11" xfId="0" applyFont="1" applyFill="1" applyBorder="1"/>
    <xf numFmtId="0" fontId="6" fillId="3" borderId="39" xfId="0" applyFont="1" applyFill="1" applyBorder="1"/>
    <xf numFmtId="0" fontId="6" fillId="3" borderId="40" xfId="0" applyFont="1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6" xfId="0" applyFill="1" applyBorder="1"/>
    <xf numFmtId="10" fontId="14" fillId="3" borderId="0" xfId="0" applyNumberFormat="1" applyFont="1" applyFill="1"/>
    <xf numFmtId="14" fontId="14" fillId="3" borderId="0" xfId="0" applyNumberFormat="1" applyFont="1" applyFill="1"/>
    <xf numFmtId="10" fontId="14" fillId="3" borderId="0" xfId="1" applyNumberFormat="1" applyFont="1" applyFill="1"/>
    <xf numFmtId="167" fontId="14" fillId="3" borderId="0" xfId="0" applyNumberFormat="1" applyFont="1" applyFill="1"/>
    <xf numFmtId="0" fontId="14" fillId="3" borderId="0" xfId="0" applyFont="1" applyFill="1"/>
    <xf numFmtId="10" fontId="14" fillId="5" borderId="0" xfId="0" applyNumberFormat="1" applyFont="1" applyFill="1"/>
    <xf numFmtId="10" fontId="14" fillId="5" borderId="0" xfId="1" applyNumberFormat="1" applyFont="1" applyFill="1"/>
    <xf numFmtId="167" fontId="14" fillId="5" borderId="0" xfId="0" applyNumberFormat="1" applyFont="1" applyFill="1"/>
    <xf numFmtId="164" fontId="14" fillId="5" borderId="0" xfId="0" applyNumberFormat="1" applyFont="1" applyFill="1"/>
    <xf numFmtId="0" fontId="14" fillId="5" borderId="0" xfId="0" applyFont="1" applyFill="1"/>
    <xf numFmtId="0" fontId="6" fillId="3" borderId="41" xfId="0" applyFont="1" applyFill="1" applyBorder="1"/>
    <xf numFmtId="0" fontId="6" fillId="3" borderId="42" xfId="0" applyFont="1" applyFill="1" applyBorder="1"/>
    <xf numFmtId="0" fontId="6" fillId="3" borderId="43" xfId="0" applyFont="1" applyFill="1" applyBorder="1"/>
    <xf numFmtId="0" fontId="6" fillId="3" borderId="44" xfId="0" applyFont="1" applyFill="1" applyBorder="1"/>
    <xf numFmtId="0" fontId="6" fillId="8" borderId="38" xfId="0" applyFont="1" applyFill="1" applyBorder="1"/>
    <xf numFmtId="0" fontId="5" fillId="9" borderId="11" xfId="0" applyFont="1" applyFill="1" applyBorder="1" applyAlignment="1">
      <alignment horizontal="left" vertical="center"/>
    </xf>
    <xf numFmtId="0" fontId="5" fillId="9" borderId="45" xfId="0" applyFont="1" applyFill="1" applyBorder="1" applyAlignment="1">
      <alignment horizontal="center" vertical="center"/>
    </xf>
    <xf numFmtId="0" fontId="5" fillId="9" borderId="47" xfId="0" applyFont="1" applyFill="1" applyBorder="1" applyAlignment="1">
      <alignment horizontal="center" vertical="center"/>
    </xf>
    <xf numFmtId="0" fontId="8" fillId="9" borderId="13" xfId="0" applyFont="1" applyFill="1" applyBorder="1" applyAlignment="1">
      <alignment horizontal="center" vertical="center"/>
    </xf>
    <xf numFmtId="165" fontId="6" fillId="2" borderId="48" xfId="0" applyNumberFormat="1" applyFont="1" applyFill="1" applyBorder="1" applyAlignment="1">
      <alignment horizontal="right" vertical="center" indent="1"/>
    </xf>
    <xf numFmtId="0" fontId="8" fillId="9" borderId="49" xfId="0" applyFont="1" applyFill="1" applyBorder="1" applyAlignment="1">
      <alignment horizontal="center" vertical="center"/>
    </xf>
    <xf numFmtId="165" fontId="6" fillId="8" borderId="50" xfId="0" applyNumberFormat="1" applyFont="1" applyFill="1" applyBorder="1" applyAlignment="1">
      <alignment horizontal="right" vertical="center" indent="1"/>
    </xf>
    <xf numFmtId="165" fontId="6" fillId="2" borderId="50" xfId="0" applyNumberFormat="1" applyFont="1" applyFill="1" applyBorder="1" applyAlignment="1">
      <alignment horizontal="right" vertical="center" indent="1"/>
    </xf>
    <xf numFmtId="165" fontId="6" fillId="2" borderId="51" xfId="0" applyNumberFormat="1" applyFont="1" applyFill="1" applyBorder="1" applyAlignment="1">
      <alignment horizontal="right" vertical="center" indent="1"/>
    </xf>
    <xf numFmtId="0" fontId="8" fillId="9" borderId="52" xfId="0" applyFont="1" applyFill="1" applyBorder="1" applyAlignment="1">
      <alignment horizontal="center" vertical="center"/>
    </xf>
    <xf numFmtId="165" fontId="6" fillId="8" borderId="53" xfId="0" applyNumberFormat="1" applyFont="1" applyFill="1" applyBorder="1" applyAlignment="1">
      <alignment horizontal="right" vertical="center" indent="1"/>
    </xf>
    <xf numFmtId="165" fontId="6" fillId="2" borderId="53" xfId="0" applyNumberFormat="1" applyFont="1" applyFill="1" applyBorder="1" applyAlignment="1">
      <alignment horizontal="right" vertical="center" indent="1"/>
    </xf>
    <xf numFmtId="165" fontId="6" fillId="2" borderId="54" xfId="0" applyNumberFormat="1" applyFont="1" applyFill="1" applyBorder="1" applyAlignment="1">
      <alignment horizontal="right" vertical="center" indent="1"/>
    </xf>
    <xf numFmtId="0" fontId="5" fillId="9" borderId="11" xfId="0" applyFont="1" applyFill="1" applyBorder="1" applyAlignment="1">
      <alignment horizontal="center" vertical="center"/>
    </xf>
    <xf numFmtId="165" fontId="6" fillId="8" borderId="48" xfId="0" applyNumberFormat="1" applyFont="1" applyFill="1" applyBorder="1" applyAlignment="1">
      <alignment horizontal="right" vertical="center" indent="1"/>
    </xf>
    <xf numFmtId="165" fontId="6" fillId="8" borderId="51" xfId="0" applyNumberFormat="1" applyFont="1" applyFill="1" applyBorder="1" applyAlignment="1">
      <alignment horizontal="right" vertical="center" indent="1"/>
    </xf>
    <xf numFmtId="166" fontId="8" fillId="8" borderId="27" xfId="0" applyNumberFormat="1" applyFont="1" applyFill="1" applyBorder="1" applyAlignment="1">
      <alignment horizontal="right" indent="1"/>
    </xf>
    <xf numFmtId="10" fontId="6" fillId="2" borderId="27" xfId="1" applyNumberFormat="1" applyFont="1" applyFill="1" applyBorder="1" applyAlignment="1">
      <alignment horizontal="right" indent="1"/>
    </xf>
    <xf numFmtId="0" fontId="6" fillId="3" borderId="25" xfId="0" applyFont="1" applyFill="1" applyBorder="1"/>
    <xf numFmtId="0" fontId="6" fillId="3" borderId="15" xfId="0" applyFont="1" applyFill="1" applyBorder="1"/>
    <xf numFmtId="0" fontId="6" fillId="3" borderId="16" xfId="0" applyFont="1" applyFill="1" applyBorder="1"/>
    <xf numFmtId="0" fontId="14" fillId="0" borderId="0" xfId="1" applyNumberFormat="1" applyFont="1" applyFill="1"/>
    <xf numFmtId="0" fontId="0" fillId="3" borderId="4" xfId="0" applyFill="1" applyBorder="1"/>
    <xf numFmtId="0" fontId="0" fillId="3" borderId="32" xfId="0" applyFill="1" applyBorder="1"/>
    <xf numFmtId="0" fontId="0" fillId="3" borderId="6" xfId="0" applyFill="1" applyBorder="1"/>
    <xf numFmtId="0" fontId="14" fillId="8" borderId="0" xfId="0" applyFont="1" applyFill="1"/>
    <xf numFmtId="168" fontId="5" fillId="3" borderId="34" xfId="0" applyNumberFormat="1" applyFont="1" applyFill="1" applyBorder="1" applyAlignment="1">
      <alignment vertical="center"/>
    </xf>
    <xf numFmtId="0" fontId="2" fillId="3" borderId="2" xfId="0" applyFont="1" applyFill="1" applyBorder="1"/>
    <xf numFmtId="10" fontId="14" fillId="11" borderId="0" xfId="0" applyNumberFormat="1" applyFont="1" applyFill="1"/>
    <xf numFmtId="0" fontId="14" fillId="11" borderId="0" xfId="0" applyFont="1" applyFill="1"/>
    <xf numFmtId="0" fontId="14" fillId="4" borderId="0" xfId="0" applyFont="1" applyFill="1"/>
    <xf numFmtId="0" fontId="5" fillId="7" borderId="31" xfId="0" applyFont="1" applyFill="1" applyBorder="1" applyAlignment="1">
      <alignment horizontal="left"/>
    </xf>
    <xf numFmtId="0" fontId="4" fillId="7" borderId="32" xfId="0" applyFont="1" applyFill="1" applyBorder="1" applyAlignment="1">
      <alignment horizontal="center"/>
    </xf>
    <xf numFmtId="2" fontId="5" fillId="3" borderId="0" xfId="0" applyNumberFormat="1" applyFont="1" applyFill="1" applyAlignment="1">
      <alignment vertical="center"/>
    </xf>
    <xf numFmtId="2" fontId="6" fillId="3" borderId="0" xfId="0" applyNumberFormat="1" applyFont="1" applyFill="1"/>
    <xf numFmtId="0" fontId="6" fillId="3" borderId="6" xfId="0" applyFont="1" applyFill="1" applyBorder="1"/>
    <xf numFmtId="0" fontId="5" fillId="6" borderId="14" xfId="0" applyFont="1" applyFill="1" applyBorder="1" applyAlignment="1">
      <alignment horizontal="center" vertical="center"/>
    </xf>
    <xf numFmtId="0" fontId="7" fillId="3" borderId="32" xfId="0" applyFont="1" applyFill="1" applyBorder="1"/>
    <xf numFmtId="0" fontId="18" fillId="7" borderId="7" xfId="0" applyFont="1" applyFill="1" applyBorder="1" applyAlignment="1">
      <alignment vertical="center"/>
    </xf>
    <xf numFmtId="0" fontId="0" fillId="4" borderId="12" xfId="0" applyFill="1" applyBorder="1"/>
    <xf numFmtId="0" fontId="14" fillId="5" borderId="0" xfId="1" applyNumberFormat="1" applyFont="1" applyFill="1"/>
    <xf numFmtId="0" fontId="14" fillId="3" borderId="0" xfId="1" applyNumberFormat="1" applyFont="1" applyFill="1"/>
    <xf numFmtId="14" fontId="14" fillId="11" borderId="0" xfId="0" applyNumberFormat="1" applyFont="1" applyFill="1"/>
    <xf numFmtId="0" fontId="14" fillId="10" borderId="0" xfId="0" applyFont="1" applyFill="1"/>
    <xf numFmtId="0" fontId="14" fillId="13" borderId="0" xfId="0" applyFont="1" applyFill="1"/>
    <xf numFmtId="10" fontId="14" fillId="13" borderId="0" xfId="0" applyNumberFormat="1" applyFont="1" applyFill="1"/>
    <xf numFmtId="14" fontId="14" fillId="13" borderId="0" xfId="0" applyNumberFormat="1" applyFont="1" applyFill="1"/>
    <xf numFmtId="0" fontId="14" fillId="14" borderId="0" xfId="0" applyFont="1" applyFill="1"/>
    <xf numFmtId="10" fontId="14" fillId="14" borderId="0" xfId="0" applyNumberFormat="1" applyFont="1" applyFill="1"/>
    <xf numFmtId="14" fontId="14" fillId="14" borderId="0" xfId="0" applyNumberFormat="1" applyFont="1" applyFill="1"/>
    <xf numFmtId="0" fontId="19" fillId="3" borderId="0" xfId="0" applyFont="1" applyFill="1"/>
    <xf numFmtId="0" fontId="19" fillId="3" borderId="0" xfId="0" applyFont="1" applyFill="1" applyAlignment="1">
      <alignment horizontal="center"/>
    </xf>
    <xf numFmtId="0" fontId="14" fillId="15" borderId="0" xfId="0" applyFont="1" applyFill="1"/>
    <xf numFmtId="0" fontId="19" fillId="6" borderId="0" xfId="0" applyFont="1" applyFill="1"/>
    <xf numFmtId="0" fontId="14" fillId="16" borderId="0" xfId="0" applyFont="1" applyFill="1"/>
    <xf numFmtId="0" fontId="5" fillId="7" borderId="7" xfId="0" applyFont="1" applyFill="1" applyBorder="1" applyAlignment="1">
      <alignment horizontal="center"/>
    </xf>
    <xf numFmtId="0" fontId="14" fillId="6" borderId="0" xfId="0" applyFont="1" applyFill="1" applyAlignment="1">
      <alignment horizontal="center"/>
    </xf>
    <xf numFmtId="10" fontId="14" fillId="6" borderId="0" xfId="0" applyNumberFormat="1" applyFont="1" applyFill="1" applyAlignment="1">
      <alignment horizontal="center"/>
    </xf>
    <xf numFmtId="1" fontId="14" fillId="6" borderId="0" xfId="0" applyNumberFormat="1" applyFont="1" applyFill="1" applyAlignment="1">
      <alignment horizontal="center"/>
    </xf>
    <xf numFmtId="10" fontId="14" fillId="6" borderId="0" xfId="1" applyNumberFormat="1" applyFont="1" applyFill="1" applyAlignment="1">
      <alignment horizontal="center"/>
    </xf>
    <xf numFmtId="167" fontId="14" fillId="6" borderId="0" xfId="0" applyNumberFormat="1" applyFont="1" applyFill="1" applyAlignment="1">
      <alignment horizontal="center"/>
    </xf>
    <xf numFmtId="0" fontId="14" fillId="6" borderId="0" xfId="0" applyFont="1" applyFill="1"/>
    <xf numFmtId="10" fontId="14" fillId="6" borderId="0" xfId="0" applyNumberFormat="1" applyFont="1" applyFill="1"/>
    <xf numFmtId="14" fontId="14" fillId="6" borderId="0" xfId="0" applyNumberFormat="1" applyFont="1" applyFill="1"/>
    <xf numFmtId="0" fontId="19" fillId="8" borderId="0" xfId="0" applyFont="1" applyFill="1" applyAlignment="1">
      <alignment horizontal="center"/>
    </xf>
    <xf numFmtId="10" fontId="14" fillId="15" borderId="0" xfId="0" applyNumberFormat="1" applyFont="1" applyFill="1"/>
    <xf numFmtId="14" fontId="14" fillId="15" borderId="0" xfId="0" applyNumberFormat="1" applyFont="1" applyFill="1"/>
    <xf numFmtId="0" fontId="0" fillId="4" borderId="55" xfId="0" applyFill="1" applyBorder="1"/>
    <xf numFmtId="0" fontId="0" fillId="4" borderId="56" xfId="0" applyFill="1" applyBorder="1"/>
    <xf numFmtId="0" fontId="0" fillId="4" borderId="57" xfId="0" applyFill="1" applyBorder="1"/>
    <xf numFmtId="0" fontId="0" fillId="4" borderId="59" xfId="0" applyFill="1" applyBorder="1"/>
    <xf numFmtId="0" fontId="0" fillId="4" borderId="58" xfId="0" applyFill="1" applyBorder="1"/>
    <xf numFmtId="0" fontId="0" fillId="4" borderId="60" xfId="0" applyFill="1" applyBorder="1"/>
    <xf numFmtId="0" fontId="0" fillId="4" borderId="61" xfId="0" applyFill="1" applyBorder="1"/>
    <xf numFmtId="0" fontId="6" fillId="8" borderId="25" xfId="0" applyFont="1" applyFill="1" applyBorder="1"/>
    <xf numFmtId="0" fontId="0" fillId="4" borderId="62" xfId="0" applyFill="1" applyBorder="1"/>
    <xf numFmtId="0" fontId="0" fillId="4" borderId="63" xfId="0" applyFill="1" applyBorder="1"/>
    <xf numFmtId="0" fontId="0" fillId="0" borderId="4" xfId="0" applyBorder="1"/>
    <xf numFmtId="0" fontId="6" fillId="8" borderId="15" xfId="1" applyNumberFormat="1" applyFont="1" applyFill="1" applyBorder="1"/>
    <xf numFmtId="0" fontId="0" fillId="4" borderId="64" xfId="0" applyFill="1" applyBorder="1"/>
    <xf numFmtId="0" fontId="0" fillId="4" borderId="65" xfId="0" applyFill="1" applyBorder="1"/>
    <xf numFmtId="0" fontId="6" fillId="8" borderId="66" xfId="0" applyFont="1" applyFill="1" applyBorder="1" applyAlignment="1">
      <alignment horizontal="right"/>
    </xf>
    <xf numFmtId="0" fontId="0" fillId="4" borderId="67" xfId="0" applyFill="1" applyBorder="1"/>
    <xf numFmtId="0" fontId="0" fillId="4" borderId="68" xfId="0" applyFill="1" applyBorder="1"/>
    <xf numFmtId="0" fontId="6" fillId="8" borderId="16" xfId="0" applyFont="1" applyFill="1" applyBorder="1"/>
    <xf numFmtId="1" fontId="6" fillId="10" borderId="15" xfId="0" applyNumberFormat="1" applyFont="1" applyFill="1" applyBorder="1"/>
    <xf numFmtId="0" fontId="6" fillId="10" borderId="36" xfId="0" applyFont="1" applyFill="1" applyBorder="1"/>
    <xf numFmtId="0" fontId="6" fillId="7" borderId="12" xfId="0" applyFont="1" applyFill="1" applyBorder="1"/>
    <xf numFmtId="0" fontId="18" fillId="7" borderId="11" xfId="0" applyFont="1" applyFill="1" applyBorder="1"/>
    <xf numFmtId="0" fontId="6" fillId="3" borderId="1" xfId="0" applyFont="1" applyFill="1" applyBorder="1"/>
    <xf numFmtId="0" fontId="6" fillId="3" borderId="31" xfId="0" applyFont="1" applyFill="1" applyBorder="1"/>
    <xf numFmtId="0" fontId="6" fillId="6" borderId="69" xfId="0" applyFont="1" applyFill="1" applyBorder="1"/>
    <xf numFmtId="0" fontId="6" fillId="2" borderId="48" xfId="0" applyFont="1" applyFill="1" applyBorder="1" applyAlignment="1">
      <alignment horizontal="right" indent="1"/>
    </xf>
    <xf numFmtId="0" fontId="6" fillId="3" borderId="3" xfId="0" applyFont="1" applyFill="1" applyBorder="1"/>
    <xf numFmtId="0" fontId="6" fillId="3" borderId="4" xfId="0" applyFont="1" applyFill="1" applyBorder="1"/>
    <xf numFmtId="0" fontId="6" fillId="6" borderId="70" xfId="0" applyFont="1" applyFill="1" applyBorder="1"/>
    <xf numFmtId="0" fontId="6" fillId="2" borderId="51" xfId="0" applyFont="1" applyFill="1" applyBorder="1" applyAlignment="1">
      <alignment horizontal="right" indent="1"/>
    </xf>
    <xf numFmtId="2" fontId="6" fillId="8" borderId="10" xfId="0" applyNumberFormat="1" applyFont="1" applyFill="1" applyBorder="1" applyAlignment="1">
      <alignment horizontal="right" indent="1"/>
    </xf>
    <xf numFmtId="2" fontId="14" fillId="0" borderId="0" xfId="0" applyNumberFormat="1" applyFont="1"/>
    <xf numFmtId="2" fontId="14" fillId="10" borderId="0" xfId="0" applyNumberFormat="1" applyFont="1" applyFill="1"/>
    <xf numFmtId="2" fontId="14" fillId="5" borderId="0" xfId="0" applyNumberFormat="1" applyFont="1" applyFill="1"/>
    <xf numFmtId="2" fontId="14" fillId="3" borderId="0" xfId="0" applyNumberFormat="1" applyFont="1" applyFill="1"/>
    <xf numFmtId="2" fontId="0" fillId="0" borderId="0" xfId="0" applyNumberFormat="1"/>
    <xf numFmtId="169" fontId="6" fillId="2" borderId="8" xfId="0" applyNumberFormat="1" applyFont="1" applyFill="1" applyBorder="1" applyAlignment="1">
      <alignment horizontal="right" vertical="center" indent="1"/>
    </xf>
    <xf numFmtId="1" fontId="6" fillId="6" borderId="10" xfId="0" applyNumberFormat="1" applyFont="1" applyFill="1" applyBorder="1" applyAlignment="1">
      <alignment horizontal="right" indent="1"/>
    </xf>
    <xf numFmtId="165" fontId="6" fillId="6" borderId="10" xfId="0" applyNumberFormat="1" applyFont="1" applyFill="1" applyBorder="1" applyAlignment="1">
      <alignment horizontal="right" indent="1"/>
    </xf>
    <xf numFmtId="0" fontId="8" fillId="7" borderId="6" xfId="0" applyFont="1" applyFill="1" applyBorder="1" applyAlignment="1">
      <alignment horizontal="right" indent="1"/>
    </xf>
    <xf numFmtId="0" fontId="5" fillId="6" borderId="45" xfId="0" applyFont="1" applyFill="1" applyBorder="1" applyAlignment="1">
      <alignment horizontal="center" vertical="center"/>
    </xf>
    <xf numFmtId="165" fontId="6" fillId="6" borderId="46" xfId="0" applyNumberFormat="1" applyFont="1" applyFill="1" applyBorder="1" applyAlignment="1">
      <alignment horizontal="right" vertical="center" indent="1"/>
    </xf>
    <xf numFmtId="0" fontId="0" fillId="4" borderId="7" xfId="0" applyFill="1" applyBorder="1"/>
    <xf numFmtId="14" fontId="8" fillId="2" borderId="34" xfId="0" applyNumberFormat="1" applyFont="1" applyFill="1" applyBorder="1" applyAlignment="1">
      <alignment horizontal="center" vertical="center"/>
    </xf>
    <xf numFmtId="170" fontId="8" fillId="2" borderId="71" xfId="0" applyNumberFormat="1" applyFont="1" applyFill="1" applyBorder="1" applyAlignment="1">
      <alignment horizontal="center" vertical="center"/>
    </xf>
    <xf numFmtId="165" fontId="6" fillId="11" borderId="8" xfId="0" applyNumberFormat="1" applyFont="1" applyFill="1" applyBorder="1" applyAlignment="1">
      <alignment horizontal="center" vertical="center"/>
    </xf>
    <xf numFmtId="0" fontId="3" fillId="6" borderId="1" xfId="0" applyFont="1" applyFill="1" applyBorder="1"/>
    <xf numFmtId="0" fontId="0" fillId="6" borderId="2" xfId="0" applyFill="1" applyBorder="1"/>
    <xf numFmtId="0" fontId="8" fillId="17" borderId="2" xfId="0" applyFont="1" applyFill="1" applyBorder="1"/>
    <xf numFmtId="0" fontId="0" fillId="17" borderId="2" xfId="0" applyFill="1" applyBorder="1"/>
    <xf numFmtId="0" fontId="8" fillId="6" borderId="2" xfId="0" applyFont="1" applyFill="1" applyBorder="1"/>
    <xf numFmtId="0" fontId="13" fillId="6" borderId="2" xfId="2" applyFont="1" applyFill="1" applyBorder="1" applyAlignment="1">
      <alignment horizontal="center" vertical="center"/>
    </xf>
    <xf numFmtId="0" fontId="12" fillId="6" borderId="2" xfId="0" applyFont="1" applyFill="1" applyBorder="1"/>
    <xf numFmtId="0" fontId="0" fillId="6" borderId="31" xfId="0" applyFill="1" applyBorder="1"/>
    <xf numFmtId="169" fontId="6" fillId="8" borderId="35" xfId="0" applyNumberFormat="1" applyFont="1" applyFill="1" applyBorder="1" applyAlignment="1">
      <alignment horizontal="right" vertical="center" indent="1"/>
    </xf>
    <xf numFmtId="0" fontId="18" fillId="7" borderId="7" xfId="0" applyFont="1" applyFill="1" applyBorder="1" applyAlignment="1">
      <alignment horizontal="center" vertical="center"/>
    </xf>
    <xf numFmtId="0" fontId="8" fillId="3" borderId="0" xfId="0" applyFont="1" applyFill="1"/>
    <xf numFmtId="2" fontId="8" fillId="3" borderId="0" xfId="0" applyNumberFormat="1" applyFont="1" applyFill="1"/>
    <xf numFmtId="166" fontId="8" fillId="8" borderId="8" xfId="0" applyNumberFormat="1" applyFont="1" applyFill="1" applyBorder="1" applyAlignment="1">
      <alignment horizontal="right" indent="1"/>
    </xf>
    <xf numFmtId="166" fontId="8" fillId="8" borderId="76" xfId="0" applyNumberFormat="1" applyFont="1" applyFill="1" applyBorder="1" applyAlignment="1">
      <alignment horizontal="right" indent="1"/>
    </xf>
    <xf numFmtId="0" fontId="0" fillId="4" borderId="31" xfId="0" applyFill="1" applyBorder="1"/>
    <xf numFmtId="0" fontId="0" fillId="4" borderId="4" xfId="0" applyFill="1" applyBorder="1"/>
    <xf numFmtId="0" fontId="0" fillId="4" borderId="32" xfId="0" applyFill="1" applyBorder="1"/>
    <xf numFmtId="0" fontId="5" fillId="7" borderId="7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0" fontId="18" fillId="7" borderId="7" xfId="0" applyFont="1" applyFill="1" applyBorder="1" applyAlignment="1">
      <alignment horizontal="right" vertical="center"/>
    </xf>
    <xf numFmtId="0" fontId="18" fillId="6" borderId="9" xfId="0" applyFont="1" applyFill="1" applyBorder="1" applyAlignment="1">
      <alignment horizontal="left" vertical="center" indent="1"/>
    </xf>
    <xf numFmtId="0" fontId="18" fillId="3" borderId="9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6" fillId="6" borderId="13" xfId="0" applyFont="1" applyFill="1" applyBorder="1" applyAlignment="1">
      <alignment vertical="center"/>
    </xf>
    <xf numFmtId="0" fontId="17" fillId="7" borderId="11" xfId="0" applyFont="1" applyFill="1" applyBorder="1" applyAlignment="1">
      <alignment vertical="center"/>
    </xf>
    <xf numFmtId="0" fontId="17" fillId="7" borderId="73" xfId="0" applyFont="1" applyFill="1" applyBorder="1" applyAlignment="1">
      <alignment vertical="center"/>
    </xf>
    <xf numFmtId="0" fontId="17" fillId="3" borderId="3" xfId="0" applyFont="1" applyFill="1" applyBorder="1" applyAlignment="1">
      <alignment vertical="center"/>
    </xf>
    <xf numFmtId="0" fontId="0" fillId="3" borderId="31" xfId="0" applyFill="1" applyBorder="1"/>
    <xf numFmtId="0" fontId="5" fillId="7" borderId="1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vertical="center"/>
    </xf>
    <xf numFmtId="0" fontId="18" fillId="7" borderId="12" xfId="0" applyFont="1" applyFill="1" applyBorder="1" applyAlignment="1">
      <alignment horizontal="center" vertical="center"/>
    </xf>
    <xf numFmtId="0" fontId="8" fillId="3" borderId="4" xfId="0" applyFont="1" applyFill="1" applyBorder="1"/>
    <xf numFmtId="0" fontId="6" fillId="3" borderId="32" xfId="0" applyFont="1" applyFill="1" applyBorder="1"/>
    <xf numFmtId="0" fontId="13" fillId="6" borderId="31" xfId="2" applyFont="1" applyFill="1" applyBorder="1" applyAlignment="1">
      <alignment horizontal="center" vertical="center"/>
    </xf>
    <xf numFmtId="166" fontId="8" fillId="8" borderId="77" xfId="0" applyNumberFormat="1" applyFont="1" applyFill="1" applyBorder="1" applyAlignment="1">
      <alignment horizontal="right" indent="1"/>
    </xf>
    <xf numFmtId="0" fontId="5" fillId="3" borderId="31" xfId="0" applyFont="1" applyFill="1" applyBorder="1" applyAlignment="1">
      <alignment vertical="center"/>
    </xf>
    <xf numFmtId="1" fontId="6" fillId="6" borderId="77" xfId="0" applyNumberFormat="1" applyFont="1" applyFill="1" applyBorder="1" applyAlignment="1">
      <alignment horizontal="right" indent="1"/>
    </xf>
    <xf numFmtId="0" fontId="17" fillId="3" borderId="4" xfId="0" applyFont="1" applyFill="1" applyBorder="1" applyAlignment="1">
      <alignment vertical="center"/>
    </xf>
    <xf numFmtId="169" fontId="8" fillId="8" borderId="7" xfId="0" applyNumberFormat="1" applyFont="1" applyFill="1" applyBorder="1" applyAlignment="1">
      <alignment horizontal="right" vertical="center" indent="1"/>
    </xf>
    <xf numFmtId="2" fontId="8" fillId="8" borderId="8" xfId="0" applyNumberFormat="1" applyFont="1" applyFill="1" applyBorder="1" applyAlignment="1">
      <alignment horizontal="right" vertical="center"/>
    </xf>
    <xf numFmtId="166" fontId="8" fillId="8" borderId="14" xfId="0" applyNumberFormat="1" applyFont="1" applyFill="1" applyBorder="1" applyAlignment="1">
      <alignment horizontal="right" vertical="center"/>
    </xf>
    <xf numFmtId="2" fontId="8" fillId="3" borderId="0" xfId="0" applyNumberFormat="1" applyFont="1" applyFill="1" applyAlignment="1">
      <alignment vertical="center"/>
    </xf>
    <xf numFmtId="0" fontId="8" fillId="3" borderId="4" xfId="0" applyFont="1" applyFill="1" applyBorder="1" applyAlignment="1">
      <alignment vertical="center"/>
    </xf>
    <xf numFmtId="166" fontId="8" fillId="8" borderId="74" xfId="0" applyNumberFormat="1" applyFont="1" applyFill="1" applyBorder="1" applyAlignment="1">
      <alignment horizontal="right" indent="1"/>
    </xf>
    <xf numFmtId="0" fontId="8" fillId="7" borderId="7" xfId="0" applyFont="1" applyFill="1" applyBorder="1" applyAlignment="1">
      <alignment vertical="center"/>
    </xf>
    <xf numFmtId="166" fontId="8" fillId="8" borderId="75" xfId="0" applyNumberFormat="1" applyFont="1" applyFill="1" applyBorder="1" applyAlignment="1">
      <alignment horizontal="right" indent="1"/>
    </xf>
    <xf numFmtId="166" fontId="8" fillId="8" borderId="28" xfId="0" applyNumberFormat="1" applyFont="1" applyFill="1" applyBorder="1" applyAlignment="1">
      <alignment horizontal="right" indent="1"/>
    </xf>
    <xf numFmtId="166" fontId="8" fillId="8" borderId="26" xfId="0" applyNumberFormat="1" applyFont="1" applyFill="1" applyBorder="1" applyAlignment="1">
      <alignment horizontal="right" indent="1"/>
    </xf>
    <xf numFmtId="166" fontId="8" fillId="8" borderId="78" xfId="0" applyNumberFormat="1" applyFont="1" applyFill="1" applyBorder="1" applyAlignment="1">
      <alignment horizontal="right" indent="1"/>
    </xf>
    <xf numFmtId="166" fontId="8" fillId="8" borderId="46" xfId="0" applyNumberFormat="1" applyFont="1" applyFill="1" applyBorder="1" applyAlignment="1">
      <alignment horizontal="right" indent="1"/>
    </xf>
    <xf numFmtId="0" fontId="5" fillId="6" borderId="3" xfId="0" applyFont="1" applyFill="1" applyBorder="1" applyAlignment="1">
      <alignment vertical="center"/>
    </xf>
    <xf numFmtId="0" fontId="5" fillId="6" borderId="4" xfId="0" applyFont="1" applyFill="1" applyBorder="1" applyAlignment="1">
      <alignment vertical="center"/>
    </xf>
    <xf numFmtId="0" fontId="5" fillId="6" borderId="5" xfId="0" applyFont="1" applyFill="1" applyBorder="1" applyAlignment="1">
      <alignment vertical="center"/>
    </xf>
    <xf numFmtId="0" fontId="5" fillId="6" borderId="32" xfId="0" applyFont="1" applyFill="1" applyBorder="1" applyAlignment="1">
      <alignment vertical="center"/>
    </xf>
    <xf numFmtId="0" fontId="21" fillId="3" borderId="0" xfId="0" applyFont="1" applyFill="1"/>
    <xf numFmtId="0" fontId="0" fillId="0" borderId="0" xfId="0" quotePrefix="1"/>
    <xf numFmtId="0" fontId="24" fillId="3" borderId="0" xfId="0" applyFont="1" applyFill="1"/>
    <xf numFmtId="0" fontId="24" fillId="3" borderId="4" xfId="0" applyFont="1" applyFill="1" applyBorder="1"/>
    <xf numFmtId="0" fontId="24" fillId="3" borderId="0" xfId="0" applyFont="1" applyFill="1" applyAlignment="1">
      <alignment horizontal="center"/>
    </xf>
    <xf numFmtId="0" fontId="24" fillId="3" borderId="4" xfId="0" applyFont="1" applyFill="1" applyBorder="1" applyAlignment="1">
      <alignment horizontal="center"/>
    </xf>
    <xf numFmtId="169" fontId="6" fillId="2" borderId="50" xfId="0" applyNumberFormat="1" applyFont="1" applyFill="1" applyBorder="1" applyAlignment="1">
      <alignment horizontal="right" vertical="center" indent="1"/>
    </xf>
    <xf numFmtId="0" fontId="3" fillId="3" borderId="11" xfId="0" applyFont="1" applyFill="1" applyBorder="1"/>
    <xf numFmtId="0" fontId="0" fillId="0" borderId="7" xfId="0" applyBorder="1"/>
    <xf numFmtId="0" fontId="5" fillId="7" borderId="7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5" fillId="7" borderId="11" xfId="0" applyFont="1" applyFill="1" applyBorder="1" applyAlignment="1">
      <alignment horizontal="left" vertical="center" indent="1"/>
    </xf>
    <xf numFmtId="0" fontId="6" fillId="7" borderId="12" xfId="0" applyFont="1" applyFill="1" applyBorder="1" applyAlignment="1">
      <alignment horizontal="left" vertical="center" indent="1"/>
    </xf>
    <xf numFmtId="0" fontId="8" fillId="12" borderId="7" xfId="0" applyFont="1" applyFill="1" applyBorder="1"/>
    <xf numFmtId="0" fontId="0" fillId="12" borderId="7" xfId="0" applyFill="1" applyBorder="1"/>
    <xf numFmtId="165" fontId="6" fillId="6" borderId="72" xfId="0" applyNumberFormat="1" applyFont="1" applyFill="1" applyBorder="1" applyAlignment="1">
      <alignment horizontal="left" vertical="center" indent="1"/>
    </xf>
    <xf numFmtId="0" fontId="0" fillId="6" borderId="9" xfId="0" applyFill="1" applyBorder="1" applyAlignment="1">
      <alignment horizontal="left" indent="1"/>
    </xf>
    <xf numFmtId="0" fontId="0" fillId="6" borderId="14" xfId="0" applyFill="1" applyBorder="1" applyAlignment="1">
      <alignment horizontal="left" indent="1"/>
    </xf>
    <xf numFmtId="0" fontId="22" fillId="3" borderId="0" xfId="2" applyFont="1" applyFill="1" applyBorder="1" applyAlignment="1">
      <alignment horizontal="center"/>
    </xf>
    <xf numFmtId="0" fontId="23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0" fontId="13" fillId="4" borderId="7" xfId="2" applyFont="1" applyFill="1" applyBorder="1" applyAlignment="1">
      <alignment horizontal="center" vertical="center"/>
    </xf>
    <xf numFmtId="0" fontId="0" fillId="0" borderId="73" xfId="0" applyBorder="1"/>
    <xf numFmtId="0" fontId="8" fillId="4" borderId="7" xfId="0" applyFont="1" applyFill="1" applyBorder="1"/>
    <xf numFmtId="0" fontId="6" fillId="6" borderId="9" xfId="0" applyFont="1" applyFill="1" applyBorder="1" applyAlignment="1">
      <alignment horizontal="left" vertical="center" indent="1"/>
    </xf>
    <xf numFmtId="0" fontId="6" fillId="0" borderId="9" xfId="0" applyFont="1" applyBorder="1" applyAlignment="1">
      <alignment horizontal="left" vertical="center" indent="1"/>
    </xf>
    <xf numFmtId="0" fontId="6" fillId="0" borderId="14" xfId="0" applyFont="1" applyBorder="1" applyAlignment="1">
      <alignment horizontal="left" vertical="center" indent="1"/>
    </xf>
  </cellXfs>
  <cellStyles count="3">
    <cellStyle name="Hyperlink" xfId="2" builtinId="8"/>
    <cellStyle name="Normal" xfId="0" builtinId="0"/>
    <cellStyle name="Percent" xfId="1" builtinId="5"/>
  </cellStyles>
  <dxfs count="49"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5" formatCode="#,##0_ ;[Red]\-#,##0\ "/>
    </dxf>
    <dxf>
      <numFmt numFmtId="165" formatCode="#,##0_ ;[Red]\-#,##0\ "/>
    </dxf>
    <dxf>
      <numFmt numFmtId="167" formatCode="#,##0.0000_ ;[Red]\-#,##0.0000\ "/>
    </dxf>
    <dxf>
      <numFmt numFmtId="167" formatCode="#,##0.0000_ ;[Red]\-#,##0.0000\ "/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5" formatCode="#,##0_ ;[Red]\-#,##0\ "/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7" formatCode="#,##0.0000_ ;[Red]\-#,##0.0000\ "/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5" formatCode="#,##0_ ;[Red]\-#,##0\ "/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7" formatCode="#,##0.0000_ ;[Red]\-#,##0.0000\ "/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5" formatCode="#,##0_ ;[Red]\-#,##0\ "/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7" formatCode="#,##0.0000_ ;[Red]\-#,##0.0000\ "/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5" formatCode="#,##0_ ;[Red]\-#,##0\ "/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numFmt numFmtId="167" formatCode="#,##0.0000_ ;[Red]\-#,##0.0000\ "/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5" formatCode="#,##0_ ;[Red]\-#,##0\ "/>
    </dxf>
    <dxf>
      <font>
        <color theme="0" tint="-0.14996795556505021"/>
      </font>
      <fill>
        <patternFill>
          <bgColor theme="0" tint="-0.14996795556505021"/>
        </patternFill>
      </fill>
      <border>
        <vertical/>
        <horizontal/>
      </border>
    </dxf>
    <dxf>
      <numFmt numFmtId="165" formatCode="#,##0_ ;[Red]\-#,##0\ "/>
    </dxf>
  </dxfs>
  <tableStyles count="0" defaultTableStyle="TableStyleMedium2" defaultPivotStyle="PivotStyleLight16"/>
  <colors>
    <mruColors>
      <color rgb="FF99FF66"/>
      <color rgb="FFDF0000"/>
      <color rgb="FF00CC00"/>
      <color rgb="FF66FF33"/>
      <color rgb="FF003300"/>
      <color rgb="FFFF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928687103761137E-2"/>
          <c:y val="4.5830834613165616E-2"/>
          <c:w val="0.91700611448660407"/>
          <c:h val="0.86541105992874812"/>
        </c:manualLayout>
      </c:layout>
      <c:lineChart>
        <c:grouping val="standard"/>
        <c:varyColors val="0"/>
        <c:ser>
          <c:idx val="0"/>
          <c:order val="0"/>
          <c:tx>
            <c:v>OSS</c:v>
          </c:tx>
          <c:spPr>
            <a:ln w="28575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OSS!$EF$49:$EF$150</c:f>
              <c:numCache>
                <c:formatCode>General</c:formatCode>
                <c:ptCount val="101"/>
                <c:pt idx="0">
                  <c:v>60</c:v>
                </c:pt>
                <c:pt idx="1">
                  <c:v>60.5</c:v>
                </c:pt>
                <c:pt idx="2">
                  <c:v>61</c:v>
                </c:pt>
                <c:pt idx="3">
                  <c:v>61.5</c:v>
                </c:pt>
                <c:pt idx="4">
                  <c:v>62</c:v>
                </c:pt>
                <c:pt idx="5">
                  <c:v>62.5</c:v>
                </c:pt>
                <c:pt idx="6">
                  <c:v>63</c:v>
                </c:pt>
                <c:pt idx="7">
                  <c:v>63.5</c:v>
                </c:pt>
                <c:pt idx="8">
                  <c:v>64</c:v>
                </c:pt>
                <c:pt idx="9">
                  <c:v>64.5</c:v>
                </c:pt>
                <c:pt idx="10">
                  <c:v>65</c:v>
                </c:pt>
                <c:pt idx="11">
                  <c:v>65.5</c:v>
                </c:pt>
                <c:pt idx="12">
                  <c:v>66</c:v>
                </c:pt>
                <c:pt idx="13">
                  <c:v>66.5</c:v>
                </c:pt>
                <c:pt idx="14">
                  <c:v>67</c:v>
                </c:pt>
                <c:pt idx="15">
                  <c:v>67.5</c:v>
                </c:pt>
                <c:pt idx="16">
                  <c:v>68</c:v>
                </c:pt>
                <c:pt idx="17">
                  <c:v>68.5</c:v>
                </c:pt>
                <c:pt idx="18">
                  <c:v>69</c:v>
                </c:pt>
                <c:pt idx="19">
                  <c:v>69.5</c:v>
                </c:pt>
                <c:pt idx="20">
                  <c:v>70</c:v>
                </c:pt>
                <c:pt idx="21">
                  <c:v>70.5</c:v>
                </c:pt>
                <c:pt idx="22">
                  <c:v>71</c:v>
                </c:pt>
                <c:pt idx="23">
                  <c:v>71.5</c:v>
                </c:pt>
                <c:pt idx="24">
                  <c:v>72</c:v>
                </c:pt>
                <c:pt idx="25">
                  <c:v>72.5</c:v>
                </c:pt>
                <c:pt idx="26">
                  <c:v>73</c:v>
                </c:pt>
                <c:pt idx="27">
                  <c:v>73.5</c:v>
                </c:pt>
                <c:pt idx="28">
                  <c:v>74</c:v>
                </c:pt>
                <c:pt idx="29">
                  <c:v>74.5</c:v>
                </c:pt>
                <c:pt idx="30">
                  <c:v>75</c:v>
                </c:pt>
                <c:pt idx="31">
                  <c:v>75.5</c:v>
                </c:pt>
                <c:pt idx="32">
                  <c:v>76</c:v>
                </c:pt>
                <c:pt idx="33">
                  <c:v>76.5</c:v>
                </c:pt>
                <c:pt idx="34">
                  <c:v>77</c:v>
                </c:pt>
                <c:pt idx="35">
                  <c:v>77.5</c:v>
                </c:pt>
                <c:pt idx="36">
                  <c:v>78</c:v>
                </c:pt>
                <c:pt idx="37">
                  <c:v>78.5</c:v>
                </c:pt>
                <c:pt idx="38">
                  <c:v>79</c:v>
                </c:pt>
                <c:pt idx="39">
                  <c:v>79.5</c:v>
                </c:pt>
                <c:pt idx="40">
                  <c:v>80</c:v>
                </c:pt>
                <c:pt idx="41">
                  <c:v>80.5</c:v>
                </c:pt>
                <c:pt idx="42">
                  <c:v>81</c:v>
                </c:pt>
                <c:pt idx="43">
                  <c:v>81.5</c:v>
                </c:pt>
                <c:pt idx="44">
                  <c:v>82</c:v>
                </c:pt>
                <c:pt idx="45">
                  <c:v>82.5</c:v>
                </c:pt>
                <c:pt idx="46">
                  <c:v>83</c:v>
                </c:pt>
                <c:pt idx="47">
                  <c:v>83.5</c:v>
                </c:pt>
                <c:pt idx="48">
                  <c:v>84</c:v>
                </c:pt>
                <c:pt idx="49">
                  <c:v>84.5</c:v>
                </c:pt>
                <c:pt idx="50">
                  <c:v>85</c:v>
                </c:pt>
                <c:pt idx="51">
                  <c:v>85.5</c:v>
                </c:pt>
                <c:pt idx="52">
                  <c:v>86</c:v>
                </c:pt>
                <c:pt idx="53">
                  <c:v>86.5</c:v>
                </c:pt>
                <c:pt idx="54">
                  <c:v>87</c:v>
                </c:pt>
                <c:pt idx="55">
                  <c:v>87.5</c:v>
                </c:pt>
                <c:pt idx="56">
                  <c:v>88</c:v>
                </c:pt>
                <c:pt idx="57">
                  <c:v>88.5</c:v>
                </c:pt>
                <c:pt idx="58">
                  <c:v>89</c:v>
                </c:pt>
                <c:pt idx="59">
                  <c:v>89.5</c:v>
                </c:pt>
                <c:pt idx="60">
                  <c:v>90</c:v>
                </c:pt>
                <c:pt idx="61">
                  <c:v>90.5</c:v>
                </c:pt>
                <c:pt idx="62">
                  <c:v>91</c:v>
                </c:pt>
                <c:pt idx="63">
                  <c:v>91.5</c:v>
                </c:pt>
                <c:pt idx="64">
                  <c:v>92</c:v>
                </c:pt>
                <c:pt idx="65">
                  <c:v>92.5</c:v>
                </c:pt>
                <c:pt idx="66">
                  <c:v>93</c:v>
                </c:pt>
                <c:pt idx="67">
                  <c:v>93.5</c:v>
                </c:pt>
                <c:pt idx="68">
                  <c:v>94</c:v>
                </c:pt>
                <c:pt idx="69">
                  <c:v>94.5</c:v>
                </c:pt>
                <c:pt idx="70">
                  <c:v>95</c:v>
                </c:pt>
                <c:pt idx="71">
                  <c:v>95.5</c:v>
                </c:pt>
                <c:pt idx="72">
                  <c:v>96</c:v>
                </c:pt>
                <c:pt idx="73">
                  <c:v>96.5</c:v>
                </c:pt>
                <c:pt idx="74">
                  <c:v>97</c:v>
                </c:pt>
                <c:pt idx="75">
                  <c:v>97.5</c:v>
                </c:pt>
                <c:pt idx="76">
                  <c:v>98</c:v>
                </c:pt>
                <c:pt idx="77">
                  <c:v>98.5</c:v>
                </c:pt>
                <c:pt idx="78">
                  <c:v>99</c:v>
                </c:pt>
                <c:pt idx="79">
                  <c:v>99.5</c:v>
                </c:pt>
                <c:pt idx="80">
                  <c:v>100</c:v>
                </c:pt>
                <c:pt idx="81">
                  <c:v>100.5</c:v>
                </c:pt>
                <c:pt idx="82">
                  <c:v>101</c:v>
                </c:pt>
                <c:pt idx="83">
                  <c:v>101.5</c:v>
                </c:pt>
                <c:pt idx="84">
                  <c:v>102</c:v>
                </c:pt>
                <c:pt idx="85">
                  <c:v>102.5</c:v>
                </c:pt>
                <c:pt idx="86">
                  <c:v>103</c:v>
                </c:pt>
                <c:pt idx="87">
                  <c:v>103.5</c:v>
                </c:pt>
                <c:pt idx="88">
                  <c:v>104</c:v>
                </c:pt>
                <c:pt idx="89">
                  <c:v>104.5</c:v>
                </c:pt>
                <c:pt idx="90">
                  <c:v>105</c:v>
                </c:pt>
                <c:pt idx="91">
                  <c:v>105.5</c:v>
                </c:pt>
                <c:pt idx="92">
                  <c:v>106</c:v>
                </c:pt>
                <c:pt idx="93">
                  <c:v>106.5</c:v>
                </c:pt>
                <c:pt idx="94">
                  <c:v>107</c:v>
                </c:pt>
                <c:pt idx="95">
                  <c:v>107.5</c:v>
                </c:pt>
                <c:pt idx="96">
                  <c:v>108</c:v>
                </c:pt>
                <c:pt idx="97">
                  <c:v>108.5</c:v>
                </c:pt>
                <c:pt idx="98">
                  <c:v>109</c:v>
                </c:pt>
                <c:pt idx="99">
                  <c:v>109.5</c:v>
                </c:pt>
                <c:pt idx="100">
                  <c:v>110</c:v>
                </c:pt>
              </c:numCache>
            </c:numRef>
          </c:cat>
          <c:val>
            <c:numRef>
              <c:f>OSS!$EH$49:$EH$150</c:f>
              <c:numCache>
                <c:formatCode>General</c:formatCode>
                <c:ptCount val="101"/>
                <c:pt idx="0">
                  <c:v>-424.93612330836095</c:v>
                </c:pt>
                <c:pt idx="1">
                  <c:v>-411.47283074425559</c:v>
                </c:pt>
                <c:pt idx="2">
                  <c:v>-397.4716682319654</c:v>
                </c:pt>
                <c:pt idx="3">
                  <c:v>-382.94852449325299</c:v>
                </c:pt>
                <c:pt idx="4">
                  <c:v>-367.9221173883725</c:v>
                </c:pt>
                <c:pt idx="5">
                  <c:v>-352.41393825359501</c:v>
                </c:pt>
                <c:pt idx="6">
                  <c:v>-336.44817531035551</c:v>
                </c:pt>
                <c:pt idx="7">
                  <c:v>-320.05161697566655</c:v>
                </c:pt>
                <c:pt idx="8">
                  <c:v>-303.25353609694776</c:v>
                </c:pt>
                <c:pt idx="9">
                  <c:v>-286.08555631077752</c:v>
                </c:pt>
                <c:pt idx="10">
                  <c:v>-268.58150188015634</c:v>
                </c:pt>
                <c:pt idx="11">
                  <c:v>-250.77723249952487</c:v>
                </c:pt>
                <c:pt idx="12">
                  <c:v>-232.71046466848429</c:v>
                </c:pt>
                <c:pt idx="13">
                  <c:v>-214.4205813254689</c:v>
                </c:pt>
                <c:pt idx="14">
                  <c:v>-195.94843149913686</c:v>
                </c:pt>
                <c:pt idx="15">
                  <c:v>-177.33612178060821</c:v>
                </c:pt>
                <c:pt idx="16">
                  <c:v>-158.62680144252636</c:v>
                </c:pt>
                <c:pt idx="17">
                  <c:v>-139.86444303350709</c:v>
                </c:pt>
                <c:pt idx="18">
                  <c:v>-121.09362025915379</c:v>
                </c:pt>
                <c:pt idx="19">
                  <c:v>-102.3592849244651</c:v>
                </c:pt>
                <c:pt idx="20">
                  <c:v>-83.706544660098643</c:v>
                </c:pt>
                <c:pt idx="21">
                  <c:v>-65.180443086378091</c:v>
                </c:pt>
                <c:pt idx="22">
                  <c:v>-46.825743986506041</c:v>
                </c:pt>
                <c:pt idx="23">
                  <c:v>-28.686720966586563</c:v>
                </c:pt>
                <c:pt idx="24">
                  <c:v>-10.806953975648412</c:v>
                </c:pt>
                <c:pt idx="25">
                  <c:v>6.7708660543253245</c:v>
                </c:pt>
                <c:pt idx="26">
                  <c:v>24.005123307402755</c:v>
                </c:pt>
                <c:pt idx="27">
                  <c:v>40.855452905881521</c:v>
                </c:pt>
                <c:pt idx="28">
                  <c:v>57.282905566729369</c:v>
                </c:pt>
                <c:pt idx="29">
                  <c:v>73.250100333828868</c:v>
                </c:pt>
                <c:pt idx="30">
                  <c:v>88.721364756101593</c:v>
                </c:pt>
                <c:pt idx="31">
                  <c:v>103.66286201105368</c:v>
                </c:pt>
                <c:pt idx="32">
                  <c:v>118.0427045982708</c:v>
                </c:pt>
                <c:pt idx="33">
                  <c:v>131.83105435078983</c:v>
                </c:pt>
                <c:pt idx="34">
                  <c:v>145.00020862895326</c:v>
                </c:pt>
                <c:pt idx="35">
                  <c:v>157.52467267446264</c:v>
                </c:pt>
                <c:pt idx="36">
                  <c:v>169.38121820752758</c:v>
                </c:pt>
                <c:pt idx="37">
                  <c:v>180.54892844967958</c:v>
                </c:pt>
                <c:pt idx="38">
                  <c:v>191.00922984585668</c:v>
                </c:pt>
                <c:pt idx="39">
                  <c:v>200.74591084347048</c:v>
                </c:pt>
                <c:pt idx="40">
                  <c:v>209.74512816207812</c:v>
                </c:pt>
                <c:pt idx="41">
                  <c:v>217.99540105409869</c:v>
                </c:pt>
                <c:pt idx="42">
                  <c:v>225.48759411718515</c:v>
                </c:pt>
                <c:pt idx="43">
                  <c:v>232.21488926902384</c:v>
                </c:pt>
                <c:pt idx="44">
                  <c:v>238.17274753847801</c:v>
                </c:pt>
                <c:pt idx="45">
                  <c:v>243.35886136204567</c:v>
                </c:pt>
                <c:pt idx="46">
                  <c:v>247.77309810141037</c:v>
                </c:pt>
                <c:pt idx="47">
                  <c:v>251.41743551785294</c:v>
                </c:pt>
                <c:pt idx="48">
                  <c:v>254.29588995213794</c:v>
                </c:pt>
                <c:pt idx="49">
                  <c:v>256.4144379645943</c:v>
                </c:pt>
                <c:pt idx="50">
                  <c:v>257.78093218989545</c:v>
                </c:pt>
                <c:pt idx="51">
                  <c:v>258.405012155848</c:v>
                </c:pt>
                <c:pt idx="52">
                  <c:v>258.29801080379502</c:v>
                </c:pt>
                <c:pt idx="53">
                  <c:v>257.47285743333498</c:v>
                </c:pt>
                <c:pt idx="54">
                  <c:v>255.94397777323707</c:v>
                </c:pt>
                <c:pt idx="55">
                  <c:v>253.72719185735286</c:v>
                </c:pt>
                <c:pt idx="56">
                  <c:v>250.83961035689248</c:v>
                </c:pt>
                <c:pt idx="57">
                  <c:v>247.29952999064886</c:v>
                </c:pt>
                <c:pt idx="58">
                  <c:v>243.12632860264671</c:v>
                </c:pt>
                <c:pt idx="59">
                  <c:v>238.34036046219813</c:v>
                </c:pt>
                <c:pt idx="60">
                  <c:v>232.96285230636144</c:v>
                </c:pt>
                <c:pt idx="61">
                  <c:v>227.01580060716987</c:v>
                </c:pt>
                <c:pt idx="62">
                  <c:v>220.5218705094822</c:v>
                </c:pt>
                <c:pt idx="63">
                  <c:v>213.50429684670775</c:v>
                </c:pt>
                <c:pt idx="64">
                  <c:v>205.98678760416368</c:v>
                </c:pt>
                <c:pt idx="65">
                  <c:v>197.9934301622344</c:v>
                </c:pt>
                <c:pt idx="66">
                  <c:v>189.5486006138824</c:v>
                </c:pt>
                <c:pt idx="67">
                  <c:v>180.67687641538566</c:v>
                </c:pt>
                <c:pt idx="68">
                  <c:v>171.40295259288541</c:v>
                </c:pt>
                <c:pt idx="69">
                  <c:v>161.75156169383627</c:v>
                </c:pt>
                <c:pt idx="70">
                  <c:v>151.74739763873299</c:v>
                </c:pt>
                <c:pt idx="71">
                  <c:v>141.41504359734768</c:v>
                </c:pt>
                <c:pt idx="72">
                  <c:v>130.77890398362524</c:v>
                </c:pt>
                <c:pt idx="73">
                  <c:v>119.86314063456007</c:v>
                </c:pt>
                <c:pt idx="74">
                  <c:v>108.69161321236516</c:v>
                </c:pt>
                <c:pt idx="75">
                  <c:v>97.287823843589422</c:v>
                </c:pt>
                <c:pt idx="76">
                  <c:v>85.674865986168243</c:v>
                </c:pt>
                <c:pt idx="77">
                  <c:v>73.875377493554879</c:v>
                </c:pt>
                <c:pt idx="78">
                  <c:v>61.911497826028153</c:v>
                </c:pt>
                <c:pt idx="79">
                  <c:v>49.804829340784636</c:v>
                </c:pt>
                <c:pt idx="80">
                  <c:v>37.576402576923556</c:v>
                </c:pt>
                <c:pt idx="81">
                  <c:v>25.246645436747713</c:v>
                </c:pt>
                <c:pt idx="82">
                  <c:v>12.835356152144413</c:v>
                </c:pt>
                <c:pt idx="83">
                  <c:v>0.36167991380489184</c:v>
                </c:pt>
                <c:pt idx="84">
                  <c:v>-12.155910968621811</c:v>
                </c:pt>
                <c:pt idx="85">
                  <c:v>-24.699633515155256</c:v>
                </c:pt>
                <c:pt idx="86">
                  <c:v>-37.252407279836461</c:v>
                </c:pt>
                <c:pt idx="87">
                  <c:v>-49.797864462177586</c:v>
                </c:pt>
                <c:pt idx="88">
                  <c:v>-62.320357082207465</c:v>
                </c:pt>
                <c:pt idx="89">
                  <c:v>-74.804961377607469</c:v>
                </c:pt>
                <c:pt idx="90">
                  <c:v>-87.237479583680397</c:v>
                </c:pt>
                <c:pt idx="91">
                  <c:v>-99.604439257824197</c:v>
                </c:pt>
                <c:pt idx="92">
                  <c:v>-111.89309030955974</c:v>
                </c:pt>
                <c:pt idx="93">
                  <c:v>-124.09139989669075</c:v>
                </c:pt>
                <c:pt idx="94">
                  <c:v>-136.18804534604624</c:v>
                </c:pt>
                <c:pt idx="95">
                  <c:v>-148.17240525511897</c:v>
                </c:pt>
                <c:pt idx="96">
                  <c:v>-160.03454892746504</c:v>
                </c:pt>
                <c:pt idx="97">
                  <c:v>-171.76522429149099</c:v>
                </c:pt>
                <c:pt idx="98">
                  <c:v>-183.35584444787401</c:v>
                </c:pt>
                <c:pt idx="99">
                  <c:v>-194.79847298655841</c:v>
                </c:pt>
                <c:pt idx="100">
                  <c:v>-206.08580820903808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2-4D96-96EA-AA045689A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74560"/>
        <c:axId val="73618560"/>
      </c:lineChart>
      <c:catAx>
        <c:axId val="33074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tx1">
                    <a:lumMod val="85000"/>
                    <a:lumOff val="15000"/>
                  </a:schemeClr>
                </a:solidFill>
              </a:defRPr>
            </a:pPr>
            <a:endParaRPr lang="en-US"/>
          </a:p>
        </c:txPr>
        <c:crossAx val="73618560"/>
        <c:crosses val="autoZero"/>
        <c:auto val="1"/>
        <c:lblAlgn val="ctr"/>
        <c:lblOffset val="100"/>
        <c:tickLblSkip val="10"/>
        <c:tickMarkSkip val="10"/>
        <c:noMultiLvlLbl val="1"/>
      </c:catAx>
      <c:valAx>
        <c:axId val="7361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85000"/>
                    <a:lumOff val="15000"/>
                  </a:schemeClr>
                </a:solidFill>
              </a:defRPr>
            </a:pPr>
            <a:endParaRPr lang="en-US"/>
          </a:p>
        </c:txPr>
        <c:crossAx val="3307456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4" dropStyle="combo" dx="15" fmlaLink="$F$8" fmlaRange="Lists!$C$3:$C$6" noThreeD="1" sel="4" val="0"/>
</file>

<file path=xl/ctrlProps/ctrlProp2.xml><?xml version="1.0" encoding="utf-8"?>
<formControlPr xmlns="http://schemas.microsoft.com/office/spreadsheetml/2009/9/main" objectType="Drop" dropLines="4" dropStyle="combo" dx="15" fmlaLink="$F$10" fmlaRange="Lists!$C$3:$C$6" noThreeD="1" sel="4" val="0"/>
</file>

<file path=xl/ctrlProps/ctrlProp3.xml><?xml version="1.0" encoding="utf-8"?>
<formControlPr xmlns="http://schemas.microsoft.com/office/spreadsheetml/2009/9/main" objectType="Drop" dropLines="4" dropStyle="combo" dx="15" fmlaLink="$F$12" fmlaRange="Lists!$C$3:$C$6" noThreeD="1" sel="3" val="0"/>
</file>

<file path=xl/ctrlProps/ctrlProp4.xml><?xml version="1.0" encoding="utf-8"?>
<formControlPr xmlns="http://schemas.microsoft.com/office/spreadsheetml/2009/9/main" objectType="Drop" dropLines="4" dropStyle="combo" dx="15" fmlaLink="$F$14" fmlaRange="Lists!$C$3:$C$6" noThreeD="1" sel="3" val="0"/>
</file>

<file path=xl/ctrlProps/ctrlProp5.xml><?xml version="1.0" encoding="utf-8"?>
<formControlPr xmlns="http://schemas.microsoft.com/office/spreadsheetml/2009/9/main" objectType="Drop" dropLines="4" dropStyle="combo" dx="15" fmlaLink="$F$16" fmlaRange="Lists!$C$3:$C$6" noThreeD="1" sel="1" val="0"/>
</file>

<file path=xl/ctrlProps/ctrlProp6.xml><?xml version="1.0" encoding="utf-8"?>
<formControlPr xmlns="http://schemas.microsoft.com/office/spreadsheetml/2009/9/main" objectType="Drop" dropLines="10" dropStyle="combo" dx="15" fmlaLink="$C$8" fmlaRange="Expirations!$D$5:$D$28" noThreeD="1" sel="6" val="0"/>
</file>

<file path=xl/ctrlProps/ctrlProp7.xml><?xml version="1.0" encoding="utf-8"?>
<formControlPr xmlns="http://schemas.microsoft.com/office/spreadsheetml/2009/9/main" objectType="Drop" dropLines="10" dropStyle="combo" dx="15" fmlaLink="$C$10" fmlaRange="Expirations!$D$5:$D$28" noThreeD="1" sel="6" val="0"/>
</file>

<file path=xl/ctrlProps/ctrlProp8.xml><?xml version="1.0" encoding="utf-8"?>
<formControlPr xmlns="http://schemas.microsoft.com/office/spreadsheetml/2009/9/main" objectType="Drop" dropLines="10" dropStyle="combo" dx="15" fmlaLink="$C$12" fmlaRange="Expirations!$D$5:$D$28" noThreeD="1" sel="6" val="0"/>
</file>

<file path=xl/ctrlProps/ctrlProp9.xml><?xml version="1.0" encoding="utf-8"?>
<formControlPr xmlns="http://schemas.microsoft.com/office/spreadsheetml/2009/9/main" objectType="Drop" dropLines="10" dropStyle="combo" dx="15" fmlaLink="$C$14" fmlaRange="Expirations!$D$5:$D$28" noThreeD="1" sel="6" val="0"/>
</file>

<file path=xl/ctrlProps/ctrlProp10.xml><?xml version="1.0" encoding="utf-8"?>
<formControlPr xmlns="http://schemas.microsoft.com/office/spreadsheetml/2009/9/main" objectType="Drop" dropLines="10" dropStyle="combo" dx="15" fmlaLink="$C$16" fmlaRange="Expirations!$D$5:$D$28" noThreeD="1" sel="6" val="0"/>
</file>

<file path=xl/ctrlProps/ctrlProp11.xml><?xml version="1.0" encoding="utf-8"?>
<formControlPr xmlns="http://schemas.microsoft.com/office/spreadsheetml/2009/9/main" objectType="Drop" dropLines="7" dropStyle="combo" dx="15" fmlaLink="$M$28" fmlaRange="Lists!$C$20:$C$26" noThreeD="1" sel="1" val="0"/>
</file>

<file path=xl/ctrlProps/ctrlProp12.xml><?xml version="1.0" encoding="utf-8"?>
<formControlPr xmlns="http://schemas.microsoft.com/office/spreadsheetml/2009/9/main" objectType="Drop" dropLines="5" dropStyle="combo" dx="15" fmlaLink="$M$22" fmlaRange="Lists!$C$13:$C$17" noThreeD="1" sel="1" val="0"/>
</file>

<file path=xl/ctrlProps/ctrlProp13.xml><?xml version="1.0" encoding="utf-8"?>
<formControlPr xmlns="http://schemas.microsoft.com/office/spreadsheetml/2009/9/main" objectType="Drop" dropLines="2" dropStyle="combo" dx="15" fmlaLink="$M$30" fmlaRange="Lists!$C$9:$C$10" noThreeD="1" sel="2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Drop" dropLines="2" dropStyle="combo" dx="15" fmlaLink="$L$4" fmlaRange="Lists!$C$9:$C$10" noThreeD="1" sel="2" val="0"/>
</file>

<file path=xl/ctrlProps/ctrlProp28.xml><?xml version="1.0" encoding="utf-8"?>
<formControlPr xmlns="http://schemas.microsoft.com/office/spreadsheetml/2009/9/main" objectType="CheckBox" checked="Checked" fmlaLink="$Q$3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Lines="6" dropStyle="combo" dx="15" fmlaLink="$M$26" fmlaRange="Lists!$C$29:$C$34" noThreeD="1" sel="1" val="0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Drop" dropLines="10" dropStyle="combo" dx="15" fmlaLink="$D$2" fmlaRange="$J$5:$J$14" noThreeD="1" sel="2" val="0"/>
</file>

<file path=xl/ctrlProps/ctrlProp45.xml><?xml version="1.0" encoding="utf-8"?>
<formControlPr xmlns="http://schemas.microsoft.com/office/spreadsheetml/2009/9/main" objectType="Drop" dropLines="10" dropStyle="combo" dx="15" fmlaLink="$F$2" fmlaRange="$J$5:$J$14" noThreeD="1" sel="9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600075</xdr:colOff>
          <xdr:row>8</xdr:row>
          <xdr:rowOff>0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600075</xdr:colOff>
          <xdr:row>10</xdr:row>
          <xdr:rowOff>0</xdr:rowOff>
        </xdr:to>
        <xdr:sp macro="" textlink="">
          <xdr:nvSpPr>
            <xdr:cNvPr id="3082" name="Drop Dow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600075</xdr:colOff>
          <xdr:row>12</xdr:row>
          <xdr:rowOff>0</xdr:rowOff>
        </xdr:to>
        <xdr:sp macro="" textlink="">
          <xdr:nvSpPr>
            <xdr:cNvPr id="3084" name="Drop Dow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600075</xdr:colOff>
          <xdr:row>14</xdr:row>
          <xdr:rowOff>0</xdr:rowOff>
        </xdr:to>
        <xdr:sp macro="" textlink="">
          <xdr:nvSpPr>
            <xdr:cNvPr id="3086" name="Drop Dow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600075</xdr:colOff>
          <xdr:row>16</xdr:row>
          <xdr:rowOff>0</xdr:rowOff>
        </xdr:to>
        <xdr:sp macro="" textlink="">
          <xdr:nvSpPr>
            <xdr:cNvPr id="3088" name="Drop Dow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771525</xdr:colOff>
          <xdr:row>8</xdr:row>
          <xdr:rowOff>0</xdr:rowOff>
        </xdr:to>
        <xdr:sp macro="" textlink="">
          <xdr:nvSpPr>
            <xdr:cNvPr id="3097" name="Drop Dow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771525</xdr:colOff>
          <xdr:row>10</xdr:row>
          <xdr:rowOff>0</xdr:rowOff>
        </xdr:to>
        <xdr:sp macro="" textlink="">
          <xdr:nvSpPr>
            <xdr:cNvPr id="3098" name="Drop Dow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771525</xdr:colOff>
          <xdr:row>12</xdr:row>
          <xdr:rowOff>0</xdr:rowOff>
        </xdr:to>
        <xdr:sp macro="" textlink="">
          <xdr:nvSpPr>
            <xdr:cNvPr id="3099" name="Drop Dow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771525</xdr:colOff>
          <xdr:row>14</xdr:row>
          <xdr:rowOff>0</xdr:rowOff>
        </xdr:to>
        <xdr:sp macro="" textlink="">
          <xdr:nvSpPr>
            <xdr:cNvPr id="3100" name="Drop Dow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771525</xdr:colOff>
          <xdr:row>16</xdr:row>
          <xdr:rowOff>0</xdr:rowOff>
        </xdr:to>
        <xdr:sp macro="" textlink="">
          <xdr:nvSpPr>
            <xdr:cNvPr id="3101" name="Drop Dow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103" name="Drop Dow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104" name="Drop Dow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105" name="Drop Dow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0</xdr:rowOff>
        </xdr:from>
        <xdr:to>
          <xdr:col>3</xdr:col>
          <xdr:colOff>297180</xdr:colOff>
          <xdr:row>3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3</xdr:row>
          <xdr:rowOff>7620</xdr:rowOff>
        </xdr:from>
        <xdr:to>
          <xdr:col>4</xdr:col>
          <xdr:colOff>7620</xdr:colOff>
          <xdr:row>4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0</xdr:rowOff>
        </xdr:from>
        <xdr:to>
          <xdr:col>1</xdr:col>
          <xdr:colOff>579120</xdr:colOff>
          <xdr:row>3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38100</xdr:rowOff>
        </xdr:from>
        <xdr:to>
          <xdr:col>1</xdr:col>
          <xdr:colOff>281940</xdr:colOff>
          <xdr:row>2</xdr:row>
          <xdr:rowOff>190500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</xdr:row>
          <xdr:rowOff>0</xdr:rowOff>
        </xdr:from>
        <xdr:to>
          <xdr:col>7</xdr:col>
          <xdr:colOff>297180</xdr:colOff>
          <xdr:row>4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+0.1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0</xdr:rowOff>
        </xdr:from>
        <xdr:to>
          <xdr:col>7</xdr:col>
          <xdr:colOff>601980</xdr:colOff>
          <xdr:row>4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3</xdr:row>
          <xdr:rowOff>0</xdr:rowOff>
        </xdr:from>
        <xdr:to>
          <xdr:col>5</xdr:col>
          <xdr:colOff>601980</xdr:colOff>
          <xdr:row>4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-0.1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3</xdr:row>
          <xdr:rowOff>0</xdr:rowOff>
        </xdr:from>
        <xdr:to>
          <xdr:col>5</xdr:col>
          <xdr:colOff>297180</xdr:colOff>
          <xdr:row>4</xdr:row>
          <xdr:rowOff>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</xdr:row>
          <xdr:rowOff>0</xdr:rowOff>
        </xdr:from>
        <xdr:to>
          <xdr:col>7</xdr:col>
          <xdr:colOff>297180</xdr:colOff>
          <xdr:row>3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2</xdr:row>
          <xdr:rowOff>0</xdr:rowOff>
        </xdr:from>
        <xdr:to>
          <xdr:col>7</xdr:col>
          <xdr:colOff>601980</xdr:colOff>
          <xdr:row>3</xdr:row>
          <xdr:rowOff>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2</xdr:row>
          <xdr:rowOff>0</xdr:rowOff>
        </xdr:from>
        <xdr:to>
          <xdr:col>5</xdr:col>
          <xdr:colOff>601980</xdr:colOff>
          <xdr:row>3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2</xdr:row>
          <xdr:rowOff>0</xdr:rowOff>
        </xdr:from>
        <xdr:to>
          <xdr:col>5</xdr:col>
          <xdr:colOff>297180</xdr:colOff>
          <xdr:row>3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3</xdr:row>
          <xdr:rowOff>0</xdr:rowOff>
        </xdr:from>
        <xdr:to>
          <xdr:col>12</xdr:col>
          <xdr:colOff>123825</xdr:colOff>
          <xdr:row>4</xdr:row>
          <xdr:rowOff>0</xdr:rowOff>
        </xdr:to>
        <xdr:sp macro="" textlink="">
          <xdr:nvSpPr>
            <xdr:cNvPr id="3119" name="Drop Dow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2</xdr:row>
          <xdr:rowOff>0</xdr:rowOff>
        </xdr:from>
        <xdr:to>
          <xdr:col>17</xdr:col>
          <xdr:colOff>381000</xdr:colOff>
          <xdr:row>3</xdr:row>
          <xdr:rowOff>19050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Flat volatility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</xdr:row>
          <xdr:rowOff>0</xdr:rowOff>
        </xdr:from>
        <xdr:to>
          <xdr:col>15</xdr:col>
          <xdr:colOff>297180</xdr:colOff>
          <xdr:row>3</xdr:row>
          <xdr:rowOff>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312420</xdr:colOff>
          <xdr:row>2</xdr:row>
          <xdr:rowOff>0</xdr:rowOff>
        </xdr:from>
        <xdr:to>
          <xdr:col>15</xdr:col>
          <xdr:colOff>601980</xdr:colOff>
          <xdr:row>3</xdr:row>
          <xdr:rowOff>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3</xdr:row>
          <xdr:rowOff>7620</xdr:rowOff>
        </xdr:from>
        <xdr:to>
          <xdr:col>15</xdr:col>
          <xdr:colOff>297180</xdr:colOff>
          <xdr:row>4</xdr:row>
          <xdr:rowOff>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+0.1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312420</xdr:colOff>
          <xdr:row>3</xdr:row>
          <xdr:rowOff>7620</xdr:rowOff>
        </xdr:from>
        <xdr:to>
          <xdr:col>15</xdr:col>
          <xdr:colOff>601980</xdr:colOff>
          <xdr:row>4</xdr:row>
          <xdr:rowOff>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2</xdr:row>
          <xdr:rowOff>0</xdr:rowOff>
        </xdr:from>
        <xdr:to>
          <xdr:col>13</xdr:col>
          <xdr:colOff>617220</xdr:colOff>
          <xdr:row>3</xdr:row>
          <xdr:rowOff>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2</xdr:row>
          <xdr:rowOff>0</xdr:rowOff>
        </xdr:from>
        <xdr:to>
          <xdr:col>13</xdr:col>
          <xdr:colOff>327660</xdr:colOff>
          <xdr:row>3</xdr:row>
          <xdr:rowOff>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3</xdr:row>
          <xdr:rowOff>7620</xdr:rowOff>
        </xdr:from>
        <xdr:to>
          <xdr:col>13</xdr:col>
          <xdr:colOff>617220</xdr:colOff>
          <xdr:row>4</xdr:row>
          <xdr:rowOff>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-0.1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7620</xdr:rowOff>
        </xdr:from>
        <xdr:to>
          <xdr:col>13</xdr:col>
          <xdr:colOff>327660</xdr:colOff>
          <xdr:row>4</xdr:row>
          <xdr:rowOff>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61912</xdr:colOff>
      <xdr:row>19</xdr:row>
      <xdr:rowOff>19050</xdr:rowOff>
    </xdr:from>
    <xdr:to>
      <xdr:col>10</xdr:col>
      <xdr:colOff>714376</xdr:colOff>
      <xdr:row>43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129" name="Drop Dow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350520</xdr:colOff>
          <xdr:row>43</xdr:row>
          <xdr:rowOff>0</xdr:rowOff>
        </xdr:from>
        <xdr:to>
          <xdr:col>12</xdr:col>
          <xdr:colOff>266700</xdr:colOff>
          <xdr:row>44</xdr:row>
          <xdr:rowOff>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41</xdr:row>
          <xdr:rowOff>7620</xdr:rowOff>
        </xdr:from>
        <xdr:to>
          <xdr:col>12</xdr:col>
          <xdr:colOff>594360</xdr:colOff>
          <xdr:row>42</xdr:row>
          <xdr:rowOff>7620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Zoom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41</xdr:row>
          <xdr:rowOff>7620</xdr:rowOff>
        </xdr:from>
        <xdr:to>
          <xdr:col>12</xdr:col>
          <xdr:colOff>0</xdr:colOff>
          <xdr:row>42</xdr:row>
          <xdr:rowOff>7620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Zoom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43</xdr:row>
          <xdr:rowOff>0</xdr:rowOff>
        </xdr:from>
        <xdr:to>
          <xdr:col>11</xdr:col>
          <xdr:colOff>312420</xdr:colOff>
          <xdr:row>44</xdr:row>
          <xdr:rowOff>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43</xdr:row>
          <xdr:rowOff>0</xdr:rowOff>
        </xdr:from>
        <xdr:to>
          <xdr:col>12</xdr:col>
          <xdr:colOff>594360</xdr:colOff>
          <xdr:row>44</xdr:row>
          <xdr:rowOff>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3</xdr:row>
          <xdr:rowOff>7620</xdr:rowOff>
        </xdr:from>
        <xdr:to>
          <xdr:col>1</xdr:col>
          <xdr:colOff>579120</xdr:colOff>
          <xdr:row>4</xdr:row>
          <xdr:rowOff>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495300</xdr:colOff>
      <xdr:row>0</xdr:row>
      <xdr:rowOff>47627</xdr:rowOff>
    </xdr:from>
    <xdr:to>
      <xdr:col>15</xdr:col>
      <xdr:colOff>140969</xdr:colOff>
      <xdr:row>1</xdr:row>
      <xdr:rowOff>521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47627"/>
          <a:ext cx="1533524" cy="2576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15240</xdr:colOff>
          <xdr:row>2</xdr:row>
          <xdr:rowOff>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1021080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7" Type="http://schemas.openxmlformats.org/officeDocument/2006/relationships/ctrlProp" Target="../ctrlProps/ctrlProp2.xml"/><Relationship Id="rId2" Type="http://schemas.openxmlformats.org/officeDocument/2006/relationships/hyperlink" Target="http://www.macroption.com/terms/" TargetMode="Externa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" Type="http://schemas.openxmlformats.org/officeDocument/2006/relationships/hyperlink" Target="http://www.macroption.com/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P242"/>
  <sheetViews>
    <sheetView showGridLines="0" tabSelected="1" zoomScaleNormal="100" workbookViewId="0">
      <selection activeCell="G4" sqref="G4"/>
    </sheetView>
  </sheetViews>
  <sheetFormatPr defaultRowHeight="14.4" x14ac:dyDescent="0.3"/>
  <cols>
    <col min="1" max="1" width="4.88671875" customWidth="1"/>
    <col min="2" max="2" width="8.5546875" customWidth="1"/>
    <col min="3" max="3" width="11.33203125" customWidth="1"/>
    <col min="4" max="6" width="8.88671875" customWidth="1"/>
    <col min="7" max="7" width="9.88671875" customWidth="1"/>
    <col min="8" max="8" width="11" customWidth="1"/>
    <col min="9" max="9" width="9.6640625" customWidth="1"/>
    <col min="10" max="11" width="11" customWidth="1"/>
    <col min="12" max="16" width="9.44140625" customWidth="1"/>
    <col min="17" max="19" width="10.33203125" customWidth="1"/>
    <col min="20" max="20" width="9.109375" customWidth="1"/>
    <col min="21" max="21" width="21.109375" customWidth="1"/>
    <col min="22" max="22" width="17.109375" customWidth="1"/>
    <col min="23" max="23" width="15.5546875" customWidth="1"/>
    <col min="24" max="25" width="11.44140625" customWidth="1"/>
    <col min="26" max="39" width="9.109375" customWidth="1"/>
    <col min="45" max="45" width="9.5546875" bestFit="1" customWidth="1"/>
    <col min="56" max="56" width="9.109375" customWidth="1"/>
    <col min="139" max="139" width="9.6640625" bestFit="1" customWidth="1"/>
  </cols>
  <sheetData>
    <row r="1" spans="1:144" ht="24" customHeight="1" x14ac:dyDescent="0.45">
      <c r="A1" s="273" t="s">
        <v>21</v>
      </c>
      <c r="B1" s="274"/>
      <c r="C1" s="274"/>
      <c r="D1" s="274"/>
      <c r="E1" s="274"/>
      <c r="F1" s="279"/>
      <c r="G1" s="280"/>
      <c r="H1" s="280"/>
      <c r="I1" s="274"/>
      <c r="J1" s="274"/>
      <c r="K1" s="274"/>
      <c r="L1" s="289"/>
      <c r="M1" s="274"/>
      <c r="N1" s="274"/>
      <c r="O1" s="274"/>
      <c r="P1" s="288"/>
      <c r="Q1" s="287" t="s">
        <v>15</v>
      </c>
      <c r="R1" s="287"/>
      <c r="S1" s="287"/>
      <c r="T1" s="208"/>
      <c r="U1" s="287" t="s">
        <v>101</v>
      </c>
      <c r="V1" s="288"/>
      <c r="W1" s="208"/>
      <c r="X1" s="208"/>
      <c r="Y1" s="208"/>
      <c r="Z1" s="208"/>
      <c r="AA1" s="208"/>
      <c r="AB1" s="208"/>
      <c r="AC1" s="208"/>
      <c r="AD1" s="208"/>
      <c r="AE1" s="208"/>
      <c r="AF1" s="208"/>
      <c r="AG1" s="208"/>
      <c r="AH1" s="208"/>
      <c r="AI1" s="208"/>
      <c r="AJ1" s="208"/>
      <c r="AK1" s="208"/>
      <c r="AL1" s="208"/>
      <c r="AM1" s="208"/>
      <c r="AN1" s="208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208"/>
      <c r="BB1" s="208"/>
      <c r="BC1" s="208"/>
      <c r="BD1" s="208"/>
      <c r="BE1" s="208"/>
      <c r="BF1" s="208"/>
      <c r="BG1" s="208"/>
      <c r="BH1" s="208"/>
      <c r="BI1" s="208"/>
      <c r="BJ1" s="208"/>
      <c r="BK1" s="208"/>
      <c r="BL1" s="208"/>
      <c r="BM1" s="208"/>
      <c r="BN1" s="208"/>
      <c r="BO1" s="208"/>
      <c r="BP1" s="208"/>
      <c r="BQ1" s="208"/>
      <c r="BR1" s="208"/>
      <c r="BS1" s="208"/>
      <c r="BT1" s="208"/>
      <c r="BU1" s="208"/>
      <c r="BV1" s="208"/>
      <c r="BW1" s="208"/>
      <c r="BX1" s="208"/>
      <c r="BY1" s="208"/>
      <c r="BZ1" s="208"/>
      <c r="CA1" s="208"/>
      <c r="CB1" s="208"/>
      <c r="CC1" s="208"/>
      <c r="CD1" s="208"/>
      <c r="CE1" s="208"/>
      <c r="CF1" s="208"/>
      <c r="CG1" s="208"/>
      <c r="CH1" s="208"/>
      <c r="CI1" s="208"/>
      <c r="CJ1" s="208"/>
      <c r="CK1" s="208"/>
      <c r="CL1" s="208"/>
      <c r="CM1" s="208"/>
      <c r="CN1" s="208"/>
      <c r="CO1" s="208"/>
      <c r="CP1" s="208"/>
      <c r="CQ1" s="208"/>
      <c r="CR1" s="208"/>
      <c r="CS1" s="208"/>
      <c r="CT1" s="208"/>
      <c r="CU1" s="208"/>
      <c r="CV1" s="208"/>
      <c r="CW1" s="208"/>
      <c r="CX1" s="208"/>
      <c r="CY1" s="208"/>
      <c r="CZ1" s="208"/>
      <c r="DA1" s="208"/>
      <c r="DB1" s="208"/>
      <c r="DC1" s="208"/>
      <c r="DD1" s="208"/>
      <c r="DE1" s="208"/>
      <c r="DF1" s="208"/>
      <c r="DG1" s="208"/>
      <c r="DH1" s="208"/>
      <c r="DI1" s="208"/>
      <c r="DJ1" s="208"/>
      <c r="DK1" s="208"/>
      <c r="DL1" s="208"/>
      <c r="DM1" s="208"/>
      <c r="DN1" s="208"/>
      <c r="DO1" s="208"/>
      <c r="DP1" s="208"/>
      <c r="DQ1" s="208"/>
      <c r="DR1" s="208"/>
      <c r="DS1" s="208"/>
      <c r="DT1" s="208"/>
      <c r="DU1" s="208"/>
      <c r="DV1" s="208"/>
      <c r="DW1" s="208"/>
      <c r="DX1" s="208"/>
      <c r="DY1" s="208"/>
      <c r="DZ1" s="208"/>
      <c r="EA1" s="208"/>
      <c r="EB1" s="208"/>
      <c r="EC1" s="208"/>
      <c r="ED1" s="208"/>
      <c r="EE1" s="208"/>
      <c r="EF1" s="208"/>
      <c r="EG1" s="208"/>
      <c r="EH1" s="208"/>
      <c r="EI1" s="208"/>
      <c r="EJ1" s="208"/>
      <c r="EK1" s="208"/>
      <c r="EL1" s="208"/>
      <c r="EM1" s="208"/>
      <c r="EN1" s="138"/>
    </row>
    <row r="2" spans="1:144" ht="3" customHeight="1" x14ac:dyDescent="0.45">
      <c r="A2" s="212"/>
      <c r="B2" s="213"/>
      <c r="C2" s="213"/>
      <c r="D2" s="213"/>
      <c r="E2" s="213"/>
      <c r="F2" s="214"/>
      <c r="G2" s="215"/>
      <c r="H2" s="215"/>
      <c r="I2" s="216"/>
      <c r="J2" s="213"/>
      <c r="K2" s="213"/>
      <c r="L2" s="216"/>
      <c r="M2" s="216"/>
      <c r="N2" s="217"/>
      <c r="O2" s="217"/>
      <c r="P2" s="245"/>
      <c r="Q2" s="218"/>
      <c r="R2" s="218"/>
      <c r="S2" s="217"/>
      <c r="T2" s="213"/>
      <c r="U2" s="213"/>
      <c r="V2" s="219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213"/>
      <c r="AL2" s="213"/>
      <c r="AM2" s="213"/>
      <c r="AN2" s="213"/>
      <c r="AO2" s="213"/>
      <c r="AP2" s="213"/>
      <c r="AQ2" s="213"/>
      <c r="AR2" s="213"/>
      <c r="AS2" s="213"/>
      <c r="AT2" s="213"/>
      <c r="AU2" s="213"/>
      <c r="AV2" s="213"/>
      <c r="AW2" s="213"/>
      <c r="AX2" s="213"/>
      <c r="AY2" s="213"/>
      <c r="AZ2" s="213"/>
      <c r="BA2" s="213"/>
      <c r="BB2" s="213"/>
      <c r="BC2" s="213"/>
      <c r="BD2" s="213"/>
      <c r="BE2" s="213"/>
      <c r="BF2" s="213"/>
      <c r="BG2" s="213"/>
      <c r="BH2" s="213"/>
      <c r="BI2" s="213"/>
      <c r="BJ2" s="213"/>
      <c r="BK2" s="213"/>
      <c r="BL2" s="213"/>
      <c r="BM2" s="213"/>
      <c r="BN2" s="213"/>
      <c r="BO2" s="213"/>
      <c r="BP2" s="213"/>
      <c r="BQ2" s="213"/>
      <c r="BR2" s="213"/>
      <c r="BS2" s="213"/>
      <c r="BT2" s="213"/>
      <c r="BU2" s="213"/>
      <c r="BV2" s="213"/>
      <c r="BW2" s="213"/>
      <c r="BX2" s="213"/>
      <c r="BY2" s="213"/>
      <c r="BZ2" s="213"/>
      <c r="CA2" s="213"/>
      <c r="CB2" s="213"/>
      <c r="CC2" s="213"/>
      <c r="CD2" s="213"/>
      <c r="CE2" s="213"/>
      <c r="CF2" s="213"/>
      <c r="CG2" s="213"/>
      <c r="CH2" s="213"/>
      <c r="CI2" s="213"/>
      <c r="CJ2" s="213"/>
      <c r="CK2" s="213"/>
      <c r="CL2" s="213"/>
      <c r="CM2" s="213"/>
      <c r="CN2" s="213"/>
      <c r="CO2" s="213"/>
      <c r="CP2" s="213"/>
      <c r="CQ2" s="213"/>
      <c r="CR2" s="213"/>
      <c r="CS2" s="213"/>
      <c r="CT2" s="213"/>
      <c r="CU2" s="213"/>
      <c r="CV2" s="213"/>
      <c r="CW2" s="213"/>
      <c r="CX2" s="213"/>
      <c r="CY2" s="213"/>
      <c r="CZ2" s="213"/>
      <c r="DA2" s="213"/>
      <c r="DB2" s="213"/>
      <c r="DC2" s="213"/>
      <c r="DD2" s="213"/>
      <c r="DE2" s="213"/>
      <c r="DF2" s="213"/>
      <c r="DG2" s="213"/>
      <c r="DH2" s="213"/>
      <c r="DI2" s="213"/>
      <c r="DJ2" s="213"/>
      <c r="DK2" s="213"/>
      <c r="DL2" s="213"/>
      <c r="DM2" s="213"/>
      <c r="DN2" s="213"/>
      <c r="DO2" s="213"/>
      <c r="DP2" s="213"/>
      <c r="DQ2" s="213"/>
      <c r="DR2" s="213"/>
      <c r="DS2" s="213"/>
      <c r="DT2" s="213"/>
      <c r="DU2" s="213"/>
      <c r="DV2" s="213"/>
      <c r="DW2" s="213"/>
      <c r="DX2" s="213"/>
      <c r="DY2" s="213"/>
      <c r="DZ2" s="213"/>
      <c r="EA2" s="213"/>
      <c r="EB2" s="213"/>
      <c r="EC2" s="213"/>
      <c r="ED2" s="213"/>
      <c r="EE2" s="213"/>
      <c r="EF2" s="213"/>
      <c r="EG2" s="213"/>
      <c r="EH2" s="213"/>
      <c r="EI2" s="213"/>
      <c r="EJ2" s="213"/>
      <c r="EK2" s="213"/>
      <c r="EL2" s="213"/>
      <c r="EM2" s="213"/>
      <c r="EN2" s="219"/>
    </row>
    <row r="3" spans="1:144" ht="15" customHeight="1" x14ac:dyDescent="0.3">
      <c r="A3" s="37"/>
      <c r="B3" s="10"/>
      <c r="C3" s="209">
        <v>45295</v>
      </c>
      <c r="D3" s="48"/>
      <c r="E3" s="48"/>
      <c r="F3" s="48"/>
      <c r="G3" s="52" t="s">
        <v>140</v>
      </c>
      <c r="H3" s="48"/>
      <c r="I3" s="49" t="s">
        <v>138</v>
      </c>
      <c r="J3" s="51">
        <v>2.5999999999999999E-2</v>
      </c>
      <c r="K3" s="54" t="s">
        <v>134</v>
      </c>
      <c r="L3" s="48"/>
      <c r="M3" s="48"/>
      <c r="N3" s="48"/>
      <c r="O3" s="48" t="s">
        <v>11</v>
      </c>
      <c r="P3" s="59"/>
      <c r="Q3" s="56" t="b">
        <v>1</v>
      </c>
      <c r="R3" s="48"/>
      <c r="S3" s="48"/>
      <c r="T3" s="48"/>
      <c r="U3" s="48"/>
      <c r="V3" s="59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59"/>
    </row>
    <row r="4" spans="1:144" ht="15" customHeight="1" x14ac:dyDescent="0.3">
      <c r="A4" s="44"/>
      <c r="B4" s="45"/>
      <c r="C4" s="210">
        <v>0.44097222222222227</v>
      </c>
      <c r="D4" s="45"/>
      <c r="E4" s="45"/>
      <c r="F4" s="45"/>
      <c r="G4" s="50">
        <v>85.4</v>
      </c>
      <c r="H4" s="45"/>
      <c r="I4" s="46" t="s">
        <v>139</v>
      </c>
      <c r="J4" s="47">
        <v>0.04</v>
      </c>
      <c r="K4" s="45"/>
      <c r="L4" s="205">
        <v>2</v>
      </c>
      <c r="M4" s="45"/>
      <c r="N4" s="45"/>
      <c r="O4" s="55">
        <v>0.28399999999999997</v>
      </c>
      <c r="P4" s="60"/>
      <c r="Q4" s="45"/>
      <c r="R4" s="45"/>
      <c r="S4" s="45"/>
      <c r="T4" s="45"/>
      <c r="U4" s="45"/>
      <c r="V4" s="60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60"/>
    </row>
    <row r="5" spans="1:144" ht="3" customHeight="1" x14ac:dyDescent="0.3">
      <c r="A5" s="4"/>
      <c r="B5" s="26"/>
      <c r="C5" s="26"/>
      <c r="D5" s="26"/>
      <c r="E5" s="26"/>
      <c r="F5" s="26"/>
      <c r="G5" s="26"/>
      <c r="H5" s="26"/>
      <c r="I5" s="3"/>
      <c r="J5" s="3"/>
      <c r="K5" s="3"/>
      <c r="L5" s="3"/>
      <c r="M5" s="2"/>
      <c r="N5" s="2"/>
      <c r="O5" s="2"/>
      <c r="P5" s="121"/>
      <c r="Q5" s="2"/>
      <c r="R5" s="2"/>
      <c r="S5" s="2"/>
      <c r="T5" s="11"/>
      <c r="U5" s="11"/>
      <c r="V5" s="12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62"/>
    </row>
    <row r="6" spans="1:144" ht="15" customHeight="1" x14ac:dyDescent="0.3">
      <c r="A6" s="28" t="s">
        <v>18</v>
      </c>
      <c r="B6" s="29" t="s">
        <v>16</v>
      </c>
      <c r="C6" s="29" t="s">
        <v>45</v>
      </c>
      <c r="D6" s="29" t="s">
        <v>31</v>
      </c>
      <c r="E6" s="29" t="s">
        <v>14</v>
      </c>
      <c r="F6" s="29" t="s">
        <v>19</v>
      </c>
      <c r="G6" s="154" t="s">
        <v>142</v>
      </c>
      <c r="H6" s="154" t="s">
        <v>34</v>
      </c>
      <c r="I6" s="154" t="s">
        <v>5</v>
      </c>
      <c r="J6" s="154" t="s">
        <v>32</v>
      </c>
      <c r="K6" s="154" t="s">
        <v>33</v>
      </c>
      <c r="L6" s="154" t="s">
        <v>0</v>
      </c>
      <c r="M6" s="154" t="s">
        <v>1</v>
      </c>
      <c r="N6" s="154" t="s">
        <v>2</v>
      </c>
      <c r="O6" s="154" t="s">
        <v>3</v>
      </c>
      <c r="P6" s="61" t="s">
        <v>4</v>
      </c>
      <c r="Q6" s="154" t="str">
        <f>IF($Q$3=TRUE,"","Volatility")</f>
        <v/>
      </c>
      <c r="R6" s="275" t="s">
        <v>65</v>
      </c>
      <c r="S6" s="276"/>
      <c r="T6" s="154" t="s">
        <v>16</v>
      </c>
      <c r="U6" s="154" t="s">
        <v>45</v>
      </c>
      <c r="V6" s="61" t="s">
        <v>63</v>
      </c>
      <c r="W6" s="11"/>
      <c r="X6" s="187" t="s">
        <v>132</v>
      </c>
      <c r="Y6" s="186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211" t="b">
        <f ca="1">MAX(MAX($H$8:$H$18,$J$8:$K$18),ABS(MIN($H$8:$H$18,$J$8:$K$18)))&gt;=10000</f>
        <v>0</v>
      </c>
      <c r="EL6" s="281" t="s">
        <v>135</v>
      </c>
      <c r="EM6" s="282"/>
      <c r="EN6" s="283"/>
    </row>
    <row r="7" spans="1:144" ht="3" customHeight="1" x14ac:dyDescent="0.3">
      <c r="A7" s="4"/>
      <c r="B7" s="26"/>
      <c r="C7" s="26"/>
      <c r="D7" s="26"/>
      <c r="E7" s="26"/>
      <c r="F7" s="3"/>
      <c r="G7" s="3"/>
      <c r="H7" s="3"/>
      <c r="I7" s="2"/>
      <c r="J7" s="2"/>
      <c r="K7" s="2"/>
      <c r="L7" s="2"/>
      <c r="M7" s="2"/>
      <c r="N7" s="2"/>
      <c r="O7" s="2"/>
      <c r="P7" s="121"/>
      <c r="Q7" s="2"/>
      <c r="R7" s="11"/>
      <c r="S7" s="11"/>
      <c r="T7" s="11"/>
      <c r="U7" s="11"/>
      <c r="V7" s="62"/>
      <c r="W7" s="11"/>
      <c r="X7" s="188"/>
      <c r="Y7" s="189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62"/>
    </row>
    <row r="8" spans="1:144" ht="15" customHeight="1" x14ac:dyDescent="0.3">
      <c r="A8" s="24">
        <v>1</v>
      </c>
      <c r="B8" s="25">
        <v>5</v>
      </c>
      <c r="C8" s="203">
        <v>6</v>
      </c>
      <c r="D8" s="196">
        <f>MAX(0,INDEX(Expirations!$C$5:$C$28,C8)-$C$3-$C$4)</f>
        <v>169.23611111111353</v>
      </c>
      <c r="E8" s="57">
        <v>75</v>
      </c>
      <c r="F8" s="204">
        <v>4</v>
      </c>
      <c r="G8" s="31">
        <v>3.6</v>
      </c>
      <c r="H8" s="224">
        <f ca="1">IF($T8=0,0,-$G8*SIGN($B8)*IF($L$4=1,1,ABS($T8)))</f>
        <v>-1800</v>
      </c>
      <c r="I8" s="32">
        <f>X$48</f>
        <v>2.1533653100143439</v>
      </c>
      <c r="J8" s="53">
        <f ca="1">IF($T8=0,0,$I8*SIGN($B8)*IF($L$4=1,1,ABS($T8)))</f>
        <v>1076.6826550071719</v>
      </c>
      <c r="K8" s="225">
        <f ca="1">$H8+$J8</f>
        <v>-723.31734499282811</v>
      </c>
      <c r="L8" s="115">
        <f ca="1">Y$48*IF($L$4=2,$T8,SIGN($T8))</f>
        <v>-104.40599929503307</v>
      </c>
      <c r="M8" s="53">
        <f ca="1">Z$48*IF($L$4=2,$T8,SIGN($T8))</f>
        <v>8.6532688176132648</v>
      </c>
      <c r="N8" s="53">
        <f ca="1">AA$48*IF($L$4=2,$T8,SIGN($T8))</f>
        <v>-6.5128542863352887</v>
      </c>
      <c r="O8" s="53">
        <f ca="1">AB$48*IF($L$4=2,$T8,SIGN($T8))</f>
        <v>83.102568987100099</v>
      </c>
      <c r="P8" s="246">
        <f ca="1">AC$48*IF($L$4=2,$T8,SIGN($T8))</f>
        <v>-46.333392926817446</v>
      </c>
      <c r="Q8" s="116">
        <f>$O$4</f>
        <v>0.28399999999999997</v>
      </c>
      <c r="R8" s="63">
        <f ca="1">IF(S8="",OFFSET(Lists!$D$2,$F8,0),S8)</f>
        <v>100</v>
      </c>
      <c r="S8" s="25"/>
      <c r="T8" s="63">
        <f ca="1">$B8*$R8</f>
        <v>500</v>
      </c>
      <c r="U8" s="220">
        <f ca="1">IF($F8&gt;2,OFFSET(Expirations!$C$4,$C8,0),"")</f>
        <v>45464.677083333336</v>
      </c>
      <c r="V8" s="135" t="str">
        <f ca="1">IF($F8=1,"",CONCATENATE(TEXT($B8,"+0;-0;0")," ",IF($F8&gt;2,CONCATENATE(OFFSET(Expirations!$F$4,$C8,0)," ",E8),""),IF($F8=2,"Stock",IF($F8=3,"C","P"))))</f>
        <v>+5 21Jun 75P</v>
      </c>
      <c r="W8" s="11"/>
      <c r="X8" s="190" t="s">
        <v>66</v>
      </c>
      <c r="Y8" s="191">
        <v>100</v>
      </c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211" t="b">
        <f ca="1">MAX(MAX($L$8:$P$18),ABS(MIN($L$8:$P$18)))&gt;=1000</f>
        <v>0</v>
      </c>
      <c r="EL8" s="281" t="s">
        <v>136</v>
      </c>
      <c r="EM8" s="282"/>
      <c r="EN8" s="283"/>
    </row>
    <row r="9" spans="1:144" ht="3" customHeight="1" x14ac:dyDescent="0.3">
      <c r="A9" s="4"/>
      <c r="B9" s="26"/>
      <c r="C9" s="2"/>
      <c r="D9" s="2"/>
      <c r="E9" s="26"/>
      <c r="F9" s="3"/>
      <c r="G9" s="3"/>
      <c r="H9" s="2"/>
      <c r="I9" s="2"/>
      <c r="J9" s="2"/>
      <c r="K9" s="2"/>
      <c r="L9" s="2"/>
      <c r="M9" s="2"/>
      <c r="N9" s="2"/>
      <c r="O9" s="2"/>
      <c r="P9" s="121"/>
      <c r="Q9" s="2"/>
      <c r="R9" s="26"/>
      <c r="S9" s="26"/>
      <c r="T9" s="26"/>
      <c r="U9" s="26"/>
      <c r="V9" s="62"/>
      <c r="W9" s="11"/>
      <c r="X9" s="192"/>
      <c r="Y9" s="193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62"/>
    </row>
    <row r="10" spans="1:144" ht="15" customHeight="1" x14ac:dyDescent="0.3">
      <c r="A10" s="24">
        <v>2</v>
      </c>
      <c r="B10" s="25">
        <v>-5</v>
      </c>
      <c r="C10" s="203">
        <v>6</v>
      </c>
      <c r="D10" s="196">
        <f>MAX(0,INDEX(Expirations!$C$5:$C$28,C10)-$C$3-$C$4)</f>
        <v>169.23611111111353</v>
      </c>
      <c r="E10" s="57">
        <v>80</v>
      </c>
      <c r="F10" s="204">
        <v>4</v>
      </c>
      <c r="G10" s="31">
        <v>5.65</v>
      </c>
      <c r="H10" s="224">
        <f ca="1">IF($T10=0,0,-$G10*SIGN($B10)*IF($L$4=1,1,ABS($T10)))</f>
        <v>2825</v>
      </c>
      <c r="I10" s="32">
        <f>AX$48</f>
        <v>3.7770065031570788</v>
      </c>
      <c r="J10" s="53">
        <f ca="1">IF($T10=0,0,$I10*SIGN($B10)*IF($L$4=1,1,ABS($T10)))</f>
        <v>-1888.5032515785394</v>
      </c>
      <c r="K10" s="225">
        <f ca="1">$H10+$J10</f>
        <v>936.49674842146055</v>
      </c>
      <c r="L10" s="115">
        <f ca="1">AY$48*IF($L$4=2,$T10,SIGN($T10))</f>
        <v>158.02411296830272</v>
      </c>
      <c r="M10" s="53">
        <f ca="1">AZ$48*IF($L$4=2,$T10,SIGN($T10))</f>
        <v>-10.695511768557623</v>
      </c>
      <c r="N10" s="53">
        <f ca="1">BA$48*IF($L$4=2,$T10,SIGN($T10))</f>
        <v>7.8939033497396611</v>
      </c>
      <c r="O10" s="53">
        <f ca="1">BB$48*IF($L$4=2,$T10,SIGN($T10))</f>
        <v>-102.71546202167517</v>
      </c>
      <c r="P10" s="246">
        <f ca="1">BC$48*IF($L$4=2,$T10,SIGN($T10))</f>
        <v>71.328442180818115</v>
      </c>
      <c r="Q10" s="116">
        <f>$O$4</f>
        <v>0.28399999999999997</v>
      </c>
      <c r="R10" s="63">
        <f ca="1">IF(S10="",OFFSET(Lists!$D$2,$F10,0),S10)</f>
        <v>100</v>
      </c>
      <c r="S10" s="25"/>
      <c r="T10" s="63">
        <f ca="1">$B10*$R10</f>
        <v>-500</v>
      </c>
      <c r="U10" s="220">
        <f ca="1">IF($F10&gt;2,OFFSET(Expirations!$C$4,$C10,0),"")</f>
        <v>45464.677083333336</v>
      </c>
      <c r="V10" s="135" t="str">
        <f ca="1">IF($F10=1,"",CONCATENATE(TEXT($B10,"+0;-0;0")," ",IF($F10&gt;2,CONCATENATE(OFFSET(Expirations!$F$4,$C10,0)," ",E10),""),IF($F10=2,"Stock",IF($F10=3,"C","P"))))</f>
        <v>-5 21Jun 80P</v>
      </c>
      <c r="W10" s="11"/>
      <c r="X10" s="194" t="s">
        <v>17</v>
      </c>
      <c r="Y10" s="195">
        <v>1</v>
      </c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211" t="b">
        <f ca="1">MAX(MAX($P$34:$P$44),ABS(MIN($P$34:$P$44)))&gt;=10000</f>
        <v>0</v>
      </c>
      <c r="EL10" s="281" t="s">
        <v>137</v>
      </c>
      <c r="EM10" s="282"/>
      <c r="EN10" s="283"/>
    </row>
    <row r="11" spans="1:144" ht="3" customHeight="1" x14ac:dyDescent="0.3">
      <c r="A11" s="4"/>
      <c r="B11" s="26"/>
      <c r="C11" s="2"/>
      <c r="D11" s="2"/>
      <c r="E11" s="26"/>
      <c r="F11" s="3"/>
      <c r="G11" s="3"/>
      <c r="H11" s="2"/>
      <c r="I11" s="2"/>
      <c r="J11" s="2"/>
      <c r="K11" s="2"/>
      <c r="L11" s="2"/>
      <c r="M11" s="2"/>
      <c r="N11" s="2"/>
      <c r="O11" s="2"/>
      <c r="P11" s="121"/>
      <c r="Q11" s="2"/>
      <c r="R11" s="26"/>
      <c r="S11" s="26"/>
      <c r="T11" s="26"/>
      <c r="U11" s="26"/>
      <c r="V11" s="62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62"/>
    </row>
    <row r="12" spans="1:144" ht="15" customHeight="1" x14ac:dyDescent="0.3">
      <c r="A12" s="24">
        <v>3</v>
      </c>
      <c r="B12" s="25">
        <v>-5</v>
      </c>
      <c r="C12" s="203">
        <v>6</v>
      </c>
      <c r="D12" s="196">
        <f>MAX(0,INDEX(Expirations!$C$5:$C$28,C12)-$C$3-$C$4)</f>
        <v>169.23611111111353</v>
      </c>
      <c r="E12" s="57">
        <v>90</v>
      </c>
      <c r="F12" s="204">
        <v>3</v>
      </c>
      <c r="G12" s="31">
        <v>6.8</v>
      </c>
      <c r="H12" s="224">
        <f ca="1">IF($T12=0,0,-$G12*SIGN($B12)*IF($L$4=1,1,ABS($T12)))</f>
        <v>3400</v>
      </c>
      <c r="I12" s="32">
        <f>BX$48</f>
        <v>4.8540056136822756</v>
      </c>
      <c r="J12" s="53">
        <f ca="1">IF($T12=0,0,$I12*SIGN($B12)*IF($L$4=1,1,ABS($T12)))</f>
        <v>-2427.002806841138</v>
      </c>
      <c r="K12" s="225">
        <f ca="1">$H12+$J12</f>
        <v>972.99719315886205</v>
      </c>
      <c r="L12" s="115">
        <f ca="1">BY$48*IF($L$4=2,$T12,SIGN($T12))</f>
        <v>-219.30082523913705</v>
      </c>
      <c r="M12" s="53">
        <f ca="1">BZ$48*IF($L$4=2,$T12,SIGN($T12))</f>
        <v>-11.815416008812459</v>
      </c>
      <c r="N12" s="53">
        <f ca="1">CA$48*IF($L$4=2,$T12,SIGN($T12))</f>
        <v>9.9732850824790944</v>
      </c>
      <c r="O12" s="53">
        <f ca="1">CB$48*IF($L$4=2,$T12,SIGN($T12))</f>
        <v>-113.47057911630313</v>
      </c>
      <c r="P12" s="246">
        <f ca="1">CC$48*IF($L$4=2,$T12,SIGN($T12))</f>
        <v>-75.582644688608966</v>
      </c>
      <c r="Q12" s="116">
        <f>$O$4</f>
        <v>0.28399999999999997</v>
      </c>
      <c r="R12" s="63">
        <f ca="1">IF(S12="",OFFSET(Lists!$D$2,$F12,0),S12)</f>
        <v>100</v>
      </c>
      <c r="S12" s="25"/>
      <c r="T12" s="63">
        <f ca="1">$B12*$R12</f>
        <v>-500</v>
      </c>
      <c r="U12" s="220">
        <f ca="1">IF($F12&gt;2,OFFSET(Expirations!$C$4,$C12,0),"")</f>
        <v>45464.677083333336</v>
      </c>
      <c r="V12" s="135" t="str">
        <f ca="1">IF($F12=1,"",CONCATENATE(TEXT($B12,"+0;-0;0")," ",IF($F12&gt;2,CONCATENATE(OFFSET(Expirations!$F$4,$C12,0)," ",E12),""),IF($F12=2,"Stock",IF($F12=3,"C","P"))))</f>
        <v>-5 21Jun 90C</v>
      </c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62"/>
    </row>
    <row r="13" spans="1:144" ht="3" customHeight="1" x14ac:dyDescent="0.3">
      <c r="A13" s="4"/>
      <c r="B13" s="26"/>
      <c r="C13" s="2"/>
      <c r="D13" s="2"/>
      <c r="E13" s="26"/>
      <c r="F13" s="3"/>
      <c r="G13" s="3"/>
      <c r="H13" s="2"/>
      <c r="I13" s="2"/>
      <c r="J13" s="2"/>
      <c r="K13" s="2"/>
      <c r="L13" s="2"/>
      <c r="M13" s="2"/>
      <c r="N13" s="2"/>
      <c r="O13" s="2"/>
      <c r="P13" s="121"/>
      <c r="Q13" s="2"/>
      <c r="R13" s="26"/>
      <c r="S13" s="26"/>
      <c r="T13" s="26"/>
      <c r="U13" s="26"/>
      <c r="V13" s="62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62"/>
    </row>
    <row r="14" spans="1:144" ht="15" customHeight="1" x14ac:dyDescent="0.3">
      <c r="A14" s="24">
        <v>4</v>
      </c>
      <c r="B14" s="25">
        <v>5</v>
      </c>
      <c r="C14" s="203">
        <v>6</v>
      </c>
      <c r="D14" s="196">
        <f>MAX(0,INDEX(Expirations!$C$5:$C$28,C14)-$C$3-$C$4)</f>
        <v>169.23611111111353</v>
      </c>
      <c r="E14" s="57">
        <v>95</v>
      </c>
      <c r="F14" s="204">
        <v>3</v>
      </c>
      <c r="G14" s="31">
        <v>5.15</v>
      </c>
      <c r="H14" s="224">
        <f ca="1">IF($T14=0,0,-$G14*SIGN($B14)*IF($L$4=1,1,ABS($T14)))</f>
        <v>-2575</v>
      </c>
      <c r="I14" s="32">
        <f>CX$48</f>
        <v>3.2943249446933223</v>
      </c>
      <c r="J14" s="53">
        <f ca="1">IF($T14=0,0,$I14*SIGN($B14)*IF($L$4=1,1,ABS($T14)))</f>
        <v>1647.1624723466612</v>
      </c>
      <c r="K14" s="225">
        <f ca="1">$H14+$J14</f>
        <v>-927.83752765333884</v>
      </c>
      <c r="L14" s="115">
        <f ca="1">CY$48*IF($L$4=2,$T14,SIGN($T14))</f>
        <v>166.48870760877972</v>
      </c>
      <c r="M14" s="53">
        <f ca="1">CZ$48*IF($L$4=2,$T14,SIGN($T14))</f>
        <v>10.923205086446611</v>
      </c>
      <c r="N14" s="53">
        <f ca="1">DA$48*IF($L$4=2,$T14,SIGN($T14))</f>
        <v>-9.1668074303667435</v>
      </c>
      <c r="O14" s="53">
        <f ca="1">DB$48*IF($L$4=2,$T14,SIGN($T14))</f>
        <v>104.90213853162672</v>
      </c>
      <c r="P14" s="246">
        <f ca="1">DC$48*IF($L$4=2,$T14,SIGN($T14))</f>
        <v>58.286646850626589</v>
      </c>
      <c r="Q14" s="116">
        <f>$O$4</f>
        <v>0.28399999999999997</v>
      </c>
      <c r="R14" s="63">
        <f ca="1">IF(S14="",OFFSET(Lists!$D$2,$F14,0),S14)</f>
        <v>100</v>
      </c>
      <c r="S14" s="25"/>
      <c r="T14" s="63">
        <f ca="1">$B14*$R14</f>
        <v>500</v>
      </c>
      <c r="U14" s="220">
        <f ca="1">IF($F14&gt;2,OFFSET(Expirations!$C$4,$C14,0),"")</f>
        <v>45464.677083333336</v>
      </c>
      <c r="V14" s="135" t="str">
        <f ca="1">IF($F14=1,"",CONCATENATE(TEXT($B14,"+0;-0;0")," ",IF($F14&gt;2,CONCATENATE(OFFSET(Expirations!$F$4,$C14,0)," ",E14),""),IF($F14=2,"Stock",IF($F14=3,"C","P"))))</f>
        <v>+5 21Jun 95C</v>
      </c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62"/>
    </row>
    <row r="15" spans="1:144" ht="3" customHeight="1" x14ac:dyDescent="0.3">
      <c r="A15" s="4"/>
      <c r="B15" s="26"/>
      <c r="C15" s="2"/>
      <c r="D15" s="2"/>
      <c r="E15" s="26"/>
      <c r="F15" s="3"/>
      <c r="G15" s="3"/>
      <c r="H15" s="2"/>
      <c r="I15" s="2"/>
      <c r="J15" s="2"/>
      <c r="K15" s="2"/>
      <c r="L15" s="2"/>
      <c r="M15" s="2"/>
      <c r="N15" s="2"/>
      <c r="O15" s="2"/>
      <c r="P15" s="121"/>
      <c r="Q15" s="2"/>
      <c r="R15" s="26"/>
      <c r="S15" s="26"/>
      <c r="T15" s="26"/>
      <c r="U15" s="26"/>
      <c r="V15" s="62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62"/>
    </row>
    <row r="16" spans="1:144" ht="15" customHeight="1" x14ac:dyDescent="0.3">
      <c r="A16" s="24">
        <v>5</v>
      </c>
      <c r="B16" s="25"/>
      <c r="C16" s="203">
        <v>6</v>
      </c>
      <c r="D16" s="196">
        <f>MAX(0,INDEX(Expirations!$C$5:$C$28,C16)-$C$3-$C$4)</f>
        <v>169.23611111111353</v>
      </c>
      <c r="E16" s="57">
        <v>200</v>
      </c>
      <c r="F16" s="204">
        <v>1</v>
      </c>
      <c r="G16" s="31"/>
      <c r="H16" s="224">
        <f ca="1">IF($T16=0,0,-$G16*SIGN($B16)*IF($L$4=1,1,ABS($T16)))</f>
        <v>0</v>
      </c>
      <c r="I16" s="32">
        <f>DX$48</f>
        <v>0</v>
      </c>
      <c r="J16" s="53">
        <f ca="1">IF($T16=0,0,$I16*SIGN($B16)*IF($L$4=1,1,ABS($T16)))</f>
        <v>0</v>
      </c>
      <c r="K16" s="225">
        <f ca="1">$H16+$J16</f>
        <v>0</v>
      </c>
      <c r="L16" s="115">
        <f ca="1">DY$48*IF($L$4=2,$T16,SIGN($T16))</f>
        <v>0</v>
      </c>
      <c r="M16" s="53">
        <f ca="1">DZ$48*IF($L$4=2,$T16,SIGN($T16))</f>
        <v>0</v>
      </c>
      <c r="N16" s="53">
        <f ca="1">EA$48*IF($L$4=2,$T16,SIGN($T16))</f>
        <v>0</v>
      </c>
      <c r="O16" s="53">
        <f ca="1">EB$48*IF($L$4=2,$T16,SIGN($T16))</f>
        <v>0</v>
      </c>
      <c r="P16" s="246">
        <f ca="1">EC$48*IF($L$4=2,$T16,SIGN($T16))</f>
        <v>0</v>
      </c>
      <c r="Q16" s="116">
        <f>$O$4</f>
        <v>0.28399999999999997</v>
      </c>
      <c r="R16" s="63">
        <f ca="1">IF(S16="",OFFSET(Lists!$D$2,$F16,0),S16)</f>
        <v>0</v>
      </c>
      <c r="S16" s="25"/>
      <c r="T16" s="63">
        <f ca="1">$B16*$R16</f>
        <v>0</v>
      </c>
      <c r="U16" s="220" t="str">
        <f ca="1">IF($F16&gt;2,OFFSET(Expirations!$C$4,$C16,0),"")</f>
        <v/>
      </c>
      <c r="V16" s="135" t="str">
        <f ca="1">IF($F16=1,"",CONCATENATE(TEXT($B16,"+0;-0;0")," ",IF($F16&gt;2,CONCATENATE(OFFSET(Expirations!$F$4,$C16,0)," ",E16),""),IF($F16=2,"Stock",IF($F16=3,"C","P"))))</f>
        <v/>
      </c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62"/>
    </row>
    <row r="17" spans="1:144" ht="3" customHeight="1" x14ac:dyDescent="0.3">
      <c r="A17" s="4"/>
      <c r="B17" s="26"/>
      <c r="C17" s="26"/>
      <c r="D17" s="26"/>
      <c r="E17" s="3"/>
      <c r="F17" s="3"/>
      <c r="G17" s="3"/>
      <c r="H17" s="3"/>
      <c r="I17" s="2"/>
      <c r="J17" s="2"/>
      <c r="K17" s="2"/>
      <c r="L17" s="2"/>
      <c r="M17" s="2"/>
      <c r="N17" s="2"/>
      <c r="O17" s="2"/>
      <c r="P17" s="121"/>
      <c r="Q17" s="2"/>
      <c r="R17" s="11"/>
      <c r="S17" s="11"/>
      <c r="T17" s="11"/>
      <c r="U17" s="11"/>
      <c r="V17" s="136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62"/>
    </row>
    <row r="18" spans="1:144" ht="15" customHeight="1" x14ac:dyDescent="0.3">
      <c r="A18" s="5"/>
      <c r="B18" s="30"/>
      <c r="C18" s="30"/>
      <c r="D18" s="30"/>
      <c r="E18" s="6"/>
      <c r="F18" s="6"/>
      <c r="G18" s="6"/>
      <c r="H18" s="261">
        <f t="shared" ref="H18:K18" ca="1" si="0">IF($L$4=2,H8+H10+H12+H14+H16,ABS($B8)*H8+ABS($B10)*H10+ABS($B12)*H12+ABS($B14)*H14+ABS($B16)*H16)</f>
        <v>1850</v>
      </c>
      <c r="I18" s="256"/>
      <c r="J18" s="257">
        <f t="shared" ca="1" si="0"/>
        <v>-1591.6609310658441</v>
      </c>
      <c r="K18" s="255">
        <f t="shared" ca="1" si="0"/>
        <v>258.33906893415565</v>
      </c>
      <c r="L18" s="258">
        <f ca="1">IF($L$4=2,L8+L10+L12+L14+L16,ABS($B8)*L8+ABS($B10)*L10+ABS($B12)*L12+ABS($B14)*L14+ABS($B16)*L16)</f>
        <v>0.8059960429123123</v>
      </c>
      <c r="M18" s="259">
        <f t="shared" ref="M18:P18" ca="1" si="1">IF($L$4=2,M8+M10+M12+M14+M16,ABS($B8)*M8+ABS($B10)*M10+ABS($B12)*M12+ABS($B14)*M14+ABS($B16)*M16)</f>
        <v>-2.9344538733102059</v>
      </c>
      <c r="N18" s="259">
        <f t="shared" ca="1" si="1"/>
        <v>2.1875267155167233</v>
      </c>
      <c r="O18" s="259">
        <f t="shared" ca="1" si="1"/>
        <v>-28.18133361925149</v>
      </c>
      <c r="P18" s="260">
        <f t="shared" ca="1" si="1"/>
        <v>7.6990514160182926</v>
      </c>
      <c r="Q18" s="6"/>
      <c r="R18" s="6"/>
      <c r="S18" s="137" t="s">
        <v>143</v>
      </c>
      <c r="T18" s="6"/>
      <c r="U18" s="250">
        <f ca="1">MIN(U8,U10,U12,U14,U16)</f>
        <v>45464.677083333336</v>
      </c>
      <c r="V18" s="7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62"/>
    </row>
    <row r="19" spans="1:144" ht="3" customHeight="1" x14ac:dyDescent="0.3">
      <c r="A19" s="79"/>
      <c r="B19" s="80"/>
      <c r="C19" s="80"/>
      <c r="D19" s="80"/>
      <c r="E19" s="80"/>
      <c r="F19" s="80"/>
      <c r="G19" s="80"/>
      <c r="H19" s="80"/>
      <c r="I19" s="80"/>
      <c r="J19" s="80"/>
      <c r="K19" s="226"/>
      <c r="L19" s="234"/>
      <c r="M19" s="247"/>
      <c r="N19" s="126"/>
      <c r="O19" s="126"/>
      <c r="P19" s="239"/>
      <c r="Q19" s="2"/>
      <c r="R19" s="2"/>
      <c r="S19" s="2"/>
      <c r="T19" s="2"/>
      <c r="U19" s="11"/>
      <c r="V19" s="12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62"/>
    </row>
    <row r="20" spans="1:144" ht="15" customHeight="1" x14ac:dyDescent="0.3">
      <c r="A20" s="81"/>
      <c r="B20" s="1"/>
      <c r="C20" s="1"/>
      <c r="D20" s="1"/>
      <c r="E20" s="1"/>
      <c r="F20" s="1"/>
      <c r="G20" s="1"/>
      <c r="H20" s="1"/>
      <c r="I20" s="1"/>
      <c r="J20" s="1"/>
      <c r="K20" s="227"/>
      <c r="L20" s="277" t="s">
        <v>145</v>
      </c>
      <c r="M20" s="278"/>
      <c r="N20" s="229" t="s">
        <v>151</v>
      </c>
      <c r="O20" s="29"/>
      <c r="P20" s="240"/>
      <c r="Q20" s="2"/>
      <c r="R20" s="2"/>
      <c r="S20" s="2"/>
      <c r="T20" s="2"/>
      <c r="U20" s="11"/>
      <c r="V20" s="12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62"/>
    </row>
    <row r="21" spans="1:144" ht="3" customHeight="1" x14ac:dyDescent="0.3">
      <c r="A21" s="81"/>
      <c r="B21" s="1"/>
      <c r="C21" s="1"/>
      <c r="D21" s="1"/>
      <c r="E21" s="1"/>
      <c r="F21" s="1"/>
      <c r="G21" s="1"/>
      <c r="H21" s="1"/>
      <c r="I21" s="1"/>
      <c r="J21" s="1"/>
      <c r="K21" s="227"/>
      <c r="L21" s="4"/>
      <c r="M21" s="241"/>
      <c r="N21" s="26"/>
      <c r="O21" s="125"/>
      <c r="P21" s="193"/>
      <c r="Q21" s="2"/>
      <c r="R21" s="2"/>
      <c r="S21" s="2"/>
      <c r="T21" s="2"/>
      <c r="U21" s="11"/>
      <c r="V21" s="12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62"/>
    </row>
    <row r="22" spans="1:144" ht="15" customHeight="1" x14ac:dyDescent="0.3">
      <c r="A22" s="81"/>
      <c r="B22" s="1"/>
      <c r="C22" s="1"/>
      <c r="D22" s="1"/>
      <c r="E22" s="1"/>
      <c r="F22" s="1"/>
      <c r="G22" s="1"/>
      <c r="H22" s="1"/>
      <c r="I22" s="1"/>
      <c r="J22" s="1"/>
      <c r="K22" s="227"/>
      <c r="L22" s="235"/>
      <c r="M22" s="248">
        <v>1</v>
      </c>
      <c r="N22" s="290" t="str">
        <f>CONCATENATE("Underlying price = ",IF($M$22=1,"X axis",$G$4))</f>
        <v>Underlying price = X axis</v>
      </c>
      <c r="O22" s="291"/>
      <c r="P22" s="292"/>
      <c r="Q22" s="2"/>
      <c r="R22" s="2"/>
      <c r="S22" s="2"/>
      <c r="T22" s="2"/>
      <c r="U22" s="11"/>
      <c r="V22" s="12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62"/>
    </row>
    <row r="23" spans="1:144" ht="3" customHeight="1" x14ac:dyDescent="0.3">
      <c r="A23" s="81"/>
      <c r="B23" s="1"/>
      <c r="C23" s="1"/>
      <c r="D23" s="1"/>
      <c r="E23" s="1"/>
      <c r="F23" s="1"/>
      <c r="G23" s="1"/>
      <c r="H23" s="1"/>
      <c r="I23" s="1"/>
      <c r="J23" s="1"/>
      <c r="K23" s="227"/>
      <c r="L23" s="4"/>
      <c r="M23" s="241"/>
      <c r="N23" s="230"/>
      <c r="O23" s="132"/>
      <c r="P23" s="241"/>
      <c r="Q23" s="2"/>
      <c r="R23" s="2"/>
      <c r="S23" s="2"/>
      <c r="T23" s="2"/>
      <c r="U23" s="11"/>
      <c r="V23" s="12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62"/>
    </row>
    <row r="24" spans="1:144" ht="15" customHeight="1" x14ac:dyDescent="0.3">
      <c r="A24" s="81"/>
      <c r="B24" s="1"/>
      <c r="C24" s="1"/>
      <c r="D24" s="1"/>
      <c r="E24" s="1"/>
      <c r="F24" s="1"/>
      <c r="G24" s="1"/>
      <c r="H24" s="1"/>
      <c r="I24" s="1"/>
      <c r="J24" s="1"/>
      <c r="K24" s="227"/>
      <c r="L24" s="277" t="s">
        <v>146</v>
      </c>
      <c r="M24" s="278"/>
      <c r="N24" s="290" t="str">
        <f>CONCATENATE("Volatility = ",IF($M$22=2,"X axis",IF($Q$3,CONCATENATE($O$4*100,"% (flat)"),"see cells Q8-Q16")))</f>
        <v>Volatility = 28.4% (flat)</v>
      </c>
      <c r="O24" s="291"/>
      <c r="P24" s="292"/>
      <c r="Q24" s="2"/>
      <c r="R24" s="2"/>
      <c r="S24" s="2"/>
      <c r="T24" s="2"/>
      <c r="U24" s="11"/>
      <c r="V24" s="12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62"/>
    </row>
    <row r="25" spans="1:144" ht="3" customHeight="1" x14ac:dyDescent="0.3">
      <c r="A25" s="81"/>
      <c r="B25" s="1"/>
      <c r="C25" s="1"/>
      <c r="D25" s="1"/>
      <c r="E25" s="1"/>
      <c r="F25" s="1"/>
      <c r="G25" s="1"/>
      <c r="H25" s="1"/>
      <c r="I25" s="1"/>
      <c r="J25" s="1"/>
      <c r="K25" s="227"/>
      <c r="L25" s="4"/>
      <c r="M25" s="241"/>
      <c r="N25" s="230"/>
      <c r="O25" s="132"/>
      <c r="P25" s="241"/>
      <c r="Q25" s="2"/>
      <c r="R25" s="2"/>
      <c r="S25" s="2"/>
      <c r="T25" s="2"/>
      <c r="U25" s="11"/>
      <c r="V25" s="12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62"/>
    </row>
    <row r="26" spans="1:144" ht="15" customHeight="1" x14ac:dyDescent="0.3">
      <c r="A26" s="81"/>
      <c r="B26" s="1"/>
      <c r="C26" s="1"/>
      <c r="D26" s="1"/>
      <c r="E26" s="1"/>
      <c r="F26" s="1"/>
      <c r="G26" s="1"/>
      <c r="H26" s="1"/>
      <c r="I26" s="1"/>
      <c r="J26" s="1"/>
      <c r="K26" s="227"/>
      <c r="L26" s="235"/>
      <c r="M26" s="248">
        <v>1</v>
      </c>
      <c r="N26" s="290" t="str">
        <f>CONCATENATE("Time = ",IF($M$22=3,"X axis",CONCATENATE(DAY($C$3),"/",MONTH($C$3),"/",YEAR($C$3)," ",HOUR($C$4),":",TEXT(MINUTE($C$4),"00"),":",TEXT(SECOND($C$4),"00"))))</f>
        <v>Time = 4/1/2024 10:35:00</v>
      </c>
      <c r="O26" s="291"/>
      <c r="P26" s="292"/>
      <c r="Q26" s="2"/>
      <c r="R26" s="2"/>
      <c r="S26" s="2"/>
      <c r="T26" s="2"/>
      <c r="U26" s="2"/>
      <c r="V26" s="12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62"/>
    </row>
    <row r="27" spans="1:144" ht="3" customHeight="1" x14ac:dyDescent="0.3">
      <c r="A27" s="81"/>
      <c r="B27" s="1"/>
      <c r="C27" s="1"/>
      <c r="D27" s="1"/>
      <c r="E27" s="1"/>
      <c r="F27" s="1"/>
      <c r="G27" s="1"/>
      <c r="H27" s="1"/>
      <c r="I27" s="1"/>
      <c r="J27" s="1"/>
      <c r="K27" s="227"/>
      <c r="L27" s="4"/>
      <c r="M27" s="241"/>
      <c r="N27" s="230"/>
      <c r="O27" s="132"/>
      <c r="P27" s="241"/>
      <c r="Q27" s="2"/>
      <c r="R27" s="2"/>
      <c r="S27" s="2"/>
      <c r="T27" s="2"/>
      <c r="U27" s="2"/>
      <c r="V27" s="12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62"/>
    </row>
    <row r="28" spans="1:144" ht="15" customHeight="1" x14ac:dyDescent="0.3">
      <c r="A28" s="81"/>
      <c r="B28" s="1"/>
      <c r="C28" s="1"/>
      <c r="D28" s="1"/>
      <c r="E28" s="1"/>
      <c r="F28" s="1"/>
      <c r="G28" s="1"/>
      <c r="H28" s="1"/>
      <c r="I28" s="1"/>
      <c r="J28" s="1"/>
      <c r="K28" s="227"/>
      <c r="L28" s="235"/>
      <c r="M28" s="248">
        <v>1</v>
      </c>
      <c r="N28" s="290" t="str">
        <f>CONCATENATE("Dividend yield = ",IF($M$22=4,"X axis",CONCATENATE($J$3*100,"%")))</f>
        <v>Dividend yield = 2.6%</v>
      </c>
      <c r="O28" s="291"/>
      <c r="P28" s="292"/>
      <c r="Q28" s="2"/>
      <c r="R28" s="2"/>
      <c r="S28" s="2"/>
      <c r="T28" s="2"/>
      <c r="U28" s="2"/>
      <c r="V28" s="12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62"/>
    </row>
    <row r="29" spans="1:144" ht="3" customHeight="1" x14ac:dyDescent="0.3">
      <c r="A29" s="81"/>
      <c r="B29" s="1"/>
      <c r="C29" s="1"/>
      <c r="D29" s="1"/>
      <c r="E29" s="1"/>
      <c r="F29" s="1"/>
      <c r="G29" s="1"/>
      <c r="H29" s="1"/>
      <c r="I29" s="1"/>
      <c r="J29" s="1"/>
      <c r="K29" s="227"/>
      <c r="L29" s="4"/>
      <c r="M29" s="241"/>
      <c r="N29" s="67"/>
      <c r="O29" s="133"/>
      <c r="P29" s="193"/>
      <c r="Q29" s="2"/>
      <c r="R29" s="2"/>
      <c r="S29" s="2"/>
      <c r="T29" s="2"/>
      <c r="U29" s="2"/>
      <c r="V29" s="12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62"/>
    </row>
    <row r="30" spans="1:144" ht="15" customHeight="1" x14ac:dyDescent="0.3">
      <c r="A30" s="81"/>
      <c r="B30" s="1"/>
      <c r="C30" s="1"/>
      <c r="D30" s="1"/>
      <c r="E30" s="1"/>
      <c r="F30" s="1"/>
      <c r="G30" s="1"/>
      <c r="H30" s="1"/>
      <c r="I30" s="1"/>
      <c r="J30" s="1"/>
      <c r="K30" s="227"/>
      <c r="L30" s="235"/>
      <c r="M30" s="248">
        <v>2</v>
      </c>
      <c r="N30" s="290" t="str">
        <f>CONCATENATE("Interest rate = ",IF($M$22=5,"X axis",CONCATENATE($J$4*100,"%")))</f>
        <v>Interest rate = 4%</v>
      </c>
      <c r="O30" s="291"/>
      <c r="P30" s="292"/>
      <c r="Q30" s="2"/>
      <c r="R30" s="2"/>
      <c r="S30" s="2"/>
      <c r="T30" s="2"/>
      <c r="U30" s="2"/>
      <c r="V30" s="12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62"/>
    </row>
    <row r="31" spans="1:144" ht="3" customHeight="1" x14ac:dyDescent="0.3">
      <c r="A31" s="81"/>
      <c r="B31" s="1"/>
      <c r="C31" s="1"/>
      <c r="D31" s="1"/>
      <c r="E31" s="1"/>
      <c r="F31" s="1"/>
      <c r="G31" s="1"/>
      <c r="H31" s="1"/>
      <c r="I31" s="1"/>
      <c r="J31" s="1"/>
      <c r="K31" s="227"/>
      <c r="L31" s="4"/>
      <c r="M31" s="241"/>
      <c r="N31" s="67"/>
      <c r="O31" s="67"/>
      <c r="P31" s="193"/>
      <c r="Q31" s="2"/>
      <c r="R31" s="2"/>
      <c r="S31" s="2"/>
      <c r="T31" s="2"/>
      <c r="U31" s="2"/>
      <c r="V31" s="12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62"/>
    </row>
    <row r="32" spans="1:144" ht="15" customHeight="1" x14ac:dyDescent="0.3">
      <c r="A32" s="81"/>
      <c r="B32" s="1"/>
      <c r="C32" s="1"/>
      <c r="D32" s="1"/>
      <c r="E32" s="1"/>
      <c r="F32" s="1"/>
      <c r="G32" s="1"/>
      <c r="H32" s="1"/>
      <c r="I32" s="1"/>
      <c r="J32" s="1"/>
      <c r="K32" s="227"/>
      <c r="L32" s="236"/>
      <c r="M32" s="237"/>
      <c r="N32" s="231" t="s">
        <v>144</v>
      </c>
      <c r="O32" s="221" t="str">
        <f>INDEX(Lists!$D$13:$D$17,$M$22)</f>
        <v>Price</v>
      </c>
      <c r="P32" s="242" t="str">
        <f>INDEX(Lists!$C$20:$C$26,$M$28)</f>
        <v>P/L</v>
      </c>
      <c r="Q32" s="2"/>
      <c r="R32" s="2"/>
      <c r="S32" s="2"/>
      <c r="T32" s="2"/>
      <c r="U32" s="2"/>
      <c r="V32" s="12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62"/>
    </row>
    <row r="33" spans="1:144" ht="3" customHeight="1" x14ac:dyDescent="0.3">
      <c r="A33" s="81"/>
      <c r="B33" s="1"/>
      <c r="C33" s="1"/>
      <c r="D33" s="1"/>
      <c r="E33" s="1"/>
      <c r="F33" s="1"/>
      <c r="G33" s="1"/>
      <c r="H33" s="1"/>
      <c r="I33" s="1"/>
      <c r="J33" s="1"/>
      <c r="K33" s="227"/>
      <c r="L33" s="4"/>
      <c r="M33" s="241"/>
      <c r="N33" s="222"/>
      <c r="O33" s="222"/>
      <c r="P33" s="243"/>
      <c r="Q33" s="2"/>
      <c r="R33" s="2"/>
      <c r="S33" s="2"/>
      <c r="T33" s="2"/>
      <c r="U33" s="2"/>
      <c r="V33" s="12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268"/>
      <c r="EJ33" s="268"/>
      <c r="EK33" s="268"/>
      <c r="EL33" s="268"/>
      <c r="EM33" s="268"/>
      <c r="EN33" s="269"/>
    </row>
    <row r="34" spans="1:144" ht="15" customHeight="1" x14ac:dyDescent="0.3">
      <c r="A34" s="81"/>
      <c r="B34" s="1"/>
      <c r="C34" s="1"/>
      <c r="D34" s="1"/>
      <c r="E34" s="1"/>
      <c r="F34" s="1"/>
      <c r="G34" s="1"/>
      <c r="H34" s="1"/>
      <c r="I34" s="1"/>
      <c r="J34" s="1"/>
      <c r="K34" s="227"/>
      <c r="L34" s="238"/>
      <c r="M34" s="249"/>
      <c r="N34" s="232" t="str">
        <f ca="1">$D$152</f>
        <v>B/E</v>
      </c>
      <c r="O34" s="251">
        <f ca="1">$V$152</f>
        <v>72.306303479748976</v>
      </c>
      <c r="P34" s="252">
        <f ca="1">$W$152</f>
        <v>0</v>
      </c>
      <c r="Q34" s="2"/>
      <c r="R34" s="2"/>
      <c r="S34" s="2"/>
      <c r="T34" s="2"/>
      <c r="U34" s="2"/>
      <c r="V34" s="12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268"/>
      <c r="EJ34" s="268"/>
      <c r="EK34" s="268"/>
      <c r="EL34" s="268"/>
      <c r="EM34" s="268"/>
      <c r="EN34" s="269"/>
    </row>
    <row r="35" spans="1:144" ht="3" customHeight="1" x14ac:dyDescent="0.3">
      <c r="A35" s="81"/>
      <c r="B35" s="1"/>
      <c r="C35" s="1"/>
      <c r="D35" s="1"/>
      <c r="E35" s="1"/>
      <c r="F35" s="1"/>
      <c r="G35" s="1"/>
      <c r="H35" s="1"/>
      <c r="I35" s="1"/>
      <c r="J35" s="1"/>
      <c r="K35" s="227"/>
      <c r="L35" s="238"/>
      <c r="M35" s="249"/>
      <c r="N35" s="233"/>
      <c r="O35" s="253"/>
      <c r="P35" s="254"/>
      <c r="Q35" s="2"/>
      <c r="R35" s="2"/>
      <c r="S35" s="2"/>
      <c r="T35" s="2"/>
      <c r="U35" s="11"/>
      <c r="V35" s="12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268"/>
      <c r="EJ35" s="268"/>
      <c r="EK35" s="268"/>
      <c r="EL35" s="268"/>
      <c r="EM35" s="268"/>
      <c r="EN35" s="269"/>
    </row>
    <row r="36" spans="1:144" ht="15" customHeight="1" x14ac:dyDescent="0.3">
      <c r="A36" s="81"/>
      <c r="B36" s="1"/>
      <c r="C36" s="1"/>
      <c r="D36" s="1"/>
      <c r="E36" s="1"/>
      <c r="F36" s="1"/>
      <c r="G36" s="1"/>
      <c r="H36" s="1"/>
      <c r="I36" s="1"/>
      <c r="J36" s="1"/>
      <c r="K36" s="227"/>
      <c r="L36" s="238"/>
      <c r="M36" s="249"/>
      <c r="N36" s="232" t="str">
        <f ca="1">$D$166</f>
        <v>MAX</v>
      </c>
      <c r="O36" s="251">
        <f ca="1">$V$166</f>
        <v>85.674999999999997</v>
      </c>
      <c r="P36" s="252">
        <f ca="1">$W$166</f>
        <v>258.45</v>
      </c>
      <c r="Q36" s="2"/>
      <c r="R36" s="2"/>
      <c r="S36" s="2"/>
      <c r="T36" s="2"/>
      <c r="U36" s="11"/>
      <c r="V36" s="12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268"/>
      <c r="EJ36" s="268"/>
      <c r="EK36" s="270"/>
      <c r="EL36" s="270"/>
      <c r="EM36" s="270"/>
      <c r="EN36" s="271"/>
    </row>
    <row r="37" spans="1:144" ht="3" customHeight="1" x14ac:dyDescent="0.3">
      <c r="A37" s="81"/>
      <c r="B37" s="1"/>
      <c r="C37" s="1"/>
      <c r="D37" s="1"/>
      <c r="E37" s="1"/>
      <c r="F37" s="1"/>
      <c r="G37" s="1"/>
      <c r="H37" s="1"/>
      <c r="I37" s="1"/>
      <c r="J37" s="1"/>
      <c r="K37" s="227"/>
      <c r="L37" s="238"/>
      <c r="M37" s="249"/>
      <c r="N37" s="233"/>
      <c r="O37" s="253"/>
      <c r="P37" s="254"/>
      <c r="Q37" s="2"/>
      <c r="R37" s="2"/>
      <c r="S37" s="2"/>
      <c r="T37" s="2"/>
      <c r="U37" s="11"/>
      <c r="V37" s="12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268"/>
      <c r="EJ37" s="268"/>
      <c r="EK37" s="270"/>
      <c r="EL37" s="270"/>
      <c r="EM37" s="270"/>
      <c r="EN37" s="271"/>
    </row>
    <row r="38" spans="1:144" ht="15" customHeight="1" x14ac:dyDescent="0.3">
      <c r="A38" s="81"/>
      <c r="B38" s="1"/>
      <c r="C38" s="1"/>
      <c r="D38" s="1"/>
      <c r="E38" s="1"/>
      <c r="F38" s="1"/>
      <c r="G38" s="1"/>
      <c r="H38" s="1"/>
      <c r="I38" s="1"/>
      <c r="J38" s="1"/>
      <c r="K38" s="227"/>
      <c r="L38" s="238"/>
      <c r="M38" s="249"/>
      <c r="N38" s="232" t="str">
        <f ca="1">$D$180</f>
        <v>B/E</v>
      </c>
      <c r="O38" s="251">
        <f ca="1">$V$180</f>
        <v>101.51447999999999</v>
      </c>
      <c r="P38" s="252">
        <f ca="1">$W$180</f>
        <v>0</v>
      </c>
      <c r="Q38" s="2"/>
      <c r="R38" s="2"/>
      <c r="S38" s="2"/>
      <c r="T38" s="2"/>
      <c r="U38" s="11"/>
      <c r="V38" s="12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268"/>
      <c r="EJ38" s="268"/>
      <c r="EK38" s="270"/>
      <c r="EL38" s="270"/>
      <c r="EM38" s="270"/>
      <c r="EN38" s="271"/>
    </row>
    <row r="39" spans="1:144" ht="3" customHeight="1" x14ac:dyDescent="0.3">
      <c r="A39" s="81"/>
      <c r="B39" s="1"/>
      <c r="C39" s="1"/>
      <c r="D39" s="1"/>
      <c r="E39" s="1"/>
      <c r="F39" s="1"/>
      <c r="G39" s="1"/>
      <c r="H39" s="1"/>
      <c r="I39" s="1"/>
      <c r="J39" s="1"/>
      <c r="K39" s="227"/>
      <c r="L39" s="4"/>
      <c r="M39" s="241"/>
      <c r="N39" s="233"/>
      <c r="O39" s="253"/>
      <c r="P39" s="254"/>
      <c r="Q39" s="2"/>
      <c r="R39" s="2"/>
      <c r="S39" s="2"/>
      <c r="T39" s="2"/>
      <c r="U39" s="11"/>
      <c r="V39" s="12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268"/>
      <c r="EJ39" s="268"/>
      <c r="EK39" s="270"/>
      <c r="EL39" s="270"/>
      <c r="EM39" s="270"/>
      <c r="EN39" s="271"/>
    </row>
    <row r="40" spans="1:144" ht="15" customHeight="1" x14ac:dyDescent="0.3">
      <c r="A40" s="81"/>
      <c r="B40" s="1"/>
      <c r="C40" s="1"/>
      <c r="D40" s="1"/>
      <c r="E40" s="1"/>
      <c r="F40" s="1"/>
      <c r="G40" s="1"/>
      <c r="H40" s="1"/>
      <c r="I40" s="1"/>
      <c r="J40" s="1"/>
      <c r="K40" s="227"/>
      <c r="L40" s="277" t="s">
        <v>147</v>
      </c>
      <c r="M40" s="278"/>
      <c r="N40" s="232" t="str">
        <f ca="1">$D$194</f>
        <v/>
      </c>
      <c r="O40" s="251" t="str">
        <f ca="1">$V$194</f>
        <v/>
      </c>
      <c r="P40" s="252" t="str">
        <f ca="1">$W$194</f>
        <v/>
      </c>
      <c r="Q40" s="2"/>
      <c r="R40" s="286" t="s">
        <v>152</v>
      </c>
      <c r="S40" s="286"/>
      <c r="T40" s="286"/>
      <c r="U40" s="286"/>
      <c r="V40" s="12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268"/>
      <c r="EJ40" s="268"/>
      <c r="EK40" s="270"/>
      <c r="EL40" s="270"/>
      <c r="EM40" s="270"/>
      <c r="EN40" s="271"/>
    </row>
    <row r="41" spans="1:144" ht="3" customHeight="1" x14ac:dyDescent="0.3">
      <c r="A41" s="81"/>
      <c r="B41" s="1"/>
      <c r="C41" s="1"/>
      <c r="D41" s="1"/>
      <c r="E41" s="1"/>
      <c r="F41" s="1"/>
      <c r="G41" s="1"/>
      <c r="H41" s="1"/>
      <c r="I41" s="1"/>
      <c r="J41" s="1"/>
      <c r="K41" s="227"/>
      <c r="L41" s="262"/>
      <c r="M41" s="263"/>
      <c r="N41" s="222"/>
      <c r="O41" s="223"/>
      <c r="P41" s="243"/>
      <c r="Q41" s="2"/>
      <c r="R41" s="266"/>
      <c r="S41" s="266"/>
      <c r="T41" s="266"/>
      <c r="U41" s="266"/>
      <c r="V41" s="12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268"/>
      <c r="EJ41" s="268"/>
      <c r="EK41" s="270"/>
      <c r="EL41" s="270"/>
      <c r="EM41" s="270"/>
      <c r="EN41" s="271"/>
    </row>
    <row r="42" spans="1:144" ht="15" customHeight="1" x14ac:dyDescent="0.3">
      <c r="A42" s="81"/>
      <c r="B42" s="1"/>
      <c r="C42" s="1"/>
      <c r="D42" s="1"/>
      <c r="E42" s="1"/>
      <c r="F42" s="1"/>
      <c r="G42" s="1"/>
      <c r="H42" s="1"/>
      <c r="I42" s="1"/>
      <c r="J42" s="1"/>
      <c r="K42" s="227"/>
      <c r="L42" s="262"/>
      <c r="M42" s="263"/>
      <c r="N42" s="232" t="str">
        <f ca="1">$D$208</f>
        <v/>
      </c>
      <c r="O42" s="251" t="str">
        <f ca="1">$V$208</f>
        <v/>
      </c>
      <c r="P42" s="252" t="str">
        <f ca="1">$W$208</f>
        <v/>
      </c>
      <c r="Q42" s="2"/>
      <c r="R42" s="284" t="s">
        <v>153</v>
      </c>
      <c r="S42" s="284"/>
      <c r="T42" s="284"/>
      <c r="U42" s="284"/>
      <c r="V42" s="12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268"/>
      <c r="EJ42" s="268"/>
      <c r="EK42" s="270"/>
      <c r="EL42" s="270"/>
      <c r="EM42" s="270"/>
      <c r="EN42" s="271"/>
    </row>
    <row r="43" spans="1:144" ht="3" customHeight="1" x14ac:dyDescent="0.3">
      <c r="A43" s="81"/>
      <c r="B43" s="1"/>
      <c r="C43" s="1"/>
      <c r="D43" s="1"/>
      <c r="E43" s="1"/>
      <c r="F43" s="1"/>
      <c r="G43" s="1"/>
      <c r="H43" s="1"/>
      <c r="I43" s="1"/>
      <c r="J43" s="1"/>
      <c r="K43" s="227"/>
      <c r="L43" s="262"/>
      <c r="M43" s="263"/>
      <c r="N43" s="222"/>
      <c r="O43" s="223"/>
      <c r="P43" s="243"/>
      <c r="Q43" s="2"/>
      <c r="R43" s="266"/>
      <c r="S43" s="266"/>
      <c r="T43" s="266"/>
      <c r="U43" s="266"/>
      <c r="V43" s="12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268"/>
      <c r="EJ43" s="268"/>
      <c r="EK43" s="270"/>
      <c r="EL43" s="270"/>
      <c r="EM43" s="270"/>
      <c r="EN43" s="271"/>
    </row>
    <row r="44" spans="1:144" ht="15" customHeight="1" x14ac:dyDescent="0.3">
      <c r="A44" s="81"/>
      <c r="B44" s="1"/>
      <c r="C44" s="1"/>
      <c r="D44" s="1"/>
      <c r="E44" s="1"/>
      <c r="F44" s="1"/>
      <c r="G44" s="1"/>
      <c r="H44" s="1"/>
      <c r="I44" s="1"/>
      <c r="J44" s="1"/>
      <c r="K44" s="227"/>
      <c r="L44" s="262"/>
      <c r="M44" s="263"/>
      <c r="N44" s="232" t="str">
        <f ca="1">$D$222</f>
        <v/>
      </c>
      <c r="O44" s="251" t="str">
        <f ca="1">$V$222</f>
        <v/>
      </c>
      <c r="P44" s="252" t="str">
        <f ca="1">$W$222</f>
        <v/>
      </c>
      <c r="Q44" s="2"/>
      <c r="R44" s="285"/>
      <c r="S44" s="286"/>
      <c r="T44" s="286"/>
      <c r="U44" s="286"/>
      <c r="V44" s="12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268"/>
      <c r="EJ44" s="268"/>
      <c r="EK44" s="268"/>
      <c r="EL44" s="268"/>
      <c r="EM44" s="268"/>
      <c r="EN44" s="269"/>
    </row>
    <row r="45" spans="1:144" ht="3" customHeight="1" x14ac:dyDescent="0.3">
      <c r="A45" s="82"/>
      <c r="B45" s="83"/>
      <c r="C45" s="83"/>
      <c r="D45" s="83"/>
      <c r="E45" s="83"/>
      <c r="F45" s="83"/>
      <c r="G45" s="83"/>
      <c r="H45" s="83"/>
      <c r="I45" s="83"/>
      <c r="J45" s="83"/>
      <c r="K45" s="228"/>
      <c r="L45" s="264"/>
      <c r="M45" s="265"/>
      <c r="N45" s="134"/>
      <c r="O45" s="134"/>
      <c r="P45" s="244"/>
      <c r="Q45" s="123"/>
      <c r="R45" s="123"/>
      <c r="S45" s="123"/>
      <c r="T45" s="123"/>
      <c r="U45" s="12"/>
      <c r="V45" s="122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62"/>
    </row>
    <row r="46" spans="1:144" x14ac:dyDescent="0.3">
      <c r="A46" s="37" t="s">
        <v>148</v>
      </c>
      <c r="B46" s="10"/>
      <c r="C46" s="10"/>
      <c r="D46" s="10"/>
      <c r="E46" s="10"/>
      <c r="F46" s="33" t="s">
        <v>38</v>
      </c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8"/>
      <c r="AF46" s="33" t="s">
        <v>39</v>
      </c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33" t="s">
        <v>40</v>
      </c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33" t="s">
        <v>41</v>
      </c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33" t="s">
        <v>42</v>
      </c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33" t="s">
        <v>36</v>
      </c>
      <c r="EG46" s="10"/>
      <c r="EH46" s="130"/>
      <c r="EI46" s="10" t="s">
        <v>103</v>
      </c>
      <c r="EJ46" s="10"/>
      <c r="EK46" s="10"/>
      <c r="EL46" s="10"/>
      <c r="EM46" s="10"/>
      <c r="EN46" s="130"/>
    </row>
    <row r="47" spans="1:144" x14ac:dyDescent="0.3">
      <c r="A47" s="38" t="s">
        <v>141</v>
      </c>
      <c r="B47" s="9" t="s">
        <v>11</v>
      </c>
      <c r="C47" s="9" t="s">
        <v>20</v>
      </c>
      <c r="D47" s="9" t="s">
        <v>138</v>
      </c>
      <c r="E47" s="9" t="s">
        <v>139</v>
      </c>
      <c r="F47" s="34" t="s">
        <v>14</v>
      </c>
      <c r="G47" s="9" t="s">
        <v>11</v>
      </c>
      <c r="H47" s="9" t="s">
        <v>149</v>
      </c>
      <c r="I47" s="9" t="s">
        <v>150</v>
      </c>
      <c r="J47" s="9" t="s">
        <v>47</v>
      </c>
      <c r="K47" s="9" t="s">
        <v>46</v>
      </c>
      <c r="L47" s="9" t="s">
        <v>6</v>
      </c>
      <c r="M47" s="9" t="s">
        <v>48</v>
      </c>
      <c r="N47" s="9" t="s">
        <v>49</v>
      </c>
      <c r="O47" s="9" t="s">
        <v>50</v>
      </c>
      <c r="P47" s="9" t="s">
        <v>51</v>
      </c>
      <c r="Q47" s="9" t="s">
        <v>52</v>
      </c>
      <c r="R47" s="9" t="s">
        <v>53</v>
      </c>
      <c r="S47" s="9" t="s">
        <v>54</v>
      </c>
      <c r="T47" s="9" t="s">
        <v>55</v>
      </c>
      <c r="U47" s="9" t="s">
        <v>56</v>
      </c>
      <c r="V47" s="9" t="s">
        <v>57</v>
      </c>
      <c r="W47" s="9" t="s">
        <v>59</v>
      </c>
      <c r="X47" s="9" t="s">
        <v>5</v>
      </c>
      <c r="Y47" s="9" t="s">
        <v>0</v>
      </c>
      <c r="Z47" s="9" t="s">
        <v>1</v>
      </c>
      <c r="AA47" s="9" t="s">
        <v>2</v>
      </c>
      <c r="AB47" s="9" t="s">
        <v>3</v>
      </c>
      <c r="AC47" s="9" t="s">
        <v>4</v>
      </c>
      <c r="AD47" s="9" t="s">
        <v>61</v>
      </c>
      <c r="AE47" s="9" t="s">
        <v>64</v>
      </c>
      <c r="AF47" s="34" t="s">
        <v>14</v>
      </c>
      <c r="AG47" s="9" t="s">
        <v>11</v>
      </c>
      <c r="AH47" s="9" t="s">
        <v>149</v>
      </c>
      <c r="AI47" s="9" t="s">
        <v>150</v>
      </c>
      <c r="AJ47" s="9" t="s">
        <v>47</v>
      </c>
      <c r="AK47" s="9" t="s">
        <v>46</v>
      </c>
      <c r="AL47" s="9" t="s">
        <v>6</v>
      </c>
      <c r="AM47" s="9" t="s">
        <v>48</v>
      </c>
      <c r="AN47" s="9" t="s">
        <v>49</v>
      </c>
      <c r="AO47" s="9" t="s">
        <v>50</v>
      </c>
      <c r="AP47" s="9" t="s">
        <v>51</v>
      </c>
      <c r="AQ47" s="9" t="s">
        <v>52</v>
      </c>
      <c r="AR47" s="9" t="s">
        <v>53</v>
      </c>
      <c r="AS47" s="9" t="s">
        <v>54</v>
      </c>
      <c r="AT47" s="9" t="s">
        <v>55</v>
      </c>
      <c r="AU47" s="9" t="s">
        <v>56</v>
      </c>
      <c r="AV47" s="9" t="s">
        <v>57</v>
      </c>
      <c r="AW47" s="9" t="s">
        <v>59</v>
      </c>
      <c r="AX47" s="9" t="s">
        <v>5</v>
      </c>
      <c r="AY47" s="9" t="s">
        <v>0</v>
      </c>
      <c r="AZ47" s="9" t="s">
        <v>1</v>
      </c>
      <c r="BA47" s="9" t="s">
        <v>2</v>
      </c>
      <c r="BB47" s="9" t="s">
        <v>3</v>
      </c>
      <c r="BC47" s="9" t="s">
        <v>4</v>
      </c>
      <c r="BD47" s="9" t="s">
        <v>61</v>
      </c>
      <c r="BE47" s="9" t="s">
        <v>64</v>
      </c>
      <c r="BF47" s="34" t="s">
        <v>14</v>
      </c>
      <c r="BG47" s="9" t="s">
        <v>11</v>
      </c>
      <c r="BH47" s="9" t="s">
        <v>149</v>
      </c>
      <c r="BI47" s="9" t="s">
        <v>150</v>
      </c>
      <c r="BJ47" s="9" t="s">
        <v>47</v>
      </c>
      <c r="BK47" s="9" t="s">
        <v>46</v>
      </c>
      <c r="BL47" s="9" t="s">
        <v>6</v>
      </c>
      <c r="BM47" s="9" t="s">
        <v>48</v>
      </c>
      <c r="BN47" s="9" t="s">
        <v>49</v>
      </c>
      <c r="BO47" s="9" t="s">
        <v>50</v>
      </c>
      <c r="BP47" s="9" t="s">
        <v>51</v>
      </c>
      <c r="BQ47" s="9" t="s">
        <v>52</v>
      </c>
      <c r="BR47" s="9" t="s">
        <v>53</v>
      </c>
      <c r="BS47" s="9" t="s">
        <v>54</v>
      </c>
      <c r="BT47" s="9" t="s">
        <v>55</v>
      </c>
      <c r="BU47" s="9" t="s">
        <v>56</v>
      </c>
      <c r="BV47" s="9" t="s">
        <v>57</v>
      </c>
      <c r="BW47" s="9" t="s">
        <v>59</v>
      </c>
      <c r="BX47" s="9" t="s">
        <v>5</v>
      </c>
      <c r="BY47" s="9" t="s">
        <v>0</v>
      </c>
      <c r="BZ47" s="9" t="s">
        <v>1</v>
      </c>
      <c r="CA47" s="9" t="s">
        <v>2</v>
      </c>
      <c r="CB47" s="9" t="s">
        <v>3</v>
      </c>
      <c r="CC47" s="9" t="s">
        <v>4</v>
      </c>
      <c r="CD47" s="9" t="s">
        <v>61</v>
      </c>
      <c r="CE47" s="9" t="s">
        <v>64</v>
      </c>
      <c r="CF47" s="34" t="s">
        <v>14</v>
      </c>
      <c r="CG47" s="9" t="s">
        <v>11</v>
      </c>
      <c r="CH47" s="9" t="s">
        <v>149</v>
      </c>
      <c r="CI47" s="9" t="s">
        <v>150</v>
      </c>
      <c r="CJ47" s="9" t="s">
        <v>47</v>
      </c>
      <c r="CK47" s="9" t="s">
        <v>46</v>
      </c>
      <c r="CL47" s="9" t="s">
        <v>6</v>
      </c>
      <c r="CM47" s="9" t="s">
        <v>48</v>
      </c>
      <c r="CN47" s="9" t="s">
        <v>49</v>
      </c>
      <c r="CO47" s="9" t="s">
        <v>50</v>
      </c>
      <c r="CP47" s="9" t="s">
        <v>51</v>
      </c>
      <c r="CQ47" s="9" t="s">
        <v>52</v>
      </c>
      <c r="CR47" s="9" t="s">
        <v>53</v>
      </c>
      <c r="CS47" s="9" t="s">
        <v>54</v>
      </c>
      <c r="CT47" s="9" t="s">
        <v>55</v>
      </c>
      <c r="CU47" s="9" t="s">
        <v>56</v>
      </c>
      <c r="CV47" s="9" t="s">
        <v>57</v>
      </c>
      <c r="CW47" s="9" t="s">
        <v>59</v>
      </c>
      <c r="CX47" s="9" t="s">
        <v>5</v>
      </c>
      <c r="CY47" s="9" t="s">
        <v>0</v>
      </c>
      <c r="CZ47" s="9" t="s">
        <v>1</v>
      </c>
      <c r="DA47" s="9" t="s">
        <v>2</v>
      </c>
      <c r="DB47" s="9" t="s">
        <v>3</v>
      </c>
      <c r="DC47" s="9" t="s">
        <v>4</v>
      </c>
      <c r="DD47" s="9" t="s">
        <v>61</v>
      </c>
      <c r="DE47" s="9" t="s">
        <v>64</v>
      </c>
      <c r="DF47" s="34" t="s">
        <v>14</v>
      </c>
      <c r="DG47" s="9" t="s">
        <v>11</v>
      </c>
      <c r="DH47" s="9" t="s">
        <v>149</v>
      </c>
      <c r="DI47" s="9" t="s">
        <v>150</v>
      </c>
      <c r="DJ47" s="9" t="s">
        <v>47</v>
      </c>
      <c r="DK47" s="9" t="s">
        <v>46</v>
      </c>
      <c r="DL47" s="9" t="s">
        <v>6</v>
      </c>
      <c r="DM47" s="9" t="s">
        <v>48</v>
      </c>
      <c r="DN47" s="9" t="s">
        <v>49</v>
      </c>
      <c r="DO47" s="9" t="s">
        <v>50</v>
      </c>
      <c r="DP47" s="9" t="s">
        <v>51</v>
      </c>
      <c r="DQ47" s="9" t="s">
        <v>52</v>
      </c>
      <c r="DR47" s="9" t="s">
        <v>53</v>
      </c>
      <c r="DS47" s="9" t="s">
        <v>54</v>
      </c>
      <c r="DT47" s="9" t="s">
        <v>55</v>
      </c>
      <c r="DU47" s="9" t="s">
        <v>56</v>
      </c>
      <c r="DV47" s="9" t="s">
        <v>57</v>
      </c>
      <c r="DW47" s="9" t="s">
        <v>59</v>
      </c>
      <c r="DX47" s="9" t="s">
        <v>5</v>
      </c>
      <c r="DY47" s="9" t="s">
        <v>0</v>
      </c>
      <c r="DZ47" s="9" t="s">
        <v>1</v>
      </c>
      <c r="EA47" s="9" t="s">
        <v>2</v>
      </c>
      <c r="EB47" s="9" t="s">
        <v>3</v>
      </c>
      <c r="EC47" s="9" t="s">
        <v>4</v>
      </c>
      <c r="ED47" s="9" t="s">
        <v>61</v>
      </c>
      <c r="EE47" s="9" t="s">
        <v>64</v>
      </c>
      <c r="EF47" s="34" t="s">
        <v>94</v>
      </c>
      <c r="EG47" s="9" t="s">
        <v>61</v>
      </c>
      <c r="EH47" s="131" t="s">
        <v>95</v>
      </c>
      <c r="EI47" s="9" t="s">
        <v>102</v>
      </c>
      <c r="EJ47" s="9" t="s">
        <v>106</v>
      </c>
      <c r="EK47" s="9" t="s">
        <v>108</v>
      </c>
      <c r="EL47" s="9" t="s">
        <v>107</v>
      </c>
      <c r="EM47" s="9" t="s">
        <v>36</v>
      </c>
      <c r="EN47" s="131" t="s">
        <v>22</v>
      </c>
    </row>
    <row r="48" spans="1:144" x14ac:dyDescent="0.3">
      <c r="A48" s="36">
        <f>$G$4</f>
        <v>85.4</v>
      </c>
      <c r="B48" s="35">
        <f>$O$4</f>
        <v>0.28399999999999997</v>
      </c>
      <c r="C48" s="39">
        <f>$C$3+$C$4</f>
        <v>45295.440972222219</v>
      </c>
      <c r="D48" s="35">
        <f>$J$3</f>
        <v>2.5999999999999999E-2</v>
      </c>
      <c r="E48" s="35">
        <f>$J$4</f>
        <v>0.04</v>
      </c>
      <c r="F48" s="142">
        <f>$E$8</f>
        <v>75</v>
      </c>
      <c r="G48" s="43">
        <f>$Q$8</f>
        <v>0.28399999999999997</v>
      </c>
      <c r="H48" s="198">
        <f>MAX($D$8,0)</f>
        <v>169.23611111111353</v>
      </c>
      <c r="I48" s="41">
        <f>H48/365</f>
        <v>0.4636605783866124</v>
      </c>
      <c r="J48" s="40">
        <f t="shared" ref="J48:J53" si="2">LN($A48/F48)</f>
        <v>0.12985798725821379</v>
      </c>
      <c r="K48" s="40">
        <f>($E48-$D48+POWER(G48,2)/2)*I48</f>
        <v>2.5189751902587879E-2</v>
      </c>
      <c r="L48" s="40">
        <f t="shared" ref="L48:L53" si="3">MAX(0,0.000000000001,G48*SQRT(I48))</f>
        <v>0.19338305926412119</v>
      </c>
      <c r="M48" s="42">
        <f t="shared" ref="M48:M53" si="4">(J48+K48)/L48</f>
        <v>0.80176484822819238</v>
      </c>
      <c r="N48" s="42">
        <f>M48-L48</f>
        <v>0.60838178896407125</v>
      </c>
      <c r="O48" s="42">
        <f>_xlfn.NORM.DIST(M48,0,1,TRUE)</f>
        <v>0.78865550202522428</v>
      </c>
      <c r="P48" s="42">
        <f>_xlfn.NORM.DIST(-M48,0,1,TRUE)</f>
        <v>0.21134449797477572</v>
      </c>
      <c r="Q48" s="42">
        <f>_xlfn.NORM.DIST(N48,0,1,TRUE)</f>
        <v>0.72853285658035116</v>
      </c>
      <c r="R48" s="42">
        <f>_xlfn.NORM.DIST(-N48,0,1,TRUE)</f>
        <v>0.27146714341964884</v>
      </c>
      <c r="S48" s="42">
        <f t="shared" ref="S48:S53" si="5">EXP(-$E48*I48)</f>
        <v>0.98162450344672314</v>
      </c>
      <c r="T48" s="42">
        <f>F48*S48</f>
        <v>73.621837758504242</v>
      </c>
      <c r="U48" s="42">
        <f t="shared" ref="U48:U53" si="6">EXP(-$D48*I48)</f>
        <v>0.9880171974715336</v>
      </c>
      <c r="V48" s="42">
        <f>$A48*U48</f>
        <v>84.376668664068973</v>
      </c>
      <c r="W48" s="42">
        <f>EXP(-1*POWER(M48,2)/2)/SQRT(2*PI())</f>
        <v>0.28928238154977248</v>
      </c>
      <c r="X48" s="42">
        <f>IF($F$8=1,0,IF($F$8=2,$A48,IF($F$8=3,V48*O48-T48*Q48,T48*R48-V48*P48)))</f>
        <v>2.1533653100143439</v>
      </c>
      <c r="Y48" s="42">
        <f>IF($F$8=2,1,IF(OR($F$8=1,I48&lt;=0),0,IF($F$8=3,O48*U48,(O48-1)*U48)))</f>
        <v>-0.20881199859006613</v>
      </c>
      <c r="Z48" s="42">
        <f>IF(OR($F$8&lt;=2,I48&lt;=0),0,W48*U48/($A48*L48))</f>
        <v>1.7306537635226528E-2</v>
      </c>
      <c r="AA48" s="42">
        <f>IF(OR($F$8&lt;=2,I48&lt;=0),0,(IF($F$8=3,-1*$E48*F48*S48*Q48+$D48*$A48*U48*O48,$E48*F48*S48*R48-$D48*$A48*U48*P48)-(W48*$A48*G48*U48/(2*SQRT(I48))))/365)</f>
        <v>-1.3025708572670578E-2</v>
      </c>
      <c r="AB48" s="42">
        <f>IF(OR($F$8&lt;=2,I48&lt;=0),0,(W48*$A48*U48*SQRT(I48))/100)</f>
        <v>0.1662051379742002</v>
      </c>
      <c r="AC48" s="42">
        <f>IF(OR($F$8&lt;=2,I48&lt;=0),0,IF($F$8=3,Q48,-1*R48)*F48*I48*S48/100)</f>
        <v>-9.2666785853634887E-2</v>
      </c>
      <c r="AD48" s="42">
        <f ca="1">IF($F$8=1,0,IF($M$28=1,X48-$G$8,OFFSET(V48,0,$M$28))*IF($M$30=1,SIGN($B$8),$T$8))</f>
        <v>-723.31734499282811</v>
      </c>
      <c r="AE48" s="36"/>
      <c r="AF48" s="142">
        <f>$E$10</f>
        <v>80</v>
      </c>
      <c r="AG48" s="43">
        <f>$Q$10</f>
        <v>0.28399999999999997</v>
      </c>
      <c r="AH48" s="198">
        <f>MAX($D$10,0)</f>
        <v>169.23611111111353</v>
      </c>
      <c r="AI48" s="41">
        <f>AH48/365</f>
        <v>0.4636605783866124</v>
      </c>
      <c r="AJ48" s="40">
        <f>LN($A48/AF48)</f>
        <v>6.5319466120642669E-2</v>
      </c>
      <c r="AK48" s="40">
        <f>($E48-$D48+POWER(AG48,2)/2)*AI48</f>
        <v>2.5189751902587879E-2</v>
      </c>
      <c r="AL48" s="40">
        <f>MAX(0,0.000000000001,AG48*SQRT(AI48))</f>
        <v>0.19338305926412119</v>
      </c>
      <c r="AM48" s="42">
        <f>(AJ48+AK48)/AL48</f>
        <v>0.46803074875143902</v>
      </c>
      <c r="AN48" s="42">
        <f>AM48-AL48</f>
        <v>0.27464768948731783</v>
      </c>
      <c r="AO48" s="42">
        <f>_xlfn.NORM.DIST(AM48,0,1,TRUE)</f>
        <v>0.68011869960825122</v>
      </c>
      <c r="AP48" s="42">
        <f>_xlfn.NORM.DIST(-AM48,0,1,TRUE)</f>
        <v>0.31988130039174878</v>
      </c>
      <c r="AQ48" s="42">
        <f>_xlfn.NORM.DIST(AN48,0,1,TRUE)</f>
        <v>0.60820653811474124</v>
      </c>
      <c r="AR48" s="42">
        <f>_xlfn.NORM.DIST(-AN48,0,1,TRUE)</f>
        <v>0.39179346188525876</v>
      </c>
      <c r="AS48" s="42">
        <f>EXP(-$E48*AI48)</f>
        <v>0.98162450344672314</v>
      </c>
      <c r="AT48" s="42">
        <f>AF48*AS48</f>
        <v>78.529960275737849</v>
      </c>
      <c r="AU48" s="42">
        <f>EXP(-$D48*AI48)</f>
        <v>0.9880171974715336</v>
      </c>
      <c r="AV48" s="42">
        <f>$A48*AU48</f>
        <v>84.376668664068973</v>
      </c>
      <c r="AW48" s="42">
        <f>EXP(-1*POWER(AM48,2)/2)/SQRT(2*PI())</f>
        <v>0.35755541420419656</v>
      </c>
      <c r="AX48" s="42">
        <f>IF($F$10=1,0,IF($F$10=2,$A48,IF($F$10=3,AV48*AO48-AT48*AQ48,AT48*AR48-AV48*AP48)))</f>
        <v>3.7770065031570788</v>
      </c>
      <c r="AY48" s="42">
        <f>IF($F$10=2,1,IF(OR($F$10=1,AI48&lt;=0),0,IF($F$10=3,AO48*AU48,(AO48-1)*AU48)))</f>
        <v>-0.31604822593660542</v>
      </c>
      <c r="AZ48" s="42">
        <f>IF(OR($F$10&lt;=2,AI48&lt;=0),0,AW48*AU48/($A48*AL48))</f>
        <v>2.1391023537115247E-2</v>
      </c>
      <c r="BA48" s="42">
        <f>IF(OR($F$10&lt;=2,AI48&lt;=0),0,(IF($F$10=3,-1*$E48*AF48*AS48*AQ48+$D48*$A48*AU48*AO48,$E48*AF48*AS48*AR48-$D48*$A48*AU48*AP48)-(AW48*$A48*AG48*AU48/(2*SQRT(AI48))))/365)</f>
        <v>-1.5787806699479323E-2</v>
      </c>
      <c r="BB48" s="42">
        <f>IF(OR($F$10&lt;=2,AI48&lt;=0),0,(AW48*$A48*AU48*SQRT(AI48))/100)</f>
        <v>0.20543092404335034</v>
      </c>
      <c r="BC48" s="42">
        <f>IF(OR($F$10&lt;=2,AI48&lt;=0),0,IF($F$10=3,AQ48,-1*AR48)*AF48*AI48*AS48/100)</f>
        <v>-0.14265688436163623</v>
      </c>
      <c r="BD48" s="42">
        <f ca="1">IF($F$10=1,0,IF($M$28=1,AX48-$G$10,OFFSET(AV48,0,$M$28))*IF($M$30=1,SIGN($B$10),$T$10))</f>
        <v>936.49674842146078</v>
      </c>
      <c r="BE48" s="40"/>
      <c r="BF48" s="142">
        <f>$E$12</f>
        <v>90</v>
      </c>
      <c r="BG48" s="43">
        <f>$Q$12</f>
        <v>0.28399999999999997</v>
      </c>
      <c r="BH48" s="198">
        <f>MAX($D$12,0)</f>
        <v>169.23611111111353</v>
      </c>
      <c r="BI48" s="41">
        <f>BH48/365</f>
        <v>0.4636605783866124</v>
      </c>
      <c r="BJ48" s="40">
        <f>LN($A48/BF48)</f>
        <v>-5.2463569535740766E-2</v>
      </c>
      <c r="BK48" s="40">
        <f>($E48-$D48+POWER(BG48,2)/2)*BI48</f>
        <v>2.5189751902587879E-2</v>
      </c>
      <c r="BL48" s="40">
        <f>MAX(0,0.000000000001,BG48*SQRT(BI48))</f>
        <v>0.19338305926412119</v>
      </c>
      <c r="BM48" s="42">
        <f>(BJ48+BK48)/BL48</f>
        <v>-0.14103519582810251</v>
      </c>
      <c r="BN48" s="42">
        <f>BM48-BL48</f>
        <v>-0.33441825509222367</v>
      </c>
      <c r="BO48" s="42">
        <f>_xlfn.NORM.DIST(BM48,0,1,TRUE)</f>
        <v>0.44392106898616096</v>
      </c>
      <c r="BP48" s="42">
        <f>_xlfn.NORM.DIST(-BM48,0,1,TRUE)</f>
        <v>0.55607893101383898</v>
      </c>
      <c r="BQ48" s="42">
        <f>_xlfn.NORM.DIST(BN48,0,1,TRUE)</f>
        <v>0.36903198301145745</v>
      </c>
      <c r="BR48" s="42">
        <f>_xlfn.NORM.DIST(-BN48,0,1,TRUE)</f>
        <v>0.63096801698854255</v>
      </c>
      <c r="BS48" s="42">
        <f>EXP(-$E48*BI48)</f>
        <v>0.98162450344672314</v>
      </c>
      <c r="BT48" s="42">
        <f>BF48*BS48</f>
        <v>88.346205310205079</v>
      </c>
      <c r="BU48" s="42">
        <f>EXP(-$D48*BI48)</f>
        <v>0.9880171974715336</v>
      </c>
      <c r="BV48" s="42">
        <f>$A48*BU48</f>
        <v>84.376668664068973</v>
      </c>
      <c r="BW48" s="42">
        <f>EXP(-1*POWER(BM48,2)/2)/SQRT(2*PI())</f>
        <v>0.39499427951127991</v>
      </c>
      <c r="BX48" s="42">
        <f>IF($F$12=1,0,IF($F$12=2,$A48,IF($F$12=3,BV48*BO48-BT48*BQ48,BT48*BR48-BV48*BP48)))</f>
        <v>4.8540056136822756</v>
      </c>
      <c r="BY48" s="42">
        <f>IF($F$12=2,1,IF(OR($F$12=1,BI48&lt;=0),0,IF($F$12=3,BO48*BU48,(BO48-1)*BU48)))</f>
        <v>0.4386016504782741</v>
      </c>
      <c r="BZ48" s="42">
        <f>IF(OR($F$12&lt;=2,BI48&lt;=0),0,BW48*BU48/($A48*BL48))</f>
        <v>2.363083201762492E-2</v>
      </c>
      <c r="CA48" s="42">
        <f>IF(OR($F$12&lt;=2,BI48&lt;=0),0,(IF($F$12=3,-1*$E48*BF48*BS48*BQ48+$D48*$A48*BU48*BO48,$E48*BF48*BS48*BR48-$D48*$A48*BU48*BP48)-(BW48*$A48*BG48*BU48/(2*SQRT(BI48))))/365)</f>
        <v>-1.994657016495819E-2</v>
      </c>
      <c r="CB48" s="42">
        <f>IF(OR($F$12&lt;=2,BI48&lt;=0),0,(BW48*$A48*BU48*SQRT(BI48))/100)</f>
        <v>0.22694115823260624</v>
      </c>
      <c r="CC48" s="42">
        <f>IF(OR($F$12&lt;=2,BI48&lt;=0),0,IF($F$12=3,BQ48,-1*BR48)*BF48*BI48*BS48/100)</f>
        <v>0.15116528937721793</v>
      </c>
      <c r="CD48" s="42">
        <f ca="1">IF($F$12=1,0,IF($M$28=1,BX48-$G$12,OFFSET(BV48,0,$M$28))*IF($M$30=1,SIGN($B$12),$T$12))</f>
        <v>972.99719315886216</v>
      </c>
      <c r="CE48" s="40"/>
      <c r="CF48" s="142">
        <f>$E$14</f>
        <v>95</v>
      </c>
      <c r="CG48" s="43">
        <f>$Q$14</f>
        <v>0.28399999999999997</v>
      </c>
      <c r="CH48" s="198">
        <f>MAX($D$14,0)</f>
        <v>169.23611111111353</v>
      </c>
      <c r="CI48" s="41">
        <f>CH48/365</f>
        <v>0.4636605783866124</v>
      </c>
      <c r="CJ48" s="40">
        <f>LN($A48/CF48)</f>
        <v>-0.10653079080601656</v>
      </c>
      <c r="CK48" s="40">
        <f>($E48-$D48+POWER(CG48,2)/2)*CI48</f>
        <v>2.5189751902587879E-2</v>
      </c>
      <c r="CL48" s="40">
        <f>MAX(0,0.000000000001,CG48*SQRT(CI48))</f>
        <v>0.19338305926412119</v>
      </c>
      <c r="CM48" s="42">
        <f>(CJ48+CK48)/CL48</f>
        <v>-0.42062132646445355</v>
      </c>
      <c r="CN48" s="42">
        <f>CM48-CL48</f>
        <v>-0.61400438572857474</v>
      </c>
      <c r="CO48" s="42">
        <f>_xlfn.NORM.DIST(CM48,0,1,TRUE)</f>
        <v>0.33701580910706064</v>
      </c>
      <c r="CP48" s="42">
        <f>_xlfn.NORM.DIST(-CM48,0,1,TRUE)</f>
        <v>0.66298419089293936</v>
      </c>
      <c r="CQ48" s="42">
        <f>_xlfn.NORM.DIST(CN48,0,1,TRUE)</f>
        <v>0.26960621453848072</v>
      </c>
      <c r="CR48" s="42">
        <f>_xlfn.NORM.DIST(-CN48,0,1,TRUE)</f>
        <v>0.73039378546151923</v>
      </c>
      <c r="CS48" s="42">
        <f>EXP(-$E48*CI48)</f>
        <v>0.98162450344672314</v>
      </c>
      <c r="CT48" s="42">
        <f>CF48*CS48</f>
        <v>93.254327827438701</v>
      </c>
      <c r="CU48" s="42">
        <f>EXP(-$D48*CI48)</f>
        <v>0.9880171974715336</v>
      </c>
      <c r="CV48" s="42">
        <f>$A48*CU48</f>
        <v>84.376668664068973</v>
      </c>
      <c r="CW48" s="42">
        <f>EXP(-1*POWER(CM48,2)/2)/SQRT(2*PI())</f>
        <v>0.36516729667892395</v>
      </c>
      <c r="CX48" s="42">
        <f>IF($F$14=1,0,IF($F$14=2,$A48,IF($F$14=3,CV48*CO48-CT48*CQ48,CT48*CR48-CV48*CP48)))</f>
        <v>3.2943249446933223</v>
      </c>
      <c r="CY48" s="42">
        <f>IF($F$14=2,1,IF(OR($F$14=1,CI48&lt;=0),0,IF($F$14=3,CO48*CU48,(CO48-1)*CU48)))</f>
        <v>0.33297741521755941</v>
      </c>
      <c r="CZ48" s="42">
        <f>IF(OR($F$14&lt;=2,CI48&lt;=0),0,CW48*CU48/($A48*CL48))</f>
        <v>2.1846410172893221E-2</v>
      </c>
      <c r="DA48" s="42">
        <f>IF(OR($F$14&lt;=2,CI48&lt;=0),0,(IF($F$14=3,-1*$E48*CF48*CS48*CQ48+$D48*$A48*CU48*CO48,$E48*CF48*CS48*CR48-$D48*$A48*CU48*CP48)-(CW48*$A48*CG48*CU48/(2*SQRT(CI48))))/365)</f>
        <v>-1.8333614860733486E-2</v>
      </c>
      <c r="DB48" s="42">
        <f>IF(OR($F$14&lt;=2,CI48&lt;=0),0,(CW48*$A48*CU48*SQRT(CI48))/100)</f>
        <v>0.20980427706325344</v>
      </c>
      <c r="DC48" s="42">
        <f>IF(OR($F$14&lt;=2,CI48&lt;=0),0,IF($F$14=3,CQ48,-1*CR48)*CF48*CI48*CS48/100)</f>
        <v>0.11657329370125318</v>
      </c>
      <c r="DD48" s="42">
        <f ca="1">IF($F$14=1,0,IF($M$28=1,CX48-$G$14,OFFSET(CV48,0,$M$28))*IF($M$30=1,SIGN($B$14),$T$14))</f>
        <v>-927.83752765333907</v>
      </c>
      <c r="DE48" s="40"/>
      <c r="DF48" s="142">
        <f>$E$16</f>
        <v>200</v>
      </c>
      <c r="DG48" s="43">
        <f>$Q$16</f>
        <v>0.28399999999999997</v>
      </c>
      <c r="DH48" s="198">
        <f>MAX($D$16,0)</f>
        <v>169.23611111111353</v>
      </c>
      <c r="DI48" s="41">
        <f>DH48/365</f>
        <v>0.4636605783866124</v>
      </c>
      <c r="DJ48" s="40">
        <f>LN($A48/DF48)</f>
        <v>-0.85097126575351234</v>
      </c>
      <c r="DK48" s="40">
        <f>($E48-$D48+POWER(DG48,2)/2)*DI48</f>
        <v>2.5189751902587879E-2</v>
      </c>
      <c r="DL48" s="40">
        <f>MAX(0,0.000000000001,DG48*SQRT(DI48))</f>
        <v>0.19338305926412119</v>
      </c>
      <c r="DM48" s="42">
        <f>(DJ48+DK48)/DL48</f>
        <v>-4.2701853874546378</v>
      </c>
      <c r="DN48" s="42">
        <f>DM48-DL48</f>
        <v>-4.4635684467187593</v>
      </c>
      <c r="DO48" s="42">
        <f>_xlfn.NORM.DIST(DM48,0,1,TRUE)</f>
        <v>9.7655276518770395E-6</v>
      </c>
      <c r="DP48" s="42">
        <f>_xlfn.NORM.DIST(-DM48,0,1,TRUE)</f>
        <v>0.99999023447234814</v>
      </c>
      <c r="DQ48" s="42">
        <f>_xlfn.NORM.DIST(DN48,0,1,TRUE)</f>
        <v>4.0302916462725775E-6</v>
      </c>
      <c r="DR48" s="42">
        <f>_xlfn.NORM.DIST(-DN48,0,1,TRUE)</f>
        <v>0.99999596970835369</v>
      </c>
      <c r="DS48" s="42">
        <f>EXP(-$E48*DI48)</f>
        <v>0.98162450344672314</v>
      </c>
      <c r="DT48" s="42">
        <f>DF48*DS48</f>
        <v>196.32490068934462</v>
      </c>
      <c r="DU48" s="42">
        <f>EXP(-$D48*DI48)</f>
        <v>0.9880171974715336</v>
      </c>
      <c r="DV48" s="42">
        <f>$A48*DU48</f>
        <v>84.376668664068973</v>
      </c>
      <c r="DW48" s="42">
        <f>EXP(-1*POWER(DM48,2)/2)/SQRT(2*PI())</f>
        <v>4.3786712472274487E-5</v>
      </c>
      <c r="DX48" s="42">
        <f>IF($F$16=1,0,IF($F$16=2,$A48,IF($F$16=3,DV48*DO48-DT48*DQ48,DT48*DR48-DV48*DP48)))</f>
        <v>0</v>
      </c>
      <c r="DY48" s="92">
        <f>IF($F$16=2,1,IF(OR($F$16=1,DI48&lt;=0),0,IF($F$16=3,DO48*DU48,(DO48-1)*DU48)))</f>
        <v>0</v>
      </c>
      <c r="DZ48" s="42">
        <f>IF(OR($F$16&lt;=2,DI48&lt;=0),0,DW48*DU48/($A48*DL48))</f>
        <v>0</v>
      </c>
      <c r="EA48" s="42">
        <f>IF(OR($F$16&lt;=2,DI48&lt;=0),0,(IF($F$16=3,-1*$E48*DF48*DS48*DQ48+$D48*$A48*DU48*DO48,$E48*DF48*DS48*DR48-$D48*$A48*DU48*DP48)-(DW48*$A48*DG48*DU48/(2*SQRT(DI48))))/365)</f>
        <v>0</v>
      </c>
      <c r="EB48" s="42">
        <f>IF(OR($F$16&lt;=2,DI48&lt;=0),0,(DW48*$A48*DU48*SQRT(DI48))/100)</f>
        <v>0</v>
      </c>
      <c r="EC48" s="42">
        <f>IF(OR($F$16&lt;=2,DI48&lt;=0),0,IF($F$16=3,DQ48,-1*DR48)*DF48*DI48*DS48/100)</f>
        <v>0</v>
      </c>
      <c r="ED48" s="42">
        <f ca="1">IF($F$16=1,0,IF($M$28=1,DX48-$G$16,OFFSET(DV48,0,$M$28))*IF($M$30=1,SIGN($B$16),$T$16))</f>
        <v>0</v>
      </c>
      <c r="EE48" s="40"/>
      <c r="EF48" s="151">
        <f ca="1">'Auto X'!$E$6/10</f>
        <v>0.05</v>
      </c>
      <c r="EG48" s="127">
        <f ca="1">IF($M$26=1,EG50,OFFSET($AD50,0,$M$26*26-52))</f>
        <v>-424.93612330836095</v>
      </c>
      <c r="EH48" s="124">
        <f ca="1">MAX(EH51:EH150)-MIN(EH51:EH150)</f>
        <v>669.87784290010359</v>
      </c>
      <c r="EI48" s="124">
        <f ca="1">IF(EH48=0,0,LOG(EH48))</f>
        <v>2.8259956131615138</v>
      </c>
      <c r="EJ48" s="40"/>
      <c r="EK48" s="40"/>
      <c r="EL48" s="40"/>
      <c r="EM48" s="40"/>
      <c r="EN48" s="40"/>
    </row>
    <row r="49" spans="1:144" hidden="1" x14ac:dyDescent="0.3">
      <c r="A49" s="36">
        <f ca="1">A50</f>
        <v>60</v>
      </c>
      <c r="B49" s="35">
        <f>B50</f>
        <v>0.28399999999999997</v>
      </c>
      <c r="C49" s="39">
        <f>C50</f>
        <v>45295.440972222219</v>
      </c>
      <c r="D49" s="35">
        <f>D50</f>
        <v>2.5999999999999999E-2</v>
      </c>
      <c r="E49" s="35">
        <f>E50</f>
        <v>0.04</v>
      </c>
      <c r="F49" s="93"/>
      <c r="G49" s="89"/>
      <c r="H49" s="199"/>
      <c r="I49" s="90"/>
      <c r="J49" s="91"/>
      <c r="K49" s="91"/>
      <c r="L49" s="91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42"/>
      <c r="Z49" s="92"/>
      <c r="AA49" s="92"/>
      <c r="AB49" s="92"/>
      <c r="AC49" s="92"/>
      <c r="AD49" s="92"/>
      <c r="AE49" s="93"/>
      <c r="AF49" s="93"/>
      <c r="AG49" s="89"/>
      <c r="AH49" s="199"/>
      <c r="AI49" s="90"/>
      <c r="AJ49" s="91"/>
      <c r="AK49" s="91"/>
      <c r="AL49" s="91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42"/>
      <c r="AZ49" s="92"/>
      <c r="BA49" s="92"/>
      <c r="BB49" s="92"/>
      <c r="BC49" s="92"/>
      <c r="BD49" s="92"/>
      <c r="BE49" s="91"/>
      <c r="BF49" s="93"/>
      <c r="BG49" s="89"/>
      <c r="BH49" s="199"/>
      <c r="BI49" s="90"/>
      <c r="BJ49" s="91"/>
      <c r="BK49" s="91"/>
      <c r="BL49" s="91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42"/>
      <c r="BZ49" s="92"/>
      <c r="CA49" s="92"/>
      <c r="CB49" s="92"/>
      <c r="CC49" s="92"/>
      <c r="CD49" s="92"/>
      <c r="CE49" s="91"/>
      <c r="CF49" s="93"/>
      <c r="CG49" s="89"/>
      <c r="CH49" s="199"/>
      <c r="CI49" s="90"/>
      <c r="CJ49" s="91"/>
      <c r="CK49" s="91"/>
      <c r="CL49" s="91"/>
      <c r="CM49" s="92"/>
      <c r="CN49" s="92"/>
      <c r="CO49" s="92"/>
      <c r="CP49" s="92"/>
      <c r="CQ49" s="92"/>
      <c r="CR49" s="92"/>
      <c r="CS49" s="92"/>
      <c r="CT49" s="92"/>
      <c r="CU49" s="92"/>
      <c r="CV49" s="92"/>
      <c r="CW49" s="92"/>
      <c r="CX49" s="92"/>
      <c r="CY49" s="42"/>
      <c r="CZ49" s="92"/>
      <c r="DA49" s="92"/>
      <c r="DB49" s="92"/>
      <c r="DC49" s="92"/>
      <c r="DD49" s="92"/>
      <c r="DE49" s="91"/>
      <c r="DF49" s="93"/>
      <c r="DG49" s="89"/>
      <c r="DH49" s="199"/>
      <c r="DI49" s="90"/>
      <c r="DJ49" s="91"/>
      <c r="DK49" s="91"/>
      <c r="DL49" s="91"/>
      <c r="DM49" s="92"/>
      <c r="DN49" s="92"/>
      <c r="DO49" s="92"/>
      <c r="DP49" s="92"/>
      <c r="DQ49" s="92"/>
      <c r="DR49" s="92"/>
      <c r="DS49" s="92"/>
      <c r="DT49" s="92"/>
      <c r="DU49" s="92"/>
      <c r="DV49" s="92"/>
      <c r="DW49" s="92"/>
      <c r="DX49" s="92"/>
      <c r="DY49" s="92"/>
      <c r="DZ49" s="92"/>
      <c r="EA49" s="92"/>
      <c r="EB49" s="92"/>
      <c r="EC49" s="92"/>
      <c r="ED49" s="92"/>
      <c r="EE49" s="91"/>
      <c r="EF49" s="139">
        <f ca="1">EF50</f>
        <v>60</v>
      </c>
      <c r="EG49" s="92"/>
      <c r="EH49" s="93"/>
      <c r="EI49" s="124">
        <f ca="1">6-ROUND($EI$48,0)</f>
        <v>3</v>
      </c>
      <c r="EJ49" s="93"/>
      <c r="EK49" s="93"/>
      <c r="EL49" s="93"/>
      <c r="EM49" s="93"/>
      <c r="EN49" s="93"/>
    </row>
    <row r="50" spans="1:144" x14ac:dyDescent="0.3">
      <c r="A50" s="88">
        <f ca="1">IF($M$22=1,'Auto X'!$D$6,A$48)</f>
        <v>60</v>
      </c>
      <c r="B50" s="84">
        <f>IF($M$22=2,'Auto X'!$D$6,B$48)</f>
        <v>0.28399999999999997</v>
      </c>
      <c r="C50" s="85">
        <f>C$48</f>
        <v>45295.440972222219</v>
      </c>
      <c r="D50" s="84">
        <f>IF($M$22=4,'Auto X'!$D$6,D$48)</f>
        <v>2.5999999999999999E-2</v>
      </c>
      <c r="E50" s="84">
        <f>IF($M$22=5,'Auto X'!$D$6,E$48)</f>
        <v>0.04</v>
      </c>
      <c r="F50" s="88">
        <f>F$48</f>
        <v>75</v>
      </c>
      <c r="G50" s="84">
        <f t="shared" ref="G50:G81" si="7">IF($M$22=2,$B50,G$48)</f>
        <v>0.28399999999999997</v>
      </c>
      <c r="H50" s="200">
        <f>MAX($C$48+H$48-$C50,0)</f>
        <v>169.23611111111677</v>
      </c>
      <c r="I50" s="86">
        <f t="shared" ref="I50:I81" si="8">H50/365</f>
        <v>0.46366057838662128</v>
      </c>
      <c r="J50" s="87">
        <f t="shared" ca="1" si="2"/>
        <v>-0.22314355131420971</v>
      </c>
      <c r="K50" s="87">
        <f t="shared" ref="K50:K53" si="9">($E50-$D50+POWER(G50,2)/2)*I50</f>
        <v>2.5189751902588361E-2</v>
      </c>
      <c r="L50" s="87">
        <f t="shared" si="3"/>
        <v>0.19338305926412305</v>
      </c>
      <c r="M50" s="58">
        <f t="shared" ca="1" si="4"/>
        <v>-1.0236356802136197</v>
      </c>
      <c r="N50" s="58">
        <f t="shared" ref="N50:N53" ca="1" si="10">M50-L50</f>
        <v>-1.2170187394777428</v>
      </c>
      <c r="O50" s="58">
        <f t="shared" ref="O50:O53" ca="1" si="11">_xlfn.NORM.DIST(M50,0,1,TRUE)</f>
        <v>0.1530036929163871</v>
      </c>
      <c r="P50" s="58">
        <f t="shared" ref="P50:P53" ca="1" si="12">_xlfn.NORM.DIST(-M50,0,1,TRUE)</f>
        <v>0.84699630708361284</v>
      </c>
      <c r="Q50" s="58">
        <f t="shared" ref="Q50:Q53" ca="1" si="13">_xlfn.NORM.DIST(N50,0,1,TRUE)</f>
        <v>0.11179854302242623</v>
      </c>
      <c r="R50" s="58">
        <f t="shared" ref="R50:R53" ca="1" si="14">_xlfn.NORM.DIST(-N50,0,1,TRUE)</f>
        <v>0.8882014569775738</v>
      </c>
      <c r="S50" s="58">
        <f t="shared" si="5"/>
        <v>0.98162450344672281</v>
      </c>
      <c r="T50" s="58">
        <f t="shared" ref="T50:T53" si="15">F50*S50</f>
        <v>73.621837758504213</v>
      </c>
      <c r="U50" s="58">
        <f t="shared" si="6"/>
        <v>0.98801719747153338</v>
      </c>
      <c r="V50" s="58">
        <f t="shared" ref="V50:V53" ca="1" si="16">$A50*U50</f>
        <v>59.281031848292002</v>
      </c>
      <c r="W50" s="58">
        <f t="shared" ref="W50:W53" ca="1" si="17">EXP(-1*POWER(M50,2)/2)/SQRT(2*PI())</f>
        <v>0.23625264046297795</v>
      </c>
      <c r="X50" s="58">
        <f t="shared" ref="X50:X53" ca="1" si="18">IF($F$8=1,0,IF($F$8=2,$A50,IF($F$8=3,V50*O50-T50*Q50,T50*R50-V50*P50)))</f>
        <v>15.18020850686063</v>
      </c>
      <c r="Y50" s="58">
        <f t="shared" ref="Y50:Y100" ca="1" si="19">IF($F$8=2,1,IF(OR($F$8=1,I50&lt;=0),0,IF($F$8=3,O50*U50,(O50-1)*U50)))</f>
        <v>-0.83684691759348939</v>
      </c>
      <c r="Z50" s="58">
        <f t="shared" ref="Z50:Z100" ca="1" si="20">IF(OR($F$8&lt;=2,I50&lt;=0),0,W50*U50/($A50*L50))</f>
        <v>2.0117383654124653E-2</v>
      </c>
      <c r="AA50" s="58">
        <f t="shared" ref="AA50:AA81" ca="1" si="21">IF(OR($F$8&lt;=2,I50&lt;=0),0,(IF($F$8=3,-1*$E50*F50*S50*Q50+$D50*$A50*U50*O50,$E50*F50*S50*R50-$D50*$A50*U50*P50)-(W50*$A50*G50*U50/(2*SQRT(I50))))/365)</f>
        <v>-4.4123235664651605E-3</v>
      </c>
      <c r="AB50" s="58">
        <f t="shared" ref="AB50:AB100" ca="1" si="22">IF(OR($F$8&lt;=2,I50&lt;=0),0,(W50*$A50*U50*SQRT(I50))/100)</f>
        <v>9.5365768260886094E-2</v>
      </c>
      <c r="AC50" s="58">
        <f t="shared" ref="AC50:AC100" ca="1" si="23">IF(OR($F$8&lt;=2,I50&lt;=0),0,IF($F$8=3,Q50,-1*R50)*F50*I50*S50/100)</f>
        <v>-0.30319239806268022</v>
      </c>
      <c r="AD50" s="58">
        <f t="shared" ref="AD50:AD82" ca="1" si="24">IF($F$8=1,0,IF($M$28=1,X50-$G$8,OFFSET(V50,0,$M$28))*IF($M$30=1,SIGN($B$8),$T$8))</f>
        <v>5790.1042534303151</v>
      </c>
      <c r="AE50" s="88"/>
      <c r="AF50" s="88">
        <f>AF$48</f>
        <v>80</v>
      </c>
      <c r="AG50" s="84">
        <f t="shared" ref="AG50:AG81" si="25">IF($M$22=2,$B50,AG$48)</f>
        <v>0.28399999999999997</v>
      </c>
      <c r="AH50" s="200">
        <f>MAX($C$48+AH$48-$C50,0)</f>
        <v>169.23611111111677</v>
      </c>
      <c r="AI50" s="86">
        <f t="shared" ref="AI50:AI81" si="26">AH50/365</f>
        <v>0.46366057838662128</v>
      </c>
      <c r="AJ50" s="87">
        <f t="shared" ref="AJ50:AJ53" ca="1" si="27">LN($A50/AF50)</f>
        <v>-0.2876820724517809</v>
      </c>
      <c r="AK50" s="87">
        <f t="shared" ref="AK50:AK53" si="28">($E50-$D50+POWER(AG50,2)/2)*AI50</f>
        <v>2.5189751902588361E-2</v>
      </c>
      <c r="AL50" s="87">
        <f t="shared" ref="AL50:AL53" si="29">MAX(0,0.000000000001,AG50*SQRT(AI50))</f>
        <v>0.19338305926412305</v>
      </c>
      <c r="AM50" s="58">
        <f t="shared" ref="AM50:AM53" ca="1" si="30">(AJ50+AK50)/AL50</f>
        <v>-1.3573697796903703</v>
      </c>
      <c r="AN50" s="58">
        <f t="shared" ref="AN50:AN53" ca="1" si="31">AM50-AL50</f>
        <v>-1.5507528389544933</v>
      </c>
      <c r="AO50" s="58">
        <f t="shared" ref="AO50:AO53" ca="1" si="32">_xlfn.NORM.DIST(AM50,0,1,TRUE)</f>
        <v>8.733187274510737E-2</v>
      </c>
      <c r="AP50" s="58">
        <f t="shared" ref="AP50:AP53" ca="1" si="33">_xlfn.NORM.DIST(-AM50,0,1,TRUE)</f>
        <v>0.91266812725489266</v>
      </c>
      <c r="AQ50" s="58">
        <f t="shared" ref="AQ50:AQ53" ca="1" si="34">_xlfn.NORM.DIST(AN50,0,1,TRUE)</f>
        <v>6.0480463252710837E-2</v>
      </c>
      <c r="AR50" s="58">
        <f t="shared" ref="AR50:AR53" ca="1" si="35">_xlfn.NORM.DIST(-AN50,0,1,TRUE)</f>
        <v>0.93951953674728916</v>
      </c>
      <c r="AS50" s="58">
        <f t="shared" ref="AS50:AS53" si="36">EXP(-$E50*AI50)</f>
        <v>0.98162450344672281</v>
      </c>
      <c r="AT50" s="58">
        <f t="shared" ref="AT50:AT53" si="37">AF50*AS50</f>
        <v>78.529960275737821</v>
      </c>
      <c r="AU50" s="58">
        <f t="shared" ref="AU50:AU53" si="38">EXP(-$D50*AI50)</f>
        <v>0.98801719747153338</v>
      </c>
      <c r="AV50" s="58">
        <f t="shared" ref="AV50:AV53" ca="1" si="39">$A50*AU50</f>
        <v>59.281031848292002</v>
      </c>
      <c r="AW50" s="58">
        <f t="shared" ref="AW50:AW53" ca="1" si="40">EXP(-1*POWER(AM50,2)/2)/SQRT(2*PI())</f>
        <v>0.15879124044550802</v>
      </c>
      <c r="AX50" s="58">
        <f t="shared" ref="AX50:AX53" ca="1" si="41">IF($F$10=1,0,IF($F$10=2,$A50,IF($F$10=3,AV50*AO50-AT50*AQ50,AT50*AR50-AV50*AP50)))</f>
        <v>19.676523580325906</v>
      </c>
      <c r="AY50" s="58">
        <f t="shared" ref="AY50:AY100" ca="1" si="42">IF($F$10=2,1,IF(OR($F$10=1,AI50&lt;=0),0,IF($F$10=3,AO50*AU50,(AO50-1)*AU50)))</f>
        <v>-0.90173180531197183</v>
      </c>
      <c r="AZ50" s="58">
        <f t="shared" ref="AZ50:AZ100" ca="1" si="43">IF(OR($F$10&lt;=2,AI50&lt;=0),0,AW50*AU50/($A50*AL50))</f>
        <v>1.3521390908886922E-2</v>
      </c>
      <c r="BA50" s="58">
        <f t="shared" ref="BA50:BA81" ca="1" si="44">IF(OR($F$10&lt;=2,AI50&lt;=0),0,(IF($F$10=3,-1*$E50*AF50*AS50*AQ50+$D50*$A50*AU50*AO50,$E50*AF50*AS50*AR50-$D50*$A50*AU50*AP50)-(AW50*$A50*AG50*AU50/(2*SQRT(AI50))))/365)</f>
        <v>-1.1466594235337996E-3</v>
      </c>
      <c r="BB50" s="58">
        <f t="shared" ref="BB50:BB100" ca="1" si="45">IF(OR($F$10&lt;=2,AI50&lt;=0),0,(AW50*$A50*AU50*SQRT(AI50))/100)</f>
        <v>6.4097690542248106E-2</v>
      </c>
      <c r="BC50" s="58">
        <f t="shared" ref="BC50:BC100" ca="1" si="46">IF(OR($F$10&lt;=2,AI50&lt;=0),0,IF($F$10=3,AQ50,-1*AR50)*AF50*AI50*AS50/100)</f>
        <v>-0.34209077727925569</v>
      </c>
      <c r="BD50" s="58">
        <f t="shared" ref="BD50:BD82" ca="1" si="47">IF($F$10=1,0,IF($M$28=1,AX50-$G$10,OFFSET(AV50,0,$M$28))*IF($M$30=1,SIGN($B$10),$T$10))</f>
        <v>-7013.2617901629528</v>
      </c>
      <c r="BE50" s="87"/>
      <c r="BF50" s="88">
        <f>BF$48</f>
        <v>90</v>
      </c>
      <c r="BG50" s="84">
        <f t="shared" ref="BG50:BG81" si="48">IF($M$22=2,$B50,BG$48)</f>
        <v>0.28399999999999997</v>
      </c>
      <c r="BH50" s="200">
        <f>MAX($C$48+BH$48-$C50,0)</f>
        <v>169.23611111111677</v>
      </c>
      <c r="BI50" s="86">
        <f t="shared" ref="BI50:BI81" si="49">BH50/365</f>
        <v>0.46366057838662128</v>
      </c>
      <c r="BJ50" s="87">
        <f t="shared" ref="BJ50:BJ53" ca="1" si="50">LN($A50/BF50)</f>
        <v>-0.40546510810816444</v>
      </c>
      <c r="BK50" s="87">
        <f t="shared" ref="BK50:BK53" si="51">($E50-$D50+POWER(BG50,2)/2)*BI50</f>
        <v>2.5189751902588361E-2</v>
      </c>
      <c r="BL50" s="87">
        <f t="shared" ref="BL50:BL53" si="52">MAX(0,0.000000000001,BG50*SQRT(BI50))</f>
        <v>0.19338305926412305</v>
      </c>
      <c r="BM50" s="58">
        <f t="shared" ref="BM50:BM53" ca="1" si="53">(BJ50+BK50)/BL50</f>
        <v>-1.9664357242699064</v>
      </c>
      <c r="BN50" s="58">
        <f t="shared" ref="BN50:BN53" ca="1" si="54">BM50-BL50</f>
        <v>-2.1598187835340297</v>
      </c>
      <c r="BO50" s="58">
        <f t="shared" ref="BO50:BO53" ca="1" si="55">_xlfn.NORM.DIST(BM50,0,1,TRUE)</f>
        <v>2.4624150101845335E-2</v>
      </c>
      <c r="BP50" s="58">
        <f t="shared" ref="BP50:BP53" ca="1" si="56">_xlfn.NORM.DIST(-BM50,0,1,TRUE)</f>
        <v>0.97537584989815462</v>
      </c>
      <c r="BQ50" s="58">
        <f t="shared" ref="BQ50:BQ53" ca="1" si="57">_xlfn.NORM.DIST(BN50,0,1,TRUE)</f>
        <v>1.539335047654509E-2</v>
      </c>
      <c r="BR50" s="58">
        <f t="shared" ref="BR50:BR53" ca="1" si="58">_xlfn.NORM.DIST(-BN50,0,1,TRUE)</f>
        <v>0.98460664952345489</v>
      </c>
      <c r="BS50" s="58">
        <f t="shared" ref="BS50:BS53" si="59">EXP(-$E50*BI50)</f>
        <v>0.98162450344672281</v>
      </c>
      <c r="BT50" s="58">
        <f t="shared" ref="BT50:BT53" si="60">BF50*BS50</f>
        <v>88.34620531020505</v>
      </c>
      <c r="BU50" s="58">
        <f t="shared" ref="BU50:BU53" si="61">EXP(-$D50*BI50)</f>
        <v>0.98801719747153338</v>
      </c>
      <c r="BV50" s="58">
        <f t="shared" ref="BV50:BV53" ca="1" si="62">$A50*BU50</f>
        <v>59.281031848292002</v>
      </c>
      <c r="BW50" s="58">
        <f t="shared" ref="BW50:BW53" ca="1" si="63">EXP(-1*POWER(BM50,2)/2)/SQRT(2*PI())</f>
        <v>5.7707203915060436E-2</v>
      </c>
      <c r="BX50" s="58">
        <f t="shared" ref="BX50:BX53" ca="1" si="64">IF($F$12=1,0,IF($F$12=2,$A50,IF($F$12=3,BV50*BO50-BT50*BQ50,BT50*BR50-BV50*BP50)))</f>
        <v>9.980092481182079E-2</v>
      </c>
      <c r="BY50" s="58">
        <f t="shared" ref="BY50:BY100" ca="1" si="65">IF($F$12=2,1,IF(OR($F$12=1,BI50&lt;=0),0,IF($F$12=3,BO50*BU50,(BO50-1)*BU50)))</f>
        <v>2.4329083773743602E-2</v>
      </c>
      <c r="BZ50" s="58">
        <f t="shared" ref="BZ50:BZ100" ca="1" si="66">IF(OR($F$12&lt;=2,BI50&lt;=0),0,BW50*BU50/($A50*BL50))</f>
        <v>4.9138835379408047E-3</v>
      </c>
      <c r="CA50" s="58">
        <f t="shared" ref="CA50:CA81" ca="1" si="67">IF(OR($F$12&lt;=2,BI50&lt;=0),0,(IF($F$12=3,-1*$E50*BF50*BS50*BQ50+$D50*$A50*BU50*BO50,$E50*BF50*BS50*BR50-$D50*$A50*BU50*BP50)-(BW50*$A50*BG50*BU50/(2*SQRT(BI50))))/365)</f>
        <v>-1.9995779082809537E-3</v>
      </c>
      <c r="CB50" s="58">
        <f t="shared" ref="CB50:CB100" ca="1" si="68">IF(OR($F$12&lt;=2,BI50&lt;=0),0,(BW50*$A50*BU50*SQRT(BI50))/100)</f>
        <v>2.3294096627926354E-2</v>
      </c>
      <c r="CC50" s="58">
        <f t="shared" ref="CC50:CC100" ca="1" si="69">IF(OR($F$12&lt;=2,BI50&lt;=0),0,IF($F$12=3,BQ50,-1*BR50)*BF50*BI50*BS50/100)</f>
        <v>6.3055246872726267E-3</v>
      </c>
      <c r="CD50" s="58">
        <f t="shared" ref="CD50:CD82" ca="1" si="70">IF($F$12=1,0,IF($M$28=1,BX50-$G$12,OFFSET(BV50,0,$M$28))*IF($M$30=1,SIGN($B$12),$T$12))</f>
        <v>3350.0995375940893</v>
      </c>
      <c r="CE50" s="87"/>
      <c r="CF50" s="88">
        <f>CF$48</f>
        <v>95</v>
      </c>
      <c r="CG50" s="84">
        <f t="shared" ref="CG50:CG81" si="71">IF($M$22=2,$B50,CG$48)</f>
        <v>0.28399999999999997</v>
      </c>
      <c r="CH50" s="200">
        <f>MAX($C$48+CH$48-$C50,0)</f>
        <v>169.23611111111677</v>
      </c>
      <c r="CI50" s="86">
        <f t="shared" ref="CI50:CI81" si="72">CH50/365</f>
        <v>0.46366057838662128</v>
      </c>
      <c r="CJ50" s="87">
        <f t="shared" ref="CJ50:CJ53" ca="1" si="73">LN($A50/CF50)</f>
        <v>-0.45953232937844019</v>
      </c>
      <c r="CK50" s="87">
        <f t="shared" ref="CK50:CK53" si="74">($E50-$D50+POWER(CG50,2)/2)*CI50</f>
        <v>2.5189751902588361E-2</v>
      </c>
      <c r="CL50" s="87">
        <f t="shared" ref="CL50:CL53" si="75">MAX(0,0.000000000001,CG50*SQRT(CI50))</f>
        <v>0.19338305926412305</v>
      </c>
      <c r="CM50" s="58">
        <f t="shared" ref="CM50:CM53" ca="1" si="76">(CJ50+CK50)/CL50</f>
        <v>-2.2460218549062545</v>
      </c>
      <c r="CN50" s="58">
        <f t="shared" ref="CN50:CN53" ca="1" si="77">CM50-CL50</f>
        <v>-2.4394049141703777</v>
      </c>
      <c r="CO50" s="58">
        <f t="shared" ref="CO50:CO53" ca="1" si="78">_xlfn.NORM.DIST(CM50,0,1,TRUE)</f>
        <v>1.2351304037556254E-2</v>
      </c>
      <c r="CP50" s="58">
        <f t="shared" ref="CP50:CP53" ca="1" si="79">_xlfn.NORM.DIST(-CM50,0,1,TRUE)</f>
        <v>0.98764869596244376</v>
      </c>
      <c r="CQ50" s="58">
        <f t="shared" ref="CQ50:CQ53" ca="1" si="80">_xlfn.NORM.DIST(CN50,0,1,TRUE)</f>
        <v>7.3557368578887903E-3</v>
      </c>
      <c r="CR50" s="58">
        <f t="shared" ref="CR50:CR53" ca="1" si="81">_xlfn.NORM.DIST(-CN50,0,1,TRUE)</f>
        <v>0.99264426314211118</v>
      </c>
      <c r="CS50" s="58">
        <f t="shared" ref="CS50:CS53" si="82">EXP(-$E50*CI50)</f>
        <v>0.98162450344672281</v>
      </c>
      <c r="CT50" s="58">
        <f t="shared" ref="CT50:CT53" si="83">CF50*CS50</f>
        <v>93.254327827438672</v>
      </c>
      <c r="CU50" s="58">
        <f t="shared" ref="CU50:CU53" si="84">EXP(-$D50*CI50)</f>
        <v>0.98801719747153338</v>
      </c>
      <c r="CV50" s="58">
        <f t="shared" ref="CV50:CV53" ca="1" si="85">$A50*CU50</f>
        <v>59.281031848292002</v>
      </c>
      <c r="CW50" s="58">
        <f t="shared" ref="CW50:CW53" ca="1" si="86">EXP(-1*POWER(CM50,2)/2)/SQRT(2*PI())</f>
        <v>3.2024769793483128E-2</v>
      </c>
      <c r="CX50" s="58">
        <f t="shared" ref="CX50:CX53" ca="1" si="87">IF($F$14=1,0,IF($F$14=2,$A50,IF($F$14=3,CV50*CO50-CT50*CQ50,CT50*CR50-CV50*CP50)))</f>
        <v>4.6243751660374977E-2</v>
      </c>
      <c r="CY50" s="58">
        <f t="shared" ref="CY50:CY100" ca="1" si="88">IF($F$14=2,1,IF(OR($F$14=1,CI50&lt;=0),0,IF($F$14=3,CO50*CU50,(CO50-1)*CU50)))</f>
        <v>1.2203300800305164E-2</v>
      </c>
      <c r="CZ50" s="58">
        <f t="shared" ref="CZ50:CZ100" ca="1" si="89">IF(OR($F$14&lt;=2,CI50&lt;=0),0,CW50*CU50/($A50*CL50))</f>
        <v>2.726973036610274E-3</v>
      </c>
      <c r="DA50" s="58">
        <f t="shared" ref="DA50:DA81" ca="1" si="90">IF(OR($F$14&lt;=2,CI50&lt;=0),0,(IF($F$14=3,-1*$E50*CF50*CS50*CQ50+$D50*$A50*CU50*CO50,$E50*CF50*CS50*CR50-$D50*$A50*CU50*CP50)-(CW50*$A50*CG50*CU50/(2*SQRT(CI50))))/365)</f>
        <v>-1.1076853414776718E-3</v>
      </c>
      <c r="DB50" s="58">
        <f t="shared" ref="DB50:DB100" ca="1" si="91">IF(OR($F$14&lt;=2,CI50&lt;=0),0,(CW50*$A50*CU50*SQRT(CI50))/100)</f>
        <v>1.2927122290563885E-2</v>
      </c>
      <c r="DC50" s="58">
        <f t="shared" ref="DC50:DC100" ca="1" si="92">IF(OR($F$14&lt;=2,CI50&lt;=0),0,IF($F$14=3,CQ50,-1*CR50)*CF50*CI50*CS50/100)</f>
        <v>3.1804996579610791E-3</v>
      </c>
      <c r="DD50" s="58">
        <f t="shared" ref="DD50:DD82" ca="1" si="93">IF($F$14=1,0,IF($M$28=1,CX50-$G$14,OFFSET(CV50,0,$M$28))*IF($M$30=1,SIGN($B$14),$T$14))</f>
        <v>-2551.8781241698125</v>
      </c>
      <c r="DE50" s="87"/>
      <c r="DF50" s="88">
        <f>DF$48</f>
        <v>200</v>
      </c>
      <c r="DG50" s="84">
        <f t="shared" ref="DG50:DG81" si="94">IF($M$22=2,$B50,DG$48)</f>
        <v>0.28399999999999997</v>
      </c>
      <c r="DH50" s="200">
        <f>MAX($C$48+DH$48-$C50,0)</f>
        <v>169.23611111111677</v>
      </c>
      <c r="DI50" s="86">
        <f t="shared" ref="DI50:DI81" si="95">DH50/365</f>
        <v>0.46366057838662128</v>
      </c>
      <c r="DJ50" s="87">
        <f t="shared" ref="DJ50:DJ53" ca="1" si="96">LN($A50/DF50)</f>
        <v>-1.2039728043259361</v>
      </c>
      <c r="DK50" s="87">
        <f t="shared" ref="DK50:DK53" si="97">($E50-$D50+POWER(DG50,2)/2)*DI50</f>
        <v>2.5189751902588361E-2</v>
      </c>
      <c r="DL50" s="87">
        <f t="shared" ref="DL50:DL53" si="98">MAX(0,0.000000000001,DG50*SQRT(DI50))</f>
        <v>0.19338305926412305</v>
      </c>
      <c r="DM50" s="58">
        <f t="shared" ref="DM50:DM53" ca="1" si="99">(DJ50+DK50)/DL50</f>
        <v>-6.0955859158964021</v>
      </c>
      <c r="DN50" s="58">
        <f t="shared" ref="DN50:DN53" ca="1" si="100">DM50-DL50</f>
        <v>-6.2889689751605253</v>
      </c>
      <c r="DO50" s="58">
        <f t="shared" ref="DO50:DO53" ca="1" si="101">_xlfn.NORM.DIST(DM50,0,1,TRUE)</f>
        <v>5.4518665015976045E-10</v>
      </c>
      <c r="DP50" s="58">
        <f t="shared" ref="DP50:DP53" ca="1" si="102">_xlfn.NORM.DIST(-DM50,0,1,TRUE)</f>
        <v>0.99999999945481333</v>
      </c>
      <c r="DQ50" s="58">
        <f t="shared" ref="DQ50:DQ53" ca="1" si="103">_xlfn.NORM.DIST(DN50,0,1,TRUE)</f>
        <v>1.5979066231818873E-10</v>
      </c>
      <c r="DR50" s="58">
        <f t="shared" ref="DR50:DR53" ca="1" si="104">_xlfn.NORM.DIST(-DN50,0,1,TRUE)</f>
        <v>0.99999999984020937</v>
      </c>
      <c r="DS50" s="58">
        <f t="shared" ref="DS50:DS53" si="105">EXP(-$E50*DI50)</f>
        <v>0.98162450344672281</v>
      </c>
      <c r="DT50" s="58">
        <f t="shared" ref="DT50:DT53" si="106">DF50*DS50</f>
        <v>196.32490068934456</v>
      </c>
      <c r="DU50" s="58">
        <f t="shared" ref="DU50:DU53" si="107">EXP(-$D50*DI50)</f>
        <v>0.98801719747153338</v>
      </c>
      <c r="DV50" s="58">
        <f t="shared" ref="DV50:DV53" ca="1" si="108">$A50*DU50</f>
        <v>59.281031848292002</v>
      </c>
      <c r="DW50" s="58">
        <f t="shared" ref="DW50:DW53" ca="1" si="109">EXP(-1*POWER(DM50,2)/2)/SQRT(2*PI())</f>
        <v>3.4084017101064527E-9</v>
      </c>
      <c r="DX50" s="58">
        <f t="shared" ref="DX50:DX53" si="110">IF($F$16=1,0,IF($F$16=2,$A50,IF($F$16=3,DV50*DO50-DT50*DQ50,DT50*DR50-DV50*DP50)))</f>
        <v>0</v>
      </c>
      <c r="DY50" s="58">
        <f t="shared" ref="DY50:DY100" si="111">IF($F$16=2,1,IF(OR($F$16=1,DI50&lt;=0),0,IF($F$16=3,DO50*DU50,(DO50-1)*DU50)))</f>
        <v>0</v>
      </c>
      <c r="DZ50" s="58">
        <f t="shared" ref="DZ50:DZ100" si="112">IF(OR($F$16&lt;=2,DI50&lt;=0),0,DW50*DU50/($A50*DL50))</f>
        <v>0</v>
      </c>
      <c r="EA50" s="58">
        <f t="shared" ref="EA50:EA81" si="113">IF(OR($F$16&lt;=2,DI50&lt;=0),0,(IF($F$16=3,-1*$E50*DF50*DS50*DQ50+$D50*$A50*DU50*DO50,$E50*DF50*DS50*DR50-$D50*$A50*DU50*DP50)-(DW50*$A50*DG50*DU50/(2*SQRT(DI50))))/365)</f>
        <v>0</v>
      </c>
      <c r="EB50" s="58">
        <f t="shared" ref="EB50:EB100" si="114">IF(OR($F$16&lt;=2,DI50&lt;=0),0,(DW50*$A50*DU50*SQRT(DI50))/100)</f>
        <v>0</v>
      </c>
      <c r="EC50" s="58">
        <f t="shared" ref="EC50:EC100" si="115">IF(OR($F$16&lt;=2,DI50&lt;=0),0,IF($F$16=3,DQ50,-1*DR50)*DF50*DI50*DS50/100)</f>
        <v>0</v>
      </c>
      <c r="ED50" s="58">
        <f t="shared" ref="ED50:ED82" ca="1" si="116">IF($F$16=1,0,IF($M$28=1,DX50-$G$16,OFFSET(DV50,0,$M$28))*IF($M$30=1,SIGN($B$16),$T$16))</f>
        <v>0</v>
      </c>
      <c r="EE50" s="87"/>
      <c r="EF50" s="140">
        <f ca="1">OFFSET($A50,0,$M$22-1)</f>
        <v>60</v>
      </c>
      <c r="EG50" s="58">
        <f ca="1">AD50+BD50+CD50+DD50+ED50</f>
        <v>-424.93612330836095</v>
      </c>
      <c r="EH50" s="128">
        <f ca="1">IF(ISNUMBER($EG$48),$EG$48,EH51)</f>
        <v>-424.93612330836095</v>
      </c>
      <c r="EI50" s="88"/>
      <c r="EJ50" s="88"/>
      <c r="EK50" s="88"/>
      <c r="EL50" s="88"/>
      <c r="EM50" s="88"/>
      <c r="EN50" s="88"/>
    </row>
    <row r="51" spans="1:144" x14ac:dyDescent="0.3">
      <c r="A51" s="36">
        <f ca="1">IF($M$22=1,A50+'Auto X'!$E$6,A$48)</f>
        <v>60.5</v>
      </c>
      <c r="B51" s="35">
        <f>IF($M$22=2,B50+'Auto X'!$E$6,B$48)</f>
        <v>0.28399999999999997</v>
      </c>
      <c r="C51" s="39">
        <f>IF($M$22=3,C50+'Auto X'!$E$6,C$48)</f>
        <v>45295.440972222219</v>
      </c>
      <c r="D51" s="35">
        <f>IF($M$22=4,D50+'Auto X'!$E$6,D$48)</f>
        <v>2.5999999999999999E-2</v>
      </c>
      <c r="E51" s="35">
        <f>IF($M$22=5,E50+'Auto X'!$E$6,E$48)</f>
        <v>0.04</v>
      </c>
      <c r="F51" s="36">
        <f t="shared" ref="F51:F114" si="117">F$48</f>
        <v>75</v>
      </c>
      <c r="G51" s="35">
        <f t="shared" si="7"/>
        <v>0.28399999999999997</v>
      </c>
      <c r="H51" s="197">
        <f>MAX($C$48+H$48-$C51,0)</f>
        <v>169.23611111111677</v>
      </c>
      <c r="I51" s="41">
        <f t="shared" si="8"/>
        <v>0.46366057838662128</v>
      </c>
      <c r="J51" s="40">
        <f t="shared" ca="1" si="2"/>
        <v>-0.21484474849951468</v>
      </c>
      <c r="K51" s="40">
        <f t="shared" si="9"/>
        <v>2.5189751902588361E-2</v>
      </c>
      <c r="L51" s="40">
        <f t="shared" si="3"/>
        <v>0.19338305926412305</v>
      </c>
      <c r="M51" s="42">
        <f t="shared" ca="1" si="4"/>
        <v>-0.98072187563180002</v>
      </c>
      <c r="N51" s="42">
        <f t="shared" ca="1" si="10"/>
        <v>-1.1741049348959232</v>
      </c>
      <c r="O51" s="42">
        <f t="shared" ca="1" si="11"/>
        <v>0.16336495659198622</v>
      </c>
      <c r="P51" s="42">
        <f t="shared" ca="1" si="12"/>
        <v>0.83663504340801376</v>
      </c>
      <c r="Q51" s="42">
        <f t="shared" ca="1" si="13"/>
        <v>0.12017649853758314</v>
      </c>
      <c r="R51" s="42">
        <f t="shared" ca="1" si="14"/>
        <v>0.87982350146241683</v>
      </c>
      <c r="S51" s="42">
        <f t="shared" si="5"/>
        <v>0.98162450344672281</v>
      </c>
      <c r="T51" s="42">
        <f t="shared" si="15"/>
        <v>73.621837758504213</v>
      </c>
      <c r="U51" s="42">
        <f t="shared" si="6"/>
        <v>0.98801719747153338</v>
      </c>
      <c r="V51" s="42">
        <f t="shared" ca="1" si="16"/>
        <v>59.77504044702777</v>
      </c>
      <c r="W51" s="42">
        <f t="shared" ca="1" si="17"/>
        <v>0.24663488560962057</v>
      </c>
      <c r="X51" s="42">
        <f t="shared" ca="1" si="18"/>
        <v>14.764329521670291</v>
      </c>
      <c r="Y51" s="42">
        <f t="shared" ca="1" si="19"/>
        <v>-0.8266098108944604</v>
      </c>
      <c r="Z51" s="42">
        <f t="shared" ca="1" si="20"/>
        <v>2.0827886817229822E-2</v>
      </c>
      <c r="AA51" s="42">
        <f t="shared" ca="1" si="21"/>
        <v>-4.8868613360801786E-3</v>
      </c>
      <c r="AB51" s="42">
        <f t="shared" ca="1" si="22"/>
        <v>0.10038630542924187</v>
      </c>
      <c r="AC51" s="42">
        <f t="shared" ca="1" si="23"/>
        <v>-0.30033253738180876</v>
      </c>
      <c r="AD51" s="42">
        <f t="shared" ca="1" si="24"/>
        <v>5582.1647608351459</v>
      </c>
      <c r="AE51" s="36"/>
      <c r="AF51" s="36">
        <f t="shared" ref="AF51:AF114" si="118">AF$48</f>
        <v>80</v>
      </c>
      <c r="AG51" s="35">
        <f t="shared" si="25"/>
        <v>0.28399999999999997</v>
      </c>
      <c r="AH51" s="197">
        <f>MAX($C$48+AH$48-$C51,0)</f>
        <v>169.23611111111677</v>
      </c>
      <c r="AI51" s="41">
        <f t="shared" si="26"/>
        <v>0.46366057838662128</v>
      </c>
      <c r="AJ51" s="40">
        <f t="shared" ca="1" si="27"/>
        <v>-0.27938326963708587</v>
      </c>
      <c r="AK51" s="40">
        <f t="shared" si="28"/>
        <v>2.5189751902588361E-2</v>
      </c>
      <c r="AL51" s="40">
        <f t="shared" si="29"/>
        <v>0.19338305926412305</v>
      </c>
      <c r="AM51" s="42">
        <f t="shared" ca="1" si="30"/>
        <v>-1.3144559751085505</v>
      </c>
      <c r="AN51" s="42">
        <f t="shared" ca="1" si="31"/>
        <v>-1.5078390343726735</v>
      </c>
      <c r="AO51" s="42">
        <f t="shared" ca="1" si="32"/>
        <v>9.4346402085148967E-2</v>
      </c>
      <c r="AP51" s="42">
        <f t="shared" ca="1" si="33"/>
        <v>0.90565359791485101</v>
      </c>
      <c r="AQ51" s="42">
        <f t="shared" ca="1" si="34"/>
        <v>6.5797864550717428E-2</v>
      </c>
      <c r="AR51" s="42">
        <f t="shared" ca="1" si="35"/>
        <v>0.93420213544928254</v>
      </c>
      <c r="AS51" s="42">
        <f t="shared" si="36"/>
        <v>0.98162450344672281</v>
      </c>
      <c r="AT51" s="42">
        <f t="shared" si="37"/>
        <v>78.529960275737821</v>
      </c>
      <c r="AU51" s="42">
        <f t="shared" si="38"/>
        <v>0.98801719747153338</v>
      </c>
      <c r="AV51" s="42">
        <f t="shared" ca="1" si="39"/>
        <v>59.77504044702777</v>
      </c>
      <c r="AW51" s="42">
        <f t="shared" ca="1" si="40"/>
        <v>0.16816060258554599</v>
      </c>
      <c r="AX51" s="42">
        <f t="shared" ca="1" si="41"/>
        <v>19.227376139985161</v>
      </c>
      <c r="AY51" s="42">
        <f t="shared" ca="1" si="42"/>
        <v>-0.89480132969184201</v>
      </c>
      <c r="AZ51" s="42">
        <f t="shared" ca="1" si="43"/>
        <v>1.4200870201763121E-2</v>
      </c>
      <c r="BA51" s="42">
        <f t="shared" ca="1" si="44"/>
        <v>-1.5594703000627688E-3</v>
      </c>
      <c r="BB51" s="42">
        <f t="shared" ca="1" si="45"/>
        <v>6.8445392753714709E-2</v>
      </c>
      <c r="BC51" s="42">
        <f t="shared" ca="1" si="46"/>
        <v>-0.34015464516917904</v>
      </c>
      <c r="BD51" s="42">
        <f t="shared" ca="1" si="47"/>
        <v>-6788.6880699925805</v>
      </c>
      <c r="BE51" s="40"/>
      <c r="BF51" s="36">
        <f t="shared" ref="BF51:BF114" si="119">BF$48</f>
        <v>90</v>
      </c>
      <c r="BG51" s="35">
        <f t="shared" si="48"/>
        <v>0.28399999999999997</v>
      </c>
      <c r="BH51" s="197">
        <f>MAX($C$48+BH$48-$C51,0)</f>
        <v>169.23611111111677</v>
      </c>
      <c r="BI51" s="41">
        <f t="shared" si="49"/>
        <v>0.46366057838662128</v>
      </c>
      <c r="BJ51" s="40">
        <f t="shared" ca="1" si="50"/>
        <v>-0.39716630529346919</v>
      </c>
      <c r="BK51" s="40">
        <f t="shared" si="51"/>
        <v>2.5189751902588361E-2</v>
      </c>
      <c r="BL51" s="40">
        <f t="shared" si="52"/>
        <v>0.19338305926412305</v>
      </c>
      <c r="BM51" s="42">
        <f t="shared" ca="1" si="53"/>
        <v>-1.9235219196880857</v>
      </c>
      <c r="BN51" s="42">
        <f t="shared" ca="1" si="54"/>
        <v>-2.116904978952209</v>
      </c>
      <c r="BO51" s="42">
        <f t="shared" ca="1" si="55"/>
        <v>2.7207268185185103E-2</v>
      </c>
      <c r="BP51" s="42">
        <f t="shared" ca="1" si="56"/>
        <v>0.97279273181481485</v>
      </c>
      <c r="BQ51" s="42">
        <f t="shared" ca="1" si="57"/>
        <v>1.7133956515395142E-2</v>
      </c>
      <c r="BR51" s="42">
        <f t="shared" ca="1" si="58"/>
        <v>0.98286604348460482</v>
      </c>
      <c r="BS51" s="42">
        <f t="shared" si="59"/>
        <v>0.98162450344672281</v>
      </c>
      <c r="BT51" s="42">
        <f t="shared" si="60"/>
        <v>88.34620531020505</v>
      </c>
      <c r="BU51" s="42">
        <f t="shared" si="61"/>
        <v>0.98801719747153338</v>
      </c>
      <c r="BV51" s="42">
        <f t="shared" ca="1" si="62"/>
        <v>59.77504044702777</v>
      </c>
      <c r="BW51" s="42">
        <f t="shared" ca="1" si="63"/>
        <v>6.2730542987492949E-2</v>
      </c>
      <c r="BX51" s="42">
        <f t="shared" ca="1" si="64"/>
        <v>0.11259551613734664</v>
      </c>
      <c r="BY51" s="42">
        <f t="shared" ca="1" si="65"/>
        <v>2.6881248863182997E-2</v>
      </c>
      <c r="BZ51" s="42">
        <f t="shared" ca="1" si="66"/>
        <v>5.2974851716431643E-3</v>
      </c>
      <c r="CA51" s="42">
        <f t="shared" ca="1" si="67"/>
        <v>-2.1924092068891397E-3</v>
      </c>
      <c r="CB51" s="42">
        <f t="shared" ca="1" si="68"/>
        <v>2.5532833412918503E-2</v>
      </c>
      <c r="CC51" s="42">
        <f t="shared" ca="1" si="69"/>
        <v>7.0185230930133492E-3</v>
      </c>
      <c r="CD51" s="42">
        <f t="shared" ca="1" si="70"/>
        <v>3343.7022419313266</v>
      </c>
      <c r="CE51" s="40"/>
      <c r="CF51" s="36">
        <f t="shared" ref="CF51:CF114" si="120">CF$48</f>
        <v>95</v>
      </c>
      <c r="CG51" s="35">
        <f t="shared" si="71"/>
        <v>0.28399999999999997</v>
      </c>
      <c r="CH51" s="197">
        <f>MAX($C$48+CH$48-$C51,0)</f>
        <v>169.23611111111677</v>
      </c>
      <c r="CI51" s="41">
        <f t="shared" si="72"/>
        <v>0.46366057838662128</v>
      </c>
      <c r="CJ51" s="40">
        <f t="shared" ca="1" si="73"/>
        <v>-0.4512335265637451</v>
      </c>
      <c r="CK51" s="40">
        <f t="shared" si="74"/>
        <v>2.5189751902588361E-2</v>
      </c>
      <c r="CL51" s="40">
        <f t="shared" si="75"/>
        <v>0.19338305926412305</v>
      </c>
      <c r="CM51" s="42">
        <f t="shared" ca="1" si="76"/>
        <v>-2.2031080503244347</v>
      </c>
      <c r="CN51" s="42">
        <f t="shared" ca="1" si="77"/>
        <v>-2.3964911095885579</v>
      </c>
      <c r="CO51" s="42">
        <f t="shared" ca="1" si="78"/>
        <v>1.3793566964721145E-2</v>
      </c>
      <c r="CP51" s="42">
        <f t="shared" ca="1" si="79"/>
        <v>0.98620643303527888</v>
      </c>
      <c r="CQ51" s="42">
        <f t="shared" ca="1" si="80"/>
        <v>8.2764475198350285E-3</v>
      </c>
      <c r="CR51" s="42">
        <f t="shared" ca="1" si="81"/>
        <v>0.99172355248016497</v>
      </c>
      <c r="CS51" s="42">
        <f t="shared" si="82"/>
        <v>0.98162450344672281</v>
      </c>
      <c r="CT51" s="42">
        <f t="shared" si="83"/>
        <v>93.254327827438672</v>
      </c>
      <c r="CU51" s="42">
        <f t="shared" si="84"/>
        <v>0.98801719747153338</v>
      </c>
      <c r="CV51" s="42">
        <f t="shared" ca="1" si="85"/>
        <v>59.77504044702777</v>
      </c>
      <c r="CW51" s="42">
        <f t="shared" ca="1" si="86"/>
        <v>3.5232685076518624E-2</v>
      </c>
      <c r="CX51" s="42">
        <f t="shared" ca="1" si="87"/>
        <v>5.2696472963705054E-2</v>
      </c>
      <c r="CY51" s="42">
        <f t="shared" ca="1" si="88"/>
        <v>1.3628281375619711E-2</v>
      </c>
      <c r="CZ51" s="42">
        <f t="shared" ca="1" si="89"/>
        <v>2.9753389315830339E-3</v>
      </c>
      <c r="DA51" s="42">
        <f t="shared" ca="1" si="90"/>
        <v>-1.229114375994665E-3</v>
      </c>
      <c r="DB51" s="42">
        <f t="shared" ca="1" si="91"/>
        <v>1.4340546660466942E-2</v>
      </c>
      <c r="DC51" s="42">
        <f t="shared" ca="1" si="92"/>
        <v>3.5785998078135851E-3</v>
      </c>
      <c r="DD51" s="42">
        <f t="shared" ca="1" si="93"/>
        <v>-2548.6517635181476</v>
      </c>
      <c r="DE51" s="40"/>
      <c r="DF51" s="36">
        <f t="shared" ref="DF51:DF114" si="121">DF$48</f>
        <v>200</v>
      </c>
      <c r="DG51" s="35">
        <f t="shared" si="94"/>
        <v>0.28399999999999997</v>
      </c>
      <c r="DH51" s="197">
        <f>MAX($C$48+DH$48-$C51,0)</f>
        <v>169.23611111111677</v>
      </c>
      <c r="DI51" s="41">
        <f t="shared" si="95"/>
        <v>0.46366057838662128</v>
      </c>
      <c r="DJ51" s="40">
        <f t="shared" ca="1" si="96"/>
        <v>-1.195674001511241</v>
      </c>
      <c r="DK51" s="40">
        <f t="shared" si="97"/>
        <v>2.5189751902588361E-2</v>
      </c>
      <c r="DL51" s="40">
        <f t="shared" si="98"/>
        <v>0.19338305926412305</v>
      </c>
      <c r="DM51" s="42">
        <f t="shared" ca="1" si="99"/>
        <v>-6.0526721113145827</v>
      </c>
      <c r="DN51" s="42">
        <f t="shared" ca="1" si="100"/>
        <v>-6.246055170578706</v>
      </c>
      <c r="DO51" s="42">
        <f t="shared" ca="1" si="101"/>
        <v>7.1231328072563729E-10</v>
      </c>
      <c r="DP51" s="42">
        <f t="shared" ca="1" si="102"/>
        <v>0.99999999928768668</v>
      </c>
      <c r="DQ51" s="42">
        <f t="shared" ca="1" si="103"/>
        <v>2.1047427050253166E-10</v>
      </c>
      <c r="DR51" s="42">
        <f t="shared" ca="1" si="104"/>
        <v>0.9999999997895257</v>
      </c>
      <c r="DS51" s="42">
        <f t="shared" si="105"/>
        <v>0.98162450344672281</v>
      </c>
      <c r="DT51" s="42">
        <f t="shared" si="106"/>
        <v>196.32490068934456</v>
      </c>
      <c r="DU51" s="42">
        <f t="shared" si="107"/>
        <v>0.98801719747153338</v>
      </c>
      <c r="DV51" s="42">
        <f t="shared" ca="1" si="108"/>
        <v>59.77504044702777</v>
      </c>
      <c r="DW51" s="42">
        <f t="shared" ca="1" si="109"/>
        <v>4.423394820407728E-9</v>
      </c>
      <c r="DX51" s="42">
        <f t="shared" si="110"/>
        <v>0</v>
      </c>
      <c r="DY51" s="92">
        <f t="shared" si="111"/>
        <v>0</v>
      </c>
      <c r="DZ51" s="42">
        <f t="shared" si="112"/>
        <v>0</v>
      </c>
      <c r="EA51" s="42">
        <f t="shared" si="113"/>
        <v>0</v>
      </c>
      <c r="EB51" s="42">
        <f t="shared" si="114"/>
        <v>0</v>
      </c>
      <c r="EC51" s="42">
        <f t="shared" si="115"/>
        <v>0</v>
      </c>
      <c r="ED51" s="42">
        <f t="shared" ca="1" si="116"/>
        <v>0</v>
      </c>
      <c r="EE51" s="40"/>
      <c r="EF51" s="120">
        <f ca="1">OFFSET($A51,0,$M$22-1)</f>
        <v>60.5</v>
      </c>
      <c r="EG51" s="42">
        <f t="shared" ref="EG51:EG53" ca="1" si="122">AD51+BD51+CD51+DD51+ED51</f>
        <v>-411.47283074425559</v>
      </c>
      <c r="EH51" s="36">
        <f t="shared" ref="EH51:EH81" ca="1" si="123">IF($M$26=1,EG51,OFFSET($AD51,0,$M$26*26-52))</f>
        <v>-411.47283074425559</v>
      </c>
      <c r="EI51" s="36">
        <f t="shared" ref="EI51:EI115" ca="1" si="124">ROUND(EH51-EH50,$EI$49)</f>
        <v>13.462999999999999</v>
      </c>
      <c r="EJ51" s="129"/>
      <c r="EK51" s="129"/>
      <c r="EL51" s="129"/>
      <c r="EM51" s="129"/>
      <c r="EN51" s="129"/>
    </row>
    <row r="52" spans="1:144" x14ac:dyDescent="0.3">
      <c r="A52" s="36">
        <f ca="1">IF($M$22=1,A51+'Auto X'!$E$6,A$48)</f>
        <v>61</v>
      </c>
      <c r="B52" s="35">
        <f>IF($M$22=2,B51+'Auto X'!$E$6,B$48)</f>
        <v>0.28399999999999997</v>
      </c>
      <c r="C52" s="39">
        <f>IF($M$22=3,C51+'Auto X'!$E$6,C$48)</f>
        <v>45295.440972222219</v>
      </c>
      <c r="D52" s="35">
        <f>IF($M$22=4,D51+'Auto X'!$E$6,D$48)</f>
        <v>2.5999999999999999E-2</v>
      </c>
      <c r="E52" s="35">
        <f>IF($M$22=5,E51+'Auto X'!$E$6,E$48)</f>
        <v>0.04</v>
      </c>
      <c r="F52" s="36">
        <f t="shared" si="117"/>
        <v>75</v>
      </c>
      <c r="G52" s="35">
        <f t="shared" si="7"/>
        <v>0.28399999999999997</v>
      </c>
      <c r="H52" s="197">
        <f t="shared" ref="H52:H115" si="125">MAX($C$48+H$48-$C52,0)</f>
        <v>169.23611111111677</v>
      </c>
      <c r="I52" s="41">
        <f t="shared" si="8"/>
        <v>0.46366057838662128</v>
      </c>
      <c r="J52" s="40">
        <f t="shared" ca="1" si="2"/>
        <v>-0.20661424936299916</v>
      </c>
      <c r="K52" s="40">
        <f t="shared" si="9"/>
        <v>2.5189751902588361E-2</v>
      </c>
      <c r="L52" s="40">
        <f t="shared" si="3"/>
        <v>0.19338305926412305</v>
      </c>
      <c r="M52" s="42">
        <f t="shared" ca="1" si="4"/>
        <v>-0.93816127509194469</v>
      </c>
      <c r="N52" s="42">
        <f t="shared" ca="1" si="10"/>
        <v>-1.1315443343560678</v>
      </c>
      <c r="O52" s="42">
        <f t="shared" ca="1" si="11"/>
        <v>0.1740807680046175</v>
      </c>
      <c r="P52" s="42">
        <f t="shared" ca="1" si="12"/>
        <v>0.82591923199538253</v>
      </c>
      <c r="Q52" s="42">
        <f t="shared" ca="1" si="13"/>
        <v>0.12891302716854616</v>
      </c>
      <c r="R52" s="42">
        <f t="shared" ca="1" si="14"/>
        <v>0.87108697283145387</v>
      </c>
      <c r="S52" s="42">
        <f t="shared" si="5"/>
        <v>0.98162450344672281</v>
      </c>
      <c r="T52" s="42">
        <f t="shared" si="15"/>
        <v>73.621837758504213</v>
      </c>
      <c r="U52" s="42">
        <f t="shared" si="6"/>
        <v>0.98801719747153338</v>
      </c>
      <c r="V52" s="42">
        <f t="shared" ca="1" si="16"/>
        <v>60.269049045763538</v>
      </c>
      <c r="W52" s="42">
        <f t="shared" ca="1" si="17"/>
        <v>0.25691452877903692</v>
      </c>
      <c r="X52" s="42">
        <f t="shared" ca="1" si="18"/>
        <v>14.353657086374803</v>
      </c>
      <c r="Y52" s="42">
        <f t="shared" ca="1" si="19"/>
        <v>-0.81602240493391909</v>
      </c>
      <c r="Z52" s="42">
        <f t="shared" ca="1" si="20"/>
        <v>2.1518148850071517E-2</v>
      </c>
      <c r="AA52" s="42">
        <f t="shared" ca="1" si="21"/>
        <v>-5.3643684932323582E-3</v>
      </c>
      <c r="AB52" s="42">
        <f t="shared" ca="1" si="22"/>
        <v>0.10543458430414057</v>
      </c>
      <c r="AC52" s="42">
        <f t="shared" ca="1" si="23"/>
        <v>-0.29735027581766027</v>
      </c>
      <c r="AD52" s="42">
        <f t="shared" ca="1" si="24"/>
        <v>5376.828543187401</v>
      </c>
      <c r="AE52" s="36"/>
      <c r="AF52" s="36">
        <f t="shared" si="118"/>
        <v>80</v>
      </c>
      <c r="AG52" s="35">
        <f t="shared" si="25"/>
        <v>0.28399999999999997</v>
      </c>
      <c r="AH52" s="197">
        <f t="shared" ref="AH52:AH115" si="126">MAX($C$48+AH$48-$C52,0)</f>
        <v>169.23611111111677</v>
      </c>
      <c r="AI52" s="41">
        <f t="shared" si="26"/>
        <v>0.46366057838662128</v>
      </c>
      <c r="AJ52" s="40">
        <f t="shared" ca="1" si="27"/>
        <v>-0.27115277050057041</v>
      </c>
      <c r="AK52" s="40">
        <f t="shared" si="28"/>
        <v>2.5189751902588361E-2</v>
      </c>
      <c r="AL52" s="40">
        <f t="shared" si="29"/>
        <v>0.19338305926412305</v>
      </c>
      <c r="AM52" s="42">
        <f t="shared" ca="1" si="30"/>
        <v>-1.2718953745686954</v>
      </c>
      <c r="AN52" s="42">
        <f t="shared" ca="1" si="31"/>
        <v>-1.4652784338328184</v>
      </c>
      <c r="AO52" s="42">
        <f t="shared" ca="1" si="32"/>
        <v>0.10170514775451511</v>
      </c>
      <c r="AP52" s="42">
        <f t="shared" ca="1" si="33"/>
        <v>0.89829485224548489</v>
      </c>
      <c r="AQ52" s="42">
        <f t="shared" ca="1" si="34"/>
        <v>7.1422483975697157E-2</v>
      </c>
      <c r="AR52" s="42">
        <f t="shared" ca="1" si="35"/>
        <v>0.92857751602430283</v>
      </c>
      <c r="AS52" s="42">
        <f t="shared" si="36"/>
        <v>0.98162450344672281</v>
      </c>
      <c r="AT52" s="42">
        <f t="shared" si="37"/>
        <v>78.529960275737821</v>
      </c>
      <c r="AU52" s="42">
        <f t="shared" si="38"/>
        <v>0.98801719747153338</v>
      </c>
      <c r="AV52" s="42">
        <f t="shared" ca="1" si="39"/>
        <v>60.269049045763538</v>
      </c>
      <c r="AW52" s="42">
        <f t="shared" ca="1" si="40"/>
        <v>0.17767531717501212</v>
      </c>
      <c r="AX52" s="42">
        <f t="shared" ca="1" si="41"/>
        <v>18.781778938791753</v>
      </c>
      <c r="AY52" s="42">
        <f t="shared" ca="1" si="42"/>
        <v>-0.88753076241868911</v>
      </c>
      <c r="AZ52" s="42">
        <f t="shared" ca="1" si="43"/>
        <v>1.4881384638405621E-2</v>
      </c>
      <c r="BA52" s="42">
        <f t="shared" ca="1" si="44"/>
        <v>-1.9832477049249826E-3</v>
      </c>
      <c r="BB52" s="42">
        <f t="shared" ca="1" si="45"/>
        <v>7.2915779798367983E-2</v>
      </c>
      <c r="BC52" s="42">
        <f t="shared" ca="1" si="46"/>
        <v>-0.33810665110866928</v>
      </c>
      <c r="BD52" s="42">
        <f t="shared" ca="1" si="47"/>
        <v>-6565.8894693958764</v>
      </c>
      <c r="BE52" s="40"/>
      <c r="BF52" s="36">
        <f t="shared" si="119"/>
        <v>90</v>
      </c>
      <c r="BG52" s="35">
        <f t="shared" si="48"/>
        <v>0.28399999999999997</v>
      </c>
      <c r="BH52" s="197">
        <f t="shared" ref="BH52:BH115" si="127">MAX($C$48+BH$48-$C52,0)</f>
        <v>169.23611111111677</v>
      </c>
      <c r="BI52" s="41">
        <f t="shared" si="49"/>
        <v>0.46366057838662128</v>
      </c>
      <c r="BJ52" s="40">
        <f t="shared" ca="1" si="50"/>
        <v>-0.38893580615695378</v>
      </c>
      <c r="BK52" s="40">
        <f t="shared" si="51"/>
        <v>2.5189751902588361E-2</v>
      </c>
      <c r="BL52" s="40">
        <f t="shared" si="52"/>
        <v>0.19338305926412305</v>
      </c>
      <c r="BM52" s="42">
        <f t="shared" ca="1" si="53"/>
        <v>-1.8809613191482308</v>
      </c>
      <c r="BN52" s="42">
        <f t="shared" ca="1" si="54"/>
        <v>-2.0743443784123539</v>
      </c>
      <c r="BO52" s="42">
        <f t="shared" ca="1" si="55"/>
        <v>2.9988590416100785E-2</v>
      </c>
      <c r="BP52" s="42">
        <f t="shared" ca="1" si="56"/>
        <v>0.9700114095838992</v>
      </c>
      <c r="BQ52" s="42">
        <f t="shared" ca="1" si="57"/>
        <v>1.9023669524320972E-2</v>
      </c>
      <c r="BR52" s="42">
        <f t="shared" ca="1" si="58"/>
        <v>0.980976330475679</v>
      </c>
      <c r="BS52" s="42">
        <f t="shared" si="59"/>
        <v>0.98162450344672281</v>
      </c>
      <c r="BT52" s="42">
        <f t="shared" si="60"/>
        <v>88.34620531020505</v>
      </c>
      <c r="BU52" s="42">
        <f t="shared" si="61"/>
        <v>0.98801719747153338</v>
      </c>
      <c r="BV52" s="42">
        <f t="shared" ca="1" si="62"/>
        <v>60.269049045763538</v>
      </c>
      <c r="BW52" s="42">
        <f t="shared" ca="1" si="63"/>
        <v>6.8020491387266804E-2</v>
      </c>
      <c r="BX52" s="42">
        <f t="shared" ca="1" si="64"/>
        <v>0.12671481305214094</v>
      </c>
      <c r="BY52" s="42">
        <f t="shared" ca="1" si="65"/>
        <v>2.9629243059037583E-2</v>
      </c>
      <c r="BZ52" s="42">
        <f t="shared" ca="1" si="66"/>
        <v>5.6971284009596423E-3</v>
      </c>
      <c r="CA52" s="42">
        <f t="shared" ca="1" si="67"/>
        <v>-2.3976675317725913E-3</v>
      </c>
      <c r="CB52" s="42">
        <f t="shared" ca="1" si="68"/>
        <v>2.7914778769666176E-2</v>
      </c>
      <c r="CC52" s="42">
        <f t="shared" ca="1" si="69"/>
        <v>7.7925996689867183E-3</v>
      </c>
      <c r="CD52" s="42">
        <f t="shared" ca="1" si="70"/>
        <v>3336.6425934739295</v>
      </c>
      <c r="CE52" s="40"/>
      <c r="CF52" s="36">
        <f t="shared" si="120"/>
        <v>95</v>
      </c>
      <c r="CG52" s="35">
        <f t="shared" si="71"/>
        <v>0.28399999999999997</v>
      </c>
      <c r="CH52" s="197">
        <f t="shared" ref="CH52:CH115" si="128">MAX($C$48+CH$48-$C52,0)</f>
        <v>169.23611111111677</v>
      </c>
      <c r="CI52" s="41">
        <f t="shared" si="72"/>
        <v>0.46366057838662128</v>
      </c>
      <c r="CJ52" s="40">
        <f t="shared" ca="1" si="73"/>
        <v>-0.44300302742722958</v>
      </c>
      <c r="CK52" s="40">
        <f t="shared" si="74"/>
        <v>2.5189751902588361E-2</v>
      </c>
      <c r="CL52" s="40">
        <f t="shared" si="75"/>
        <v>0.19338305926412305</v>
      </c>
      <c r="CM52" s="42">
        <f t="shared" ca="1" si="76"/>
        <v>-2.1605474497845791</v>
      </c>
      <c r="CN52" s="42">
        <f t="shared" ca="1" si="77"/>
        <v>-2.3539305090487024</v>
      </c>
      <c r="CO52" s="42">
        <f t="shared" ca="1" si="78"/>
        <v>1.5365157248519782E-2</v>
      </c>
      <c r="CP52" s="42">
        <f t="shared" ca="1" si="79"/>
        <v>0.98463484275148017</v>
      </c>
      <c r="CQ52" s="42">
        <f t="shared" ca="1" si="80"/>
        <v>9.2880417132436277E-3</v>
      </c>
      <c r="CR52" s="42">
        <f t="shared" ca="1" si="81"/>
        <v>0.9907119582867564</v>
      </c>
      <c r="CS52" s="42">
        <f t="shared" si="82"/>
        <v>0.98162450344672281</v>
      </c>
      <c r="CT52" s="42">
        <f t="shared" si="83"/>
        <v>93.254327827438672</v>
      </c>
      <c r="CU52" s="42">
        <f t="shared" si="84"/>
        <v>0.98801719747153338</v>
      </c>
      <c r="CV52" s="42">
        <f t="shared" ca="1" si="85"/>
        <v>60.269049045763538</v>
      </c>
      <c r="CW52" s="42">
        <f t="shared" ca="1" si="86"/>
        <v>3.8661106875303379E-2</v>
      </c>
      <c r="CX52" s="42">
        <f t="shared" ca="1" si="87"/>
        <v>5.9893329005161422E-2</v>
      </c>
      <c r="CY52" s="42">
        <f t="shared" ca="1" si="88"/>
        <v>1.5181039603391932E-2</v>
      </c>
      <c r="CZ52" s="42">
        <f t="shared" ca="1" si="89"/>
        <v>3.2381020116102597E-3</v>
      </c>
      <c r="DA52" s="42">
        <f t="shared" ca="1" si="90"/>
        <v>-1.3602192951153627E-3</v>
      </c>
      <c r="DB52" s="42">
        <f t="shared" ca="1" si="91"/>
        <v>1.5866046001786739E-2</v>
      </c>
      <c r="DC52" s="42">
        <f t="shared" ca="1" si="92"/>
        <v>4.0159965021611989E-3</v>
      </c>
      <c r="DD52" s="42">
        <f t="shared" ca="1" si="93"/>
        <v>-2545.0533354974195</v>
      </c>
      <c r="DE52" s="40"/>
      <c r="DF52" s="36">
        <f t="shared" si="121"/>
        <v>200</v>
      </c>
      <c r="DG52" s="35">
        <f t="shared" si="94"/>
        <v>0.28399999999999997</v>
      </c>
      <c r="DH52" s="197">
        <f t="shared" ref="DH52:DH115" si="129">MAX($C$48+DH$48-$C52,0)</f>
        <v>169.23611111111677</v>
      </c>
      <c r="DI52" s="41">
        <f t="shared" si="95"/>
        <v>0.46366057838662128</v>
      </c>
      <c r="DJ52" s="40">
        <f t="shared" ca="1" si="96"/>
        <v>-1.1874435023747254</v>
      </c>
      <c r="DK52" s="40">
        <f t="shared" si="97"/>
        <v>2.5189751902588361E-2</v>
      </c>
      <c r="DL52" s="40">
        <f t="shared" si="98"/>
        <v>0.19338305926412305</v>
      </c>
      <c r="DM52" s="42">
        <f t="shared" ca="1" si="99"/>
        <v>-6.0101115107747267</v>
      </c>
      <c r="DN52" s="42">
        <f t="shared" ca="1" si="100"/>
        <v>-6.20349457003885</v>
      </c>
      <c r="DO52" s="42">
        <f t="shared" ca="1" si="101"/>
        <v>9.2697880988801496E-10</v>
      </c>
      <c r="DP52" s="42">
        <f t="shared" ca="1" si="102"/>
        <v>0.99999999907302117</v>
      </c>
      <c r="DQ52" s="42">
        <f t="shared" ca="1" si="103"/>
        <v>2.7611473271007759E-10</v>
      </c>
      <c r="DR52" s="42">
        <f t="shared" ca="1" si="104"/>
        <v>0.99999999972388531</v>
      </c>
      <c r="DS52" s="42">
        <f t="shared" si="105"/>
        <v>0.98162450344672281</v>
      </c>
      <c r="DT52" s="42">
        <f t="shared" si="106"/>
        <v>196.32490068934456</v>
      </c>
      <c r="DU52" s="42">
        <f t="shared" si="107"/>
        <v>0.98801719747153338</v>
      </c>
      <c r="DV52" s="42">
        <f t="shared" ca="1" si="108"/>
        <v>60.269049045763538</v>
      </c>
      <c r="DW52" s="42">
        <f t="shared" ca="1" si="109"/>
        <v>5.7179315208883379E-9</v>
      </c>
      <c r="DX52" s="42">
        <f t="shared" si="110"/>
        <v>0</v>
      </c>
      <c r="DY52" s="92">
        <f t="shared" si="111"/>
        <v>0</v>
      </c>
      <c r="DZ52" s="42">
        <f t="shared" si="112"/>
        <v>0</v>
      </c>
      <c r="EA52" s="42">
        <f t="shared" si="113"/>
        <v>0</v>
      </c>
      <c r="EB52" s="42">
        <f t="shared" si="114"/>
        <v>0</v>
      </c>
      <c r="EC52" s="42">
        <f t="shared" si="115"/>
        <v>0</v>
      </c>
      <c r="ED52" s="42">
        <f t="shared" ca="1" si="116"/>
        <v>0</v>
      </c>
      <c r="EE52" s="40"/>
      <c r="EF52" s="120">
        <f t="shared" ref="EF52:EF115" ca="1" si="130">OFFSET($A52,0,$M$22-1)</f>
        <v>61</v>
      </c>
      <c r="EG52" s="42">
        <f t="shared" ca="1" si="122"/>
        <v>-397.4716682319654</v>
      </c>
      <c r="EH52" s="36">
        <f t="shared" ca="1" si="123"/>
        <v>-397.4716682319654</v>
      </c>
      <c r="EI52" s="36">
        <f t="shared" ca="1" si="124"/>
        <v>14.000999999999999</v>
      </c>
      <c r="EJ52" s="153">
        <f t="shared" ref="EJ52:EJ111" ca="1" si="131">SIGN(EI52)</f>
        <v>1</v>
      </c>
      <c r="EK52" s="129"/>
      <c r="EL52" s="129"/>
      <c r="EM52" s="129"/>
      <c r="EN52" s="129"/>
    </row>
    <row r="53" spans="1:144" x14ac:dyDescent="0.3">
      <c r="A53" s="36">
        <f ca="1">IF($M$22=1,A52+'Auto X'!$E$6,A$48)</f>
        <v>61.5</v>
      </c>
      <c r="B53" s="35">
        <f>IF($M$22=2,B52+'Auto X'!$E$6,B$48)</f>
        <v>0.28399999999999997</v>
      </c>
      <c r="C53" s="39">
        <f>IF($M$22=3,C52+'Auto X'!$E$6,C$48)</f>
        <v>45295.440972222219</v>
      </c>
      <c r="D53" s="35">
        <f>IF($M$22=4,D52+'Auto X'!$E$6,D$48)</f>
        <v>2.5999999999999999E-2</v>
      </c>
      <c r="E53" s="35">
        <f>IF($M$22=5,E52+'Auto X'!$E$6,E$48)</f>
        <v>0.04</v>
      </c>
      <c r="F53" s="36">
        <f t="shared" si="117"/>
        <v>75</v>
      </c>
      <c r="G53" s="35">
        <f t="shared" si="7"/>
        <v>0.28399999999999997</v>
      </c>
      <c r="H53" s="197">
        <f t="shared" si="125"/>
        <v>169.23611111111677</v>
      </c>
      <c r="I53" s="41">
        <f t="shared" si="8"/>
        <v>0.46366057838662128</v>
      </c>
      <c r="J53" s="40">
        <f t="shared" ca="1" si="2"/>
        <v>-0.19845093872383832</v>
      </c>
      <c r="K53" s="40">
        <f t="shared" si="9"/>
        <v>2.5189751902588361E-2</v>
      </c>
      <c r="L53" s="40">
        <f t="shared" si="3"/>
        <v>0.19338305926412305</v>
      </c>
      <c r="M53" s="42">
        <f t="shared" ca="1" si="4"/>
        <v>-0.89594811190058488</v>
      </c>
      <c r="N53" s="42">
        <f t="shared" ca="1" si="10"/>
        <v>-1.089331171164708</v>
      </c>
      <c r="O53" s="42">
        <f t="shared" ca="1" si="11"/>
        <v>0.1851402382779837</v>
      </c>
      <c r="P53" s="42">
        <f t="shared" ca="1" si="12"/>
        <v>0.81485976172201635</v>
      </c>
      <c r="Q53" s="42">
        <f t="shared" ca="1" si="13"/>
        <v>0.13800393579409445</v>
      </c>
      <c r="R53" s="42">
        <f t="shared" ca="1" si="14"/>
        <v>0.86199606420590558</v>
      </c>
      <c r="S53" s="42">
        <f t="shared" si="5"/>
        <v>0.98162450344672281</v>
      </c>
      <c r="T53" s="42">
        <f t="shared" si="15"/>
        <v>73.621837758504213</v>
      </c>
      <c r="U53" s="42">
        <f t="shared" si="6"/>
        <v>0.98801719747153338</v>
      </c>
      <c r="V53" s="42">
        <f t="shared" ca="1" si="16"/>
        <v>60.763057644499305</v>
      </c>
      <c r="W53" s="42">
        <f t="shared" ca="1" si="17"/>
        <v>0.26705516196150492</v>
      </c>
      <c r="X53" s="42">
        <f t="shared" ca="1" si="18"/>
        <v>13.948363713738509</v>
      </c>
      <c r="Y53" s="42">
        <f t="shared" ca="1" si="19"/>
        <v>-0.80509545810890804</v>
      </c>
      <c r="Z53" s="42">
        <f t="shared" ca="1" si="20"/>
        <v>2.2185638839084448E-2</v>
      </c>
      <c r="AA53" s="42">
        <f t="shared" ca="1" si="21"/>
        <v>-5.8434700751876399E-3</v>
      </c>
      <c r="AB53" s="42">
        <f t="shared" ca="1" si="22"/>
        <v>0.11049450560446697</v>
      </c>
      <c r="AC53" s="42">
        <f t="shared" ca="1" si="23"/>
        <v>-0.29424704471496876</v>
      </c>
      <c r="AD53" s="42">
        <f t="shared" ca="1" si="24"/>
        <v>5174.1818568692543</v>
      </c>
      <c r="AE53" s="36"/>
      <c r="AF53" s="36">
        <f t="shared" si="118"/>
        <v>80</v>
      </c>
      <c r="AG53" s="35">
        <f t="shared" si="25"/>
        <v>0.28399999999999997</v>
      </c>
      <c r="AH53" s="197">
        <f t="shared" si="126"/>
        <v>169.23611111111677</v>
      </c>
      <c r="AI53" s="41">
        <f t="shared" si="26"/>
        <v>0.46366057838662128</v>
      </c>
      <c r="AJ53" s="40">
        <f t="shared" ca="1" si="27"/>
        <v>-0.26298945986140937</v>
      </c>
      <c r="AK53" s="40">
        <f t="shared" si="28"/>
        <v>2.5189751902588361E-2</v>
      </c>
      <c r="AL53" s="40">
        <f t="shared" si="29"/>
        <v>0.19338305926412305</v>
      </c>
      <c r="AM53" s="42">
        <f t="shared" ca="1" si="30"/>
        <v>-1.2296822113773347</v>
      </c>
      <c r="AN53" s="42">
        <f t="shared" ca="1" si="31"/>
        <v>-1.4230652706414577</v>
      </c>
      <c r="AO53" s="42">
        <f t="shared" ca="1" si="32"/>
        <v>0.10940806534079149</v>
      </c>
      <c r="AP53" s="42">
        <f t="shared" ca="1" si="33"/>
        <v>0.8905919346592085</v>
      </c>
      <c r="AQ53" s="42">
        <f t="shared" ca="1" si="34"/>
        <v>7.735861743098181E-2</v>
      </c>
      <c r="AR53" s="42">
        <f t="shared" ca="1" si="35"/>
        <v>0.92264138256901818</v>
      </c>
      <c r="AS53" s="42">
        <f t="shared" si="36"/>
        <v>0.98162450344672281</v>
      </c>
      <c r="AT53" s="42">
        <f t="shared" si="37"/>
        <v>78.529960275737821</v>
      </c>
      <c r="AU53" s="42">
        <f t="shared" si="38"/>
        <v>0.98801719747153338</v>
      </c>
      <c r="AV53" s="42">
        <f t="shared" ca="1" si="39"/>
        <v>60.763057644499305</v>
      </c>
      <c r="AW53" s="42">
        <f t="shared" ca="1" si="40"/>
        <v>0.18730860959942242</v>
      </c>
      <c r="AX53" s="42">
        <f t="shared" ca="1" si="41"/>
        <v>18.339902058473179</v>
      </c>
      <c r="AY53" s="42">
        <f t="shared" ca="1" si="42"/>
        <v>-0.87992014737274216</v>
      </c>
      <c r="AZ53" s="42">
        <f t="shared" ca="1" si="43"/>
        <v>1.5560684667173226E-2</v>
      </c>
      <c r="BA53" s="42">
        <f t="shared" ca="1" si="44"/>
        <v>-2.4171860195419483E-3</v>
      </c>
      <c r="BB53" s="42">
        <f t="shared" ca="1" si="45"/>
        <v>7.7499240460784033E-2</v>
      </c>
      <c r="BC53" s="42">
        <f t="shared" ca="1" si="46"/>
        <v>-0.33594523090576189</v>
      </c>
      <c r="BD53" s="42">
        <f t="shared" ca="1" si="47"/>
        <v>-6344.9510292365894</v>
      </c>
      <c r="BE53" s="40"/>
      <c r="BF53" s="36">
        <f t="shared" si="119"/>
        <v>90</v>
      </c>
      <c r="BG53" s="35">
        <f t="shared" si="48"/>
        <v>0.28399999999999997</v>
      </c>
      <c r="BH53" s="197">
        <f t="shared" si="127"/>
        <v>169.23611111111677</v>
      </c>
      <c r="BI53" s="41">
        <f t="shared" si="49"/>
        <v>0.46366057838662128</v>
      </c>
      <c r="BJ53" s="40">
        <f t="shared" ca="1" si="50"/>
        <v>-0.38077249551779285</v>
      </c>
      <c r="BK53" s="40">
        <f t="shared" si="51"/>
        <v>2.5189751902588361E-2</v>
      </c>
      <c r="BL53" s="40">
        <f t="shared" si="52"/>
        <v>0.19338305926412305</v>
      </c>
      <c r="BM53" s="42">
        <f t="shared" ca="1" si="53"/>
        <v>-1.8387481559568706</v>
      </c>
      <c r="BN53" s="42">
        <f t="shared" ca="1" si="54"/>
        <v>-2.0321312152209936</v>
      </c>
      <c r="BO53" s="42">
        <f t="shared" ca="1" si="55"/>
        <v>3.2976118431345292E-2</v>
      </c>
      <c r="BP53" s="42">
        <f t="shared" ca="1" si="56"/>
        <v>0.96702388156865471</v>
      </c>
      <c r="BQ53" s="42">
        <f t="shared" ca="1" si="57"/>
        <v>2.1070187023246416E-2</v>
      </c>
      <c r="BR53" s="42">
        <f t="shared" ca="1" si="58"/>
        <v>0.97892981297675363</v>
      </c>
      <c r="BS53" s="42">
        <f t="shared" si="59"/>
        <v>0.98162450344672281</v>
      </c>
      <c r="BT53" s="42">
        <f t="shared" si="60"/>
        <v>88.34620531020505</v>
      </c>
      <c r="BU53" s="42">
        <f t="shared" si="61"/>
        <v>0.98801719747153338</v>
      </c>
      <c r="BV53" s="42">
        <f t="shared" ca="1" si="62"/>
        <v>60.763057644499305</v>
      </c>
      <c r="BW53" s="42">
        <f t="shared" ca="1" si="63"/>
        <v>7.3576034555688133E-2</v>
      </c>
      <c r="BX53" s="42">
        <f t="shared" ca="1" si="64"/>
        <v>0.14225871645552401</v>
      </c>
      <c r="BY53" s="42">
        <f t="shared" ca="1" si="65"/>
        <v>3.2580972116027153E-2</v>
      </c>
      <c r="BZ53" s="42">
        <f t="shared" ca="1" si="66"/>
        <v>6.1123376828783752E-3</v>
      </c>
      <c r="CA53" s="42">
        <f t="shared" ca="1" si="67"/>
        <v>-2.615562378176158E-3</v>
      </c>
      <c r="CB53" s="42">
        <f t="shared" ca="1" si="68"/>
        <v>3.0442203411667493E-2</v>
      </c>
      <c r="CC53" s="42">
        <f t="shared" ca="1" si="69"/>
        <v>8.630907523541986E-3</v>
      </c>
      <c r="CD53" s="42">
        <f t="shared" ca="1" si="70"/>
        <v>3328.8706417722378</v>
      </c>
      <c r="CE53" s="40"/>
      <c r="CF53" s="36">
        <f t="shared" si="120"/>
        <v>95</v>
      </c>
      <c r="CG53" s="35">
        <f t="shared" si="71"/>
        <v>0.28399999999999997</v>
      </c>
      <c r="CH53" s="197">
        <f t="shared" si="128"/>
        <v>169.23611111111677</v>
      </c>
      <c r="CI53" s="41">
        <f t="shared" si="72"/>
        <v>0.46366057838662128</v>
      </c>
      <c r="CJ53" s="40">
        <f t="shared" ca="1" si="73"/>
        <v>-0.43483971678806865</v>
      </c>
      <c r="CK53" s="40">
        <f t="shared" si="74"/>
        <v>2.5189751902588361E-2</v>
      </c>
      <c r="CL53" s="40">
        <f t="shared" si="75"/>
        <v>0.19338305926412305</v>
      </c>
      <c r="CM53" s="42">
        <f t="shared" ca="1" si="76"/>
        <v>-2.1183342865932189</v>
      </c>
      <c r="CN53" s="42">
        <f t="shared" ca="1" si="77"/>
        <v>-2.3117173458573421</v>
      </c>
      <c r="CO53" s="42">
        <f t="shared" ca="1" si="78"/>
        <v>1.7073383424627726E-2</v>
      </c>
      <c r="CP53" s="42">
        <f t="shared" ca="1" si="79"/>
        <v>0.98292661657537228</v>
      </c>
      <c r="CQ53" s="42">
        <f t="shared" ca="1" si="80"/>
        <v>1.0396632430911523E-2</v>
      </c>
      <c r="CR53" s="42">
        <f t="shared" ca="1" si="81"/>
        <v>0.98960336756908851</v>
      </c>
      <c r="CS53" s="42">
        <f t="shared" si="82"/>
        <v>0.98162450344672281</v>
      </c>
      <c r="CT53" s="42">
        <f t="shared" si="83"/>
        <v>93.254327827438672</v>
      </c>
      <c r="CU53" s="42">
        <f t="shared" si="84"/>
        <v>0.98801719747153338</v>
      </c>
      <c r="CV53" s="42">
        <f t="shared" ca="1" si="85"/>
        <v>60.763057644499305</v>
      </c>
      <c r="CW53" s="42">
        <f t="shared" ca="1" si="86"/>
        <v>4.2315213174078936E-2</v>
      </c>
      <c r="CX53" s="42">
        <f t="shared" ca="1" si="87"/>
        <v>6.7900012203689686E-2</v>
      </c>
      <c r="CY53" s="42">
        <f t="shared" ca="1" si="88"/>
        <v>1.6868796442557617E-2</v>
      </c>
      <c r="CZ53" s="42">
        <f t="shared" ca="1" si="89"/>
        <v>3.5153412874839203E-3</v>
      </c>
      <c r="DA53" s="42">
        <f t="shared" ca="1" si="90"/>
        <v>-1.5013837580714548E-3</v>
      </c>
      <c r="DB53" s="42">
        <f t="shared" ca="1" si="91"/>
        <v>1.7507987956029293E-2</v>
      </c>
      <c r="DC53" s="42">
        <f t="shared" ca="1" si="92"/>
        <v>4.4953328985658896E-3</v>
      </c>
      <c r="DD53" s="42">
        <f t="shared" ca="1" si="93"/>
        <v>-2541.0499938981557</v>
      </c>
      <c r="DE53" s="40"/>
      <c r="DF53" s="36">
        <f t="shared" si="121"/>
        <v>200</v>
      </c>
      <c r="DG53" s="35">
        <f t="shared" si="94"/>
        <v>0.28399999999999997</v>
      </c>
      <c r="DH53" s="197">
        <f t="shared" si="129"/>
        <v>169.23611111111677</v>
      </c>
      <c r="DI53" s="41">
        <f t="shared" si="95"/>
        <v>0.46366057838662128</v>
      </c>
      <c r="DJ53" s="40">
        <f t="shared" ca="1" si="96"/>
        <v>-1.1792801917355644</v>
      </c>
      <c r="DK53" s="40">
        <f t="shared" si="97"/>
        <v>2.5189751902588361E-2</v>
      </c>
      <c r="DL53" s="40">
        <f t="shared" si="98"/>
        <v>0.19338305926412305</v>
      </c>
      <c r="DM53" s="42">
        <f t="shared" ca="1" si="99"/>
        <v>-5.9678983475833656</v>
      </c>
      <c r="DN53" s="42">
        <f t="shared" ca="1" si="100"/>
        <v>-6.1612814068474888</v>
      </c>
      <c r="DO53" s="42">
        <f t="shared" ca="1" si="101"/>
        <v>1.2016450526438843E-9</v>
      </c>
      <c r="DP53" s="42">
        <f t="shared" ca="1" si="102"/>
        <v>0.99999999879835499</v>
      </c>
      <c r="DQ53" s="42">
        <f t="shared" ca="1" si="103"/>
        <v>3.60793141657704E-10</v>
      </c>
      <c r="DR53" s="42">
        <f t="shared" ca="1" si="104"/>
        <v>0.99999999963920683</v>
      </c>
      <c r="DS53" s="42">
        <f t="shared" si="105"/>
        <v>0.98162450344672281</v>
      </c>
      <c r="DT53" s="42">
        <f t="shared" si="106"/>
        <v>196.32490068934456</v>
      </c>
      <c r="DU53" s="42">
        <f t="shared" si="107"/>
        <v>0.98801719747153338</v>
      </c>
      <c r="DV53" s="42">
        <f t="shared" ca="1" si="108"/>
        <v>60.763057644499305</v>
      </c>
      <c r="DW53" s="42">
        <f t="shared" ca="1" si="109"/>
        <v>7.3626650044554953E-9</v>
      </c>
      <c r="DX53" s="42">
        <f t="shared" si="110"/>
        <v>0</v>
      </c>
      <c r="DY53" s="92">
        <f t="shared" si="111"/>
        <v>0</v>
      </c>
      <c r="DZ53" s="42">
        <f t="shared" si="112"/>
        <v>0</v>
      </c>
      <c r="EA53" s="42">
        <f t="shared" si="113"/>
        <v>0</v>
      </c>
      <c r="EB53" s="42">
        <f t="shared" si="114"/>
        <v>0</v>
      </c>
      <c r="EC53" s="42">
        <f t="shared" si="115"/>
        <v>0</v>
      </c>
      <c r="ED53" s="42">
        <f t="shared" ca="1" si="116"/>
        <v>0</v>
      </c>
      <c r="EE53" s="40"/>
      <c r="EF53" s="120">
        <f t="shared" ca="1" si="130"/>
        <v>61.5</v>
      </c>
      <c r="EG53" s="42">
        <f t="shared" ca="1" si="122"/>
        <v>-382.94852449325299</v>
      </c>
      <c r="EH53" s="36">
        <f t="shared" ca="1" si="123"/>
        <v>-382.94852449325299</v>
      </c>
      <c r="EI53" s="36">
        <f t="shared" ca="1" si="124"/>
        <v>14.523</v>
      </c>
      <c r="EJ53" s="153">
        <f t="shared" ca="1" si="131"/>
        <v>1</v>
      </c>
      <c r="EK53" s="153" t="str">
        <f ca="1">IF(EJ53=EJ52,"",IF(EJ53=-1,IF(EJ52=0,"MAX END","MAX MID"),IF(EJ53=0,IF(EJ52=-1,"MIN BEG","MAX BEG"),IF(EJ52=-1,"MIN MID","MIN END"))))</f>
        <v/>
      </c>
      <c r="EL53" s="153" t="str">
        <f t="shared" ref="EL53:EL87" ca="1" si="132">IF(EK53="",IF(OR(AND(EH53=0,EH52&lt;&gt;0),AND(EH53&lt;&gt;0,SIGN(EH53)=-SIGN(EH52))),"B/E ALL",""),EK53)</f>
        <v/>
      </c>
      <c r="EM53" s="153">
        <f ca="1">EM52+IF(EL53="",0,1)</f>
        <v>0</v>
      </c>
      <c r="EN53" s="153">
        <f ca="1">EM53*IF(EL53="",0,1)</f>
        <v>0</v>
      </c>
    </row>
    <row r="54" spans="1:144" x14ac:dyDescent="0.3">
      <c r="A54" s="36">
        <f ca="1">IF($M$22=1,A53+'Auto X'!$E$6,A$48)</f>
        <v>62</v>
      </c>
      <c r="B54" s="35">
        <f>IF($M$22=2,B53+'Auto X'!$E$6,B$48)</f>
        <v>0.28399999999999997</v>
      </c>
      <c r="C54" s="39">
        <f>IF($M$22=3,C53+'Auto X'!$E$6,C$48)</f>
        <v>45295.440972222219</v>
      </c>
      <c r="D54" s="35">
        <f>IF($M$22=4,D53+'Auto X'!$E$6,D$48)</f>
        <v>2.5999999999999999E-2</v>
      </c>
      <c r="E54" s="35">
        <f>IF($M$22=5,E53+'Auto X'!$E$6,E$48)</f>
        <v>0.04</v>
      </c>
      <c r="F54" s="36">
        <f t="shared" si="117"/>
        <v>75</v>
      </c>
      <c r="G54" s="35">
        <f t="shared" si="7"/>
        <v>0.28399999999999997</v>
      </c>
      <c r="H54" s="197">
        <f t="shared" si="125"/>
        <v>169.23611111111677</v>
      </c>
      <c r="I54" s="41">
        <f t="shared" si="8"/>
        <v>0.46366057838662128</v>
      </c>
      <c r="J54" s="40">
        <f t="shared" ref="J54:J56" ca="1" si="133">LN($A54/F54)</f>
        <v>-0.1903537284912189</v>
      </c>
      <c r="K54" s="40">
        <f t="shared" ref="K54:K56" si="134">($E54-$D54+POWER(G54,2)/2)*I54</f>
        <v>2.5189751902588361E-2</v>
      </c>
      <c r="L54" s="40">
        <f t="shared" ref="L54:L56" si="135">MAX(0,0.000000000001,G54*SQRT(I54))</f>
        <v>0.19338305926412305</v>
      </c>
      <c r="M54" s="42">
        <f t="shared" ref="M54:M56" ca="1" si="136">(J54+K54)/L54</f>
        <v>-0.85407675944897099</v>
      </c>
      <c r="N54" s="42">
        <f t="shared" ref="N54:N56" ca="1" si="137">M54-L54</f>
        <v>-1.0474598187130941</v>
      </c>
      <c r="O54" s="42">
        <f t="shared" ref="O54:O56" ca="1" si="138">_xlfn.NORM.DIST(M54,0,1,TRUE)</f>
        <v>0.19653123001883149</v>
      </c>
      <c r="P54" s="42">
        <f t="shared" ref="P54:P56" ca="1" si="139">_xlfn.NORM.DIST(-M54,0,1,TRUE)</f>
        <v>0.80346876998116845</v>
      </c>
      <c r="Q54" s="42">
        <f t="shared" ref="Q54:Q56" ca="1" si="140">_xlfn.NORM.DIST(N54,0,1,TRUE)</f>
        <v>0.14744377749407922</v>
      </c>
      <c r="R54" s="42">
        <f t="shared" ref="R54:R56" ca="1" si="141">_xlfn.NORM.DIST(-N54,0,1,TRUE)</f>
        <v>0.85255622250592078</v>
      </c>
      <c r="S54" s="42">
        <f t="shared" ref="S54:S56" si="142">EXP(-$E54*I54)</f>
        <v>0.98162450344672281</v>
      </c>
      <c r="T54" s="42">
        <f t="shared" ref="T54:T56" si="143">F54*S54</f>
        <v>73.621837758504213</v>
      </c>
      <c r="U54" s="42">
        <f t="shared" ref="U54:U56" si="144">EXP(-$D54*I54)</f>
        <v>0.98801719747153338</v>
      </c>
      <c r="V54" s="42">
        <f t="shared" ref="V54:V56" ca="1" si="145">$A54*U54</f>
        <v>61.257066243235073</v>
      </c>
      <c r="W54" s="42">
        <f t="shared" ref="W54:W56" ca="1" si="146">EXP(-1*POWER(M54,2)/2)/SQRT(2*PI())</f>
        <v>0.27702096528205039</v>
      </c>
      <c r="X54" s="42">
        <f t="shared" ref="X54:X56" ca="1" si="147">IF($F$8=1,0,IF($F$8=2,$A54,IF($F$8=3,V54*O54-T54*Q54,T54*R54-V54*P54)))</f>
        <v>13.548616226227082</v>
      </c>
      <c r="Y54" s="42">
        <f t="shared" ref="Y54:Y56" ca="1" si="148">IF($F$8=2,1,IF(OR($F$8=1,I54&lt;=0),0,IF($F$8=3,O54*U54,(O54-1)*U54)))</f>
        <v>-0.79384096237269419</v>
      </c>
      <c r="Z54" s="42">
        <f t="shared" ref="Z54:Z56" ca="1" si="149">IF(OR($F$8&lt;=2,I54&lt;=0),0,W54*U54/($A54*L54))</f>
        <v>2.2827955978412324E-2</v>
      </c>
      <c r="AA54" s="42">
        <f t="shared" ca="1" si="21"/>
        <v>-6.322767463682934E-3</v>
      </c>
      <c r="AB54" s="42">
        <f t="shared" ref="AB54:AB56" ca="1" si="150">IF(OR($F$8&lt;=2,I54&lt;=0),0,(W54*$A54*U54*SQRT(I54))/100)</f>
        <v>0.1155497254871502</v>
      </c>
      <c r="AC54" s="42">
        <f t="shared" ref="AC54:AC56" ca="1" si="151">IF(OR($F$8&lt;=2,I54&lt;=0),0,IF($F$8=3,Q54,-1*R54)*F54*I54*S54/100)</f>
        <v>-0.29102470340955167</v>
      </c>
      <c r="AD54" s="42">
        <f t="shared" ca="1" si="24"/>
        <v>4974.3081131135414</v>
      </c>
      <c r="AE54" s="36"/>
      <c r="AF54" s="36">
        <f t="shared" si="118"/>
        <v>80</v>
      </c>
      <c r="AG54" s="35">
        <f t="shared" si="25"/>
        <v>0.28399999999999997</v>
      </c>
      <c r="AH54" s="197">
        <f t="shared" si="126"/>
        <v>169.23611111111677</v>
      </c>
      <c r="AI54" s="41">
        <f t="shared" si="26"/>
        <v>0.46366057838662128</v>
      </c>
      <c r="AJ54" s="40">
        <f t="shared" ref="AJ54:AJ56" ca="1" si="152">LN($A54/AF54)</f>
        <v>-0.25489224962879004</v>
      </c>
      <c r="AK54" s="40">
        <f t="shared" ref="AK54:AK56" si="153">($E54-$D54+POWER(AG54,2)/2)*AI54</f>
        <v>2.5189751902588361E-2</v>
      </c>
      <c r="AL54" s="40">
        <f t="shared" ref="AL54:AL56" si="154">MAX(0,0.000000000001,AG54*SQRT(AI54))</f>
        <v>0.19338305926412305</v>
      </c>
      <c r="AM54" s="42">
        <f t="shared" ref="AM54:AM56" ca="1" si="155">(AJ54+AK54)/AL54</f>
        <v>-1.1878108589257212</v>
      </c>
      <c r="AN54" s="42">
        <f t="shared" ref="AN54:AN56" ca="1" si="156">AM54-AL54</f>
        <v>-1.3811939181898443</v>
      </c>
      <c r="AO54" s="42">
        <f t="shared" ref="AO54:AO56" ca="1" si="157">_xlfn.NORM.DIST(AM54,0,1,TRUE)</f>
        <v>0.11745396762843552</v>
      </c>
      <c r="AP54" s="42">
        <f t="shared" ref="AP54:AP56" ca="1" si="158">_xlfn.NORM.DIST(-AM54,0,1,TRUE)</f>
        <v>0.88254603237156448</v>
      </c>
      <c r="AQ54" s="42">
        <f t="shared" ref="AQ54:AQ56" ca="1" si="159">_xlfn.NORM.DIST(AN54,0,1,TRUE)</f>
        <v>8.3609672132101479E-2</v>
      </c>
      <c r="AR54" s="42">
        <f t="shared" ref="AR54:AR56" ca="1" si="160">_xlfn.NORM.DIST(-AN54,0,1,TRUE)</f>
        <v>0.91639032786789854</v>
      </c>
      <c r="AS54" s="42">
        <f t="shared" ref="AS54:AS56" si="161">EXP(-$E54*AI54)</f>
        <v>0.98162450344672281</v>
      </c>
      <c r="AT54" s="42">
        <f t="shared" ref="AT54:AT56" si="162">AF54*AS54</f>
        <v>78.529960275737821</v>
      </c>
      <c r="AU54" s="42">
        <f t="shared" ref="AU54:AU56" si="163">EXP(-$D54*AI54)</f>
        <v>0.98801719747153338</v>
      </c>
      <c r="AV54" s="42">
        <f t="shared" ref="AV54:AV56" ca="1" si="164">$A54*AU54</f>
        <v>61.257066243235073</v>
      </c>
      <c r="AW54" s="42">
        <f t="shared" ref="AW54:AW56" ca="1" si="165">EXP(-1*POWER(AM54,2)/2)/SQRT(2*PI())</f>
        <v>0.19703264535803638</v>
      </c>
      <c r="AX54" s="42">
        <f t="shared" ref="AX54:AX56" ca="1" si="166">IF($F$10=1,0,IF($F$10=2,$A54,IF($F$10=3,AV54*AO54-AT54*AQ54,AT54*AR54-AV54*AP54)))</f>
        <v>17.90191527684722</v>
      </c>
      <c r="AY54" s="42">
        <f t="shared" ref="AY54:AY56" ca="1" si="167">IF($F$10=2,1,IF(OR($F$10=1,AI54&lt;=0),0,IF($F$10=3,AO54*AU54,(AO54-1)*AU54)))</f>
        <v>-0.87197065754337433</v>
      </c>
      <c r="AZ54" s="42">
        <f t="shared" ref="AZ54:AZ56" ca="1" si="168">IF(OR($F$10&lt;=2,AI54&lt;=0),0,AW54*AU54/($A54*AL54))</f>
        <v>1.6236505962513956E-2</v>
      </c>
      <c r="BA54" s="42">
        <f t="shared" ca="1" si="44"/>
        <v>-2.8604096472885899E-3</v>
      </c>
      <c r="BB54" s="42">
        <f t="shared" ref="BB54:BB56" ca="1" si="169">IF(OR($F$10&lt;=2,AI54&lt;=0),0,(AW54*$A54*AU54*SQRT(AI54))/100)</f>
        <v>8.2185361169136453E-2</v>
      </c>
      <c r="BC54" s="42">
        <f t="shared" ref="BC54:BC56" ca="1" si="170">IF(OR($F$10&lt;=2,AI54&lt;=0),0,IF($F$10=3,AQ54,-1*AR54)*AF54*AI54*AS54/100)</f>
        <v>-0.33366914395080127</v>
      </c>
      <c r="BD54" s="42">
        <f t="shared" ca="1" si="47"/>
        <v>-6125.9576384236098</v>
      </c>
      <c r="BE54" s="40"/>
      <c r="BF54" s="36">
        <f t="shared" si="119"/>
        <v>90</v>
      </c>
      <c r="BG54" s="35">
        <f t="shared" si="48"/>
        <v>0.28399999999999997</v>
      </c>
      <c r="BH54" s="197">
        <f t="shared" si="127"/>
        <v>169.23611111111677</v>
      </c>
      <c r="BI54" s="41">
        <f t="shared" si="49"/>
        <v>0.46366057838662128</v>
      </c>
      <c r="BJ54" s="40">
        <f t="shared" ref="BJ54:BJ56" ca="1" si="171">LN($A54/BF54)</f>
        <v>-0.37267528528517352</v>
      </c>
      <c r="BK54" s="40">
        <f t="shared" ref="BK54:BK56" si="172">($E54-$D54+POWER(BG54,2)/2)*BI54</f>
        <v>2.5189751902588361E-2</v>
      </c>
      <c r="BL54" s="40">
        <f t="shared" ref="BL54:BL56" si="173">MAX(0,0.000000000001,BG54*SQRT(BI54))</f>
        <v>0.19338305926412305</v>
      </c>
      <c r="BM54" s="42">
        <f t="shared" ref="BM54:BM56" ca="1" si="174">(BJ54+BK54)/BL54</f>
        <v>-1.7968768035052571</v>
      </c>
      <c r="BN54" s="42">
        <f t="shared" ref="BN54:BN56" ca="1" si="175">BM54-BL54</f>
        <v>-1.9902598627693802</v>
      </c>
      <c r="BO54" s="42">
        <f t="shared" ref="BO54:BO56" ca="1" si="176">_xlfn.NORM.DIST(BM54,0,1,TRUE)</f>
        <v>3.6177589965845178E-2</v>
      </c>
      <c r="BP54" s="42">
        <f t="shared" ref="BP54:BP56" ca="1" si="177">_xlfn.NORM.DIST(-BM54,0,1,TRUE)</f>
        <v>0.96382241003415481</v>
      </c>
      <c r="BQ54" s="42">
        <f t="shared" ref="BQ54:BQ56" ca="1" si="178">_xlfn.NORM.DIST(BN54,0,1,TRUE)</f>
        <v>2.3281158494437546E-2</v>
      </c>
      <c r="BR54" s="42">
        <f t="shared" ref="BR54:BR56" ca="1" si="179">_xlfn.NORM.DIST(-BN54,0,1,TRUE)</f>
        <v>0.97671884150556243</v>
      </c>
      <c r="BS54" s="42">
        <f t="shared" ref="BS54:BS56" si="180">EXP(-$E54*BI54)</f>
        <v>0.98162450344672281</v>
      </c>
      <c r="BT54" s="42">
        <f t="shared" ref="BT54:BT56" si="181">BF54*BS54</f>
        <v>88.34620531020505</v>
      </c>
      <c r="BU54" s="42">
        <f t="shared" ref="BU54:BU56" si="182">EXP(-$D54*BI54)</f>
        <v>0.98801719747153338</v>
      </c>
      <c r="BV54" s="42">
        <f t="shared" ref="BV54:BV56" ca="1" si="183">$A54*BU54</f>
        <v>61.257066243235073</v>
      </c>
      <c r="BW54" s="42">
        <f t="shared" ref="BW54:BW56" ca="1" si="184">EXP(-1*POWER(BM54,2)/2)/SQRT(2*PI())</f>
        <v>7.939485933693749E-2</v>
      </c>
      <c r="BX54" s="42">
        <f t="shared" ref="BX54:BX56" ca="1" si="185">IF($F$12=1,0,IF($F$12=2,$A54,IF($F$12=3,BV54*BO54-BT54*BQ54,BT54*BR54-BV54*BP54)))</f>
        <v>0.15933101684937068</v>
      </c>
      <c r="BY54" s="42">
        <f t="shared" ref="BY54:BY56" ca="1" si="186">IF($F$12=2,1,IF(OR($F$12=1,BI54&lt;=0),0,IF($F$12=3,BO54*BU54,(BO54-1)*BU54)))</f>
        <v>3.5744081049328622E-2</v>
      </c>
      <c r="BZ54" s="42">
        <f t="shared" ref="BZ54:BZ56" ca="1" si="187">IF(OR($F$12&lt;=2,BI54&lt;=0),0,BW54*BU54/($A54*BL54))</f>
        <v>6.5425458033853872E-3</v>
      </c>
      <c r="CA54" s="42">
        <f t="shared" ca="1" si="67"/>
        <v>-2.8462562068924751E-3</v>
      </c>
      <c r="CB54" s="42">
        <f t="shared" ref="CB54:CB56" ca="1" si="188">IF(OR($F$12&lt;=2,BI54&lt;=0),0,(BW54*$A54*BU54*SQRT(BI54))/100)</f>
        <v>3.3116822736262638E-2</v>
      </c>
      <c r="CC54" s="42">
        <f t="shared" ref="CC54:CC56" ca="1" si="189">IF(OR($F$12&lt;=2,BI54&lt;=0),0,IF($F$12=3,BQ54,-1*BR54)*BF54*BI54*BS54/100)</f>
        <v>9.5365800875295108E-3</v>
      </c>
      <c r="CD54" s="42">
        <f t="shared" ca="1" si="70"/>
        <v>3320.3344915753146</v>
      </c>
      <c r="CE54" s="40"/>
      <c r="CF54" s="36">
        <f t="shared" si="120"/>
        <v>95</v>
      </c>
      <c r="CG54" s="35">
        <f t="shared" si="71"/>
        <v>0.28399999999999997</v>
      </c>
      <c r="CH54" s="197">
        <f t="shared" si="128"/>
        <v>169.23611111111677</v>
      </c>
      <c r="CI54" s="41">
        <f t="shared" si="72"/>
        <v>0.46366057838662128</v>
      </c>
      <c r="CJ54" s="40">
        <f t="shared" ref="CJ54:CJ56" ca="1" si="190">LN($A54/CF54)</f>
        <v>-0.42674250655544921</v>
      </c>
      <c r="CK54" s="40">
        <f t="shared" ref="CK54:CK56" si="191">($E54-$D54+POWER(CG54,2)/2)*CI54</f>
        <v>2.5189751902588361E-2</v>
      </c>
      <c r="CL54" s="40">
        <f t="shared" ref="CL54:CL56" si="192">MAX(0,0.000000000001,CG54*SQRT(CI54))</f>
        <v>0.19338305926412305</v>
      </c>
      <c r="CM54" s="42">
        <f t="shared" ref="CM54:CM56" ca="1" si="193">(CJ54+CK54)/CL54</f>
        <v>-2.0764629341416048</v>
      </c>
      <c r="CN54" s="42">
        <f t="shared" ref="CN54:CN56" ca="1" si="194">CM54-CL54</f>
        <v>-2.269845993405728</v>
      </c>
      <c r="CO54" s="42">
        <f t="shared" ref="CO54:CO56" ca="1" si="195">_xlfn.NORM.DIST(CM54,0,1,TRUE)</f>
        <v>1.8925577918751661E-2</v>
      </c>
      <c r="CP54" s="42">
        <f t="shared" ref="CP54:CP56" ca="1" si="196">_xlfn.NORM.DIST(-CM54,0,1,TRUE)</f>
        <v>0.98107442208124829</v>
      </c>
      <c r="CQ54" s="42">
        <f t="shared" ref="CQ54:CQ56" ca="1" si="197">_xlfn.NORM.DIST(CN54,0,1,TRUE)</f>
        <v>1.1608464430421789E-2</v>
      </c>
      <c r="CR54" s="42">
        <f t="shared" ref="CR54:CR56" ca="1" si="198">_xlfn.NORM.DIST(-CN54,0,1,TRUE)</f>
        <v>0.98839153556957826</v>
      </c>
      <c r="CS54" s="42">
        <f t="shared" ref="CS54:CS56" si="199">EXP(-$E54*CI54)</f>
        <v>0.98162450344672281</v>
      </c>
      <c r="CT54" s="42">
        <f t="shared" ref="CT54:CT56" si="200">CF54*CS54</f>
        <v>93.254327827438672</v>
      </c>
      <c r="CU54" s="42">
        <f t="shared" ref="CU54:CU56" si="201">EXP(-$D54*CI54)</f>
        <v>0.98801719747153338</v>
      </c>
      <c r="CV54" s="42">
        <f t="shared" ref="CV54:CV56" ca="1" si="202">$A54*CU54</f>
        <v>61.257066243235073</v>
      </c>
      <c r="CW54" s="42">
        <f t="shared" ref="CW54:CW56" ca="1" si="203">EXP(-1*POWER(CM54,2)/2)/SQRT(2*PI())</f>
        <v>4.6199435867154151E-2</v>
      </c>
      <c r="CX54" s="42">
        <f t="shared" ref="CX54:CX56" ca="1" si="204">IF($F$14=1,0,IF($F$14=2,$A54,IF($F$14=3,CV54*CO54-CT54*CQ54,CT54*CR54-CV54*CP54)))</f>
        <v>7.6785832692762845E-2</v>
      </c>
      <c r="CY54" s="42">
        <f t="shared" ref="CY54:CY56" ca="1" si="205">IF($F$14=2,1,IF(OR($F$14=1,CI54&lt;=0),0,IF($F$14=3,CO54*CU54,(CO54-1)*CU54)))</f>
        <v>1.869879645581415E-2</v>
      </c>
      <c r="CZ54" s="42">
        <f t="shared" ref="CZ54:CZ56" ca="1" si="206">IF(OR($F$14&lt;=2,CI54&lt;=0),0,CW54*CU54/($A54*CL54))</f>
        <v>3.8070717396031461E-3</v>
      </c>
      <c r="DA54" s="42">
        <f t="shared" ca="1" si="90"/>
        <v>-1.6529713714326115E-3</v>
      </c>
      <c r="DB54" s="42">
        <f t="shared" ref="DB54:DB56" ca="1" si="207">IF(OR($F$14&lt;=2,CI54&lt;=0),0,(CW54*$A54*CU54*SQRT(CI54))/100)</f>
        <v>1.9270498630584186E-2</v>
      </c>
      <c r="DC54" s="42">
        <f t="shared" ref="DC54:DC56" ca="1" si="208">IF(OR($F$14&lt;=2,CI54&lt;=0),0,IF($F$14=3,CQ54,-1*CR54)*CF54*CI54*CS54/100)</f>
        <v>5.019309127516379E-3</v>
      </c>
      <c r="DD54" s="42">
        <f t="shared" ca="1" si="93"/>
        <v>-2536.6070836536187</v>
      </c>
      <c r="DE54" s="40"/>
      <c r="DF54" s="36">
        <f t="shared" si="121"/>
        <v>200</v>
      </c>
      <c r="DG54" s="35">
        <f t="shared" si="94"/>
        <v>0.28399999999999997</v>
      </c>
      <c r="DH54" s="197">
        <f t="shared" si="129"/>
        <v>169.23611111111677</v>
      </c>
      <c r="DI54" s="41">
        <f t="shared" si="95"/>
        <v>0.46366057838662128</v>
      </c>
      <c r="DJ54" s="40">
        <f t="shared" ref="DJ54:DJ56" ca="1" si="209">LN($A54/DF54)</f>
        <v>-1.1711829815029451</v>
      </c>
      <c r="DK54" s="40">
        <f t="shared" ref="DK54:DK56" si="210">($E54-$D54+POWER(DG54,2)/2)*DI54</f>
        <v>2.5189751902588361E-2</v>
      </c>
      <c r="DL54" s="40">
        <f t="shared" ref="DL54:DL56" si="211">MAX(0,0.000000000001,DG54*SQRT(DI54))</f>
        <v>0.19338305926412305</v>
      </c>
      <c r="DM54" s="42">
        <f t="shared" ref="DM54:DM56" ca="1" si="212">(DJ54+DK54)/DL54</f>
        <v>-5.9260269951317524</v>
      </c>
      <c r="DN54" s="42">
        <f t="shared" ref="DN54:DN56" ca="1" si="213">DM54-DL54</f>
        <v>-6.1194100543958756</v>
      </c>
      <c r="DO54" s="42">
        <f t="shared" ref="DO54:DO56" ca="1" si="214">_xlfn.NORM.DIST(DM54,0,1,TRUE)</f>
        <v>1.5517579521456383E-9</v>
      </c>
      <c r="DP54" s="42">
        <f t="shared" ref="DP54:DP56" ca="1" si="215">_xlfn.NORM.DIST(-DM54,0,1,TRUE)</f>
        <v>0.99999999844824206</v>
      </c>
      <c r="DQ54" s="42">
        <f t="shared" ref="DQ54:DQ56" ca="1" si="216">_xlfn.NORM.DIST(DN54,0,1,TRUE)</f>
        <v>4.6961213560903147E-10</v>
      </c>
      <c r="DR54" s="42">
        <f t="shared" ref="DR54:DR56" ca="1" si="217">_xlfn.NORM.DIST(-DN54,0,1,TRUE)</f>
        <v>0.99999999953038787</v>
      </c>
      <c r="DS54" s="42">
        <f t="shared" ref="DS54:DS56" si="218">EXP(-$E54*DI54)</f>
        <v>0.98162450344672281</v>
      </c>
      <c r="DT54" s="42">
        <f t="shared" ref="DT54:DT56" si="219">DF54*DS54</f>
        <v>196.32490068934456</v>
      </c>
      <c r="DU54" s="42">
        <f t="shared" ref="DU54:DU56" si="220">EXP(-$D54*DI54)</f>
        <v>0.98801719747153338</v>
      </c>
      <c r="DV54" s="42">
        <f t="shared" ref="DV54:DV56" ca="1" si="221">$A54*DU54</f>
        <v>61.257066243235073</v>
      </c>
      <c r="DW54" s="42">
        <f t="shared" ref="DW54:DW56" ca="1" si="222">EXP(-1*POWER(DM54,2)/2)/SQRT(2*PI())</f>
        <v>9.4444694823846537E-9</v>
      </c>
      <c r="DX54" s="42">
        <f t="shared" ref="DX54:DX56" si="223">IF($F$16=1,0,IF($F$16=2,$A54,IF($F$16=3,DV54*DO54-DT54*DQ54,DT54*DR54-DV54*DP54)))</f>
        <v>0</v>
      </c>
      <c r="DY54" s="92">
        <f t="shared" ref="DY54:DY56" si="224">IF($F$16=2,1,IF(OR($F$16=1,DI54&lt;=0),0,IF($F$16=3,DO54*DU54,(DO54-1)*DU54)))</f>
        <v>0</v>
      </c>
      <c r="DZ54" s="42">
        <f t="shared" ref="DZ54:DZ56" si="225">IF(OR($F$16&lt;=2,DI54&lt;=0),0,DW54*DU54/($A54*DL54))</f>
        <v>0</v>
      </c>
      <c r="EA54" s="42">
        <f t="shared" si="113"/>
        <v>0</v>
      </c>
      <c r="EB54" s="42">
        <f t="shared" ref="EB54:EB56" si="226">IF(OR($F$16&lt;=2,DI54&lt;=0),0,(DW54*$A54*DU54*SQRT(DI54))/100)</f>
        <v>0</v>
      </c>
      <c r="EC54" s="42">
        <f t="shared" ref="EC54:EC56" si="227">IF(OR($F$16&lt;=2,DI54&lt;=0),0,IF($F$16=3,DQ54,-1*DR54)*DF54*DI54*DS54/100)</f>
        <v>0</v>
      </c>
      <c r="ED54" s="42">
        <f t="shared" ca="1" si="116"/>
        <v>0</v>
      </c>
      <c r="EE54" s="40"/>
      <c r="EF54" s="120">
        <f t="shared" ca="1" si="130"/>
        <v>62</v>
      </c>
      <c r="EG54" s="42">
        <f t="shared" ref="EG54:EG56" ca="1" si="228">AD54+BD54+CD54+DD54+ED54</f>
        <v>-367.9221173883725</v>
      </c>
      <c r="EH54" s="36">
        <f t="shared" ca="1" si="123"/>
        <v>-367.9221173883725</v>
      </c>
      <c r="EI54" s="36">
        <f t="shared" ca="1" si="124"/>
        <v>15.026</v>
      </c>
      <c r="EJ54" s="153">
        <f t="shared" ca="1" si="131"/>
        <v>1</v>
      </c>
      <c r="EK54" s="153" t="str">
        <f t="shared" ref="EK54:EK117" ca="1" si="229">IF(EJ54=EJ53,"",IF(EJ54=-1,IF(EJ53=0,"MAX END","MAX MID"),IF(EJ54=0,IF(EJ53=-1,"MIN BEG","MAX BEG"),IF(EJ53=-1,"MIN MID","MIN END"))))</f>
        <v/>
      </c>
      <c r="EL54" s="153" t="str">
        <f t="shared" ca="1" si="132"/>
        <v/>
      </c>
      <c r="EM54" s="153">
        <f t="shared" ref="EM54:EM117" ca="1" si="230">EM53+IF(EL54="",0,1)</f>
        <v>0</v>
      </c>
      <c r="EN54" s="153">
        <f ca="1">EM54*IF(EL54="",0,1)</f>
        <v>0</v>
      </c>
    </row>
    <row r="55" spans="1:144" x14ac:dyDescent="0.3">
      <c r="A55" s="36">
        <f ca="1">IF($M$22=1,A54+'Auto X'!$E$6,A$48)</f>
        <v>62.5</v>
      </c>
      <c r="B55" s="35">
        <f>IF($M$22=2,B54+'Auto X'!$E$6,B$48)</f>
        <v>0.28399999999999997</v>
      </c>
      <c r="C55" s="39">
        <f>IF($M$22=3,C54+'Auto X'!$E$6,C$48)</f>
        <v>45295.440972222219</v>
      </c>
      <c r="D55" s="35">
        <f>IF($M$22=4,D54+'Auto X'!$E$6,D$48)</f>
        <v>2.5999999999999999E-2</v>
      </c>
      <c r="E55" s="35">
        <f>IF($M$22=5,E54+'Auto X'!$E$6,E$48)</f>
        <v>0.04</v>
      </c>
      <c r="F55" s="36">
        <f t="shared" si="117"/>
        <v>75</v>
      </c>
      <c r="G55" s="35">
        <f t="shared" si="7"/>
        <v>0.28399999999999997</v>
      </c>
      <c r="H55" s="197">
        <f t="shared" si="125"/>
        <v>169.23611111111677</v>
      </c>
      <c r="I55" s="41">
        <f t="shared" si="8"/>
        <v>0.46366057838662128</v>
      </c>
      <c r="J55" s="40">
        <f t="shared" ca="1" si="133"/>
        <v>-0.18232155679395459</v>
      </c>
      <c r="K55" s="40">
        <f t="shared" si="134"/>
        <v>2.5189751902588361E-2</v>
      </c>
      <c r="L55" s="40">
        <f t="shared" si="135"/>
        <v>0.19338305926412305</v>
      </c>
      <c r="M55" s="42">
        <f t="shared" ca="1" si="136"/>
        <v>-0.81254172671224134</v>
      </c>
      <c r="N55" s="42">
        <f t="shared" ca="1" si="137"/>
        <v>-1.0059247859763645</v>
      </c>
      <c r="O55" s="42">
        <f t="shared" ca="1" si="138"/>
        <v>0.20824042682621063</v>
      </c>
      <c r="P55" s="42">
        <f t="shared" ca="1" si="139"/>
        <v>0.79175957317378942</v>
      </c>
      <c r="Q55" s="42">
        <f t="shared" ca="1" si="140"/>
        <v>0.15722587611124073</v>
      </c>
      <c r="R55" s="42">
        <f t="shared" ca="1" si="141"/>
        <v>0.84277412388875927</v>
      </c>
      <c r="S55" s="42">
        <f t="shared" si="142"/>
        <v>0.98162450344672281</v>
      </c>
      <c r="T55" s="42">
        <f t="shared" si="143"/>
        <v>73.621837758504213</v>
      </c>
      <c r="U55" s="42">
        <f t="shared" si="144"/>
        <v>0.98801719747153338</v>
      </c>
      <c r="V55" s="42">
        <f t="shared" ca="1" si="145"/>
        <v>61.751074841970834</v>
      </c>
      <c r="W55" s="42">
        <f t="shared" ca="1" si="146"/>
        <v>0.28677694456646291</v>
      </c>
      <c r="X55" s="42">
        <f t="shared" ca="1" si="147"/>
        <v>13.154575156102212</v>
      </c>
      <c r="Y55" s="42">
        <f t="shared" ca="1" si="148"/>
        <v>-0.78227207455842485</v>
      </c>
      <c r="Z55" s="42">
        <f t="shared" ca="1" si="149"/>
        <v>2.3442843785650837E-2</v>
      </c>
      <c r="AA55" s="42">
        <f t="shared" ca="1" si="21"/>
        <v>-6.8008477085632841E-3</v>
      </c>
      <c r="AB55" s="42">
        <f t="shared" ca="1" si="150"/>
        <v>0.12058376533069183</v>
      </c>
      <c r="AC55" s="42">
        <f t="shared" ca="1" si="151"/>
        <v>-0.28768553084399967</v>
      </c>
      <c r="AD55" s="42">
        <f t="shared" ca="1" si="24"/>
        <v>4777.2875780511058</v>
      </c>
      <c r="AE55" s="36"/>
      <c r="AF55" s="36">
        <f t="shared" si="118"/>
        <v>80</v>
      </c>
      <c r="AG55" s="35">
        <f t="shared" si="25"/>
        <v>0.28399999999999997</v>
      </c>
      <c r="AH55" s="197">
        <f t="shared" si="126"/>
        <v>169.23611111111677</v>
      </c>
      <c r="AI55" s="41">
        <f t="shared" si="26"/>
        <v>0.46366057838662128</v>
      </c>
      <c r="AJ55" s="40">
        <f t="shared" ca="1" si="152"/>
        <v>-0.24686007793152578</v>
      </c>
      <c r="AK55" s="40">
        <f t="shared" si="153"/>
        <v>2.5189751902588361E-2</v>
      </c>
      <c r="AL55" s="40">
        <f t="shared" si="154"/>
        <v>0.19338305926412305</v>
      </c>
      <c r="AM55" s="42">
        <f t="shared" ca="1" si="155"/>
        <v>-1.1462758261889918</v>
      </c>
      <c r="AN55" s="42">
        <f t="shared" ca="1" si="156"/>
        <v>-1.3396588854531148</v>
      </c>
      <c r="AO55" s="42">
        <f t="shared" ca="1" si="157"/>
        <v>0.12584052099494522</v>
      </c>
      <c r="AP55" s="42">
        <f t="shared" ca="1" si="158"/>
        <v>0.87415947900505475</v>
      </c>
      <c r="AQ55" s="42">
        <f t="shared" ca="1" si="159"/>
        <v>9.0178135032207882E-2</v>
      </c>
      <c r="AR55" s="42">
        <f t="shared" ca="1" si="160"/>
        <v>0.90982186496779216</v>
      </c>
      <c r="AS55" s="42">
        <f t="shared" si="161"/>
        <v>0.98162450344672281</v>
      </c>
      <c r="AT55" s="42">
        <f t="shared" si="162"/>
        <v>78.529960275737821</v>
      </c>
      <c r="AU55" s="42">
        <f t="shared" si="163"/>
        <v>0.98801719747153338</v>
      </c>
      <c r="AV55" s="42">
        <f t="shared" ca="1" si="164"/>
        <v>61.751074841970834</v>
      </c>
      <c r="AW55" s="42">
        <f t="shared" ca="1" si="165"/>
        <v>0.20681870968879232</v>
      </c>
      <c r="AX55" s="42">
        <f t="shared" ca="1" si="166"/>
        <v>17.46798750205906</v>
      </c>
      <c r="AY55" s="42">
        <f t="shared" ca="1" si="167"/>
        <v>-0.86368459858974989</v>
      </c>
      <c r="AZ55" s="42">
        <f t="shared" ca="1" si="168"/>
        <v>1.6906584699526182E-2</v>
      </c>
      <c r="BA55" s="42">
        <f t="shared" ca="1" si="44"/>
        <v>-3.311977800270796E-3</v>
      </c>
      <c r="BB55" s="42">
        <f t="shared" ca="1" si="169"/>
        <v>8.6962983697352281E-2</v>
      </c>
      <c r="BC55" s="42">
        <f t="shared" ca="1" si="170"/>
        <v>-0.33127748471313739</v>
      </c>
      <c r="BD55" s="42">
        <f t="shared" ca="1" si="47"/>
        <v>-5908.9937510295294</v>
      </c>
      <c r="BE55" s="40"/>
      <c r="BF55" s="36">
        <f t="shared" si="119"/>
        <v>90</v>
      </c>
      <c r="BG55" s="35">
        <f t="shared" si="48"/>
        <v>0.28399999999999997</v>
      </c>
      <c r="BH55" s="197">
        <f t="shared" si="127"/>
        <v>169.23611111111677</v>
      </c>
      <c r="BI55" s="41">
        <f t="shared" si="49"/>
        <v>0.46366057838662128</v>
      </c>
      <c r="BJ55" s="40">
        <f t="shared" ca="1" si="171"/>
        <v>-0.3646431135879093</v>
      </c>
      <c r="BK55" s="40">
        <f t="shared" si="172"/>
        <v>2.5189751902588361E-2</v>
      </c>
      <c r="BL55" s="40">
        <f t="shared" si="173"/>
        <v>0.19338305926412305</v>
      </c>
      <c r="BM55" s="42">
        <f t="shared" ca="1" si="174"/>
        <v>-1.7553417707685279</v>
      </c>
      <c r="BN55" s="42">
        <f t="shared" ca="1" si="175"/>
        <v>-1.948724830032651</v>
      </c>
      <c r="BO55" s="42">
        <f t="shared" ca="1" si="176"/>
        <v>3.9600432830134778E-2</v>
      </c>
      <c r="BP55" s="42">
        <f t="shared" ca="1" si="177"/>
        <v>0.96039956716986519</v>
      </c>
      <c r="BQ55" s="42">
        <f t="shared" ca="1" si="178"/>
        <v>2.5664147440621416E-2</v>
      </c>
      <c r="BR55" s="42">
        <f t="shared" ca="1" si="179"/>
        <v>0.9743358525593786</v>
      </c>
      <c r="BS55" s="42">
        <f t="shared" si="180"/>
        <v>0.98162450344672281</v>
      </c>
      <c r="BT55" s="42">
        <f t="shared" si="181"/>
        <v>88.34620531020505</v>
      </c>
      <c r="BU55" s="42">
        <f t="shared" si="182"/>
        <v>0.98801719747153338</v>
      </c>
      <c r="BV55" s="42">
        <f t="shared" ca="1" si="183"/>
        <v>61.751074841970834</v>
      </c>
      <c r="BW55" s="42">
        <f t="shared" ca="1" si="184"/>
        <v>8.5473328480039981E-2</v>
      </c>
      <c r="BX55" s="42">
        <f t="shared" ca="1" si="185"/>
        <v>0.17803925256757802</v>
      </c>
      <c r="BY55" s="42">
        <f t="shared" ca="1" si="186"/>
        <v>3.9125908663489466E-2</v>
      </c>
      <c r="BZ55" s="42">
        <f t="shared" ca="1" si="187"/>
        <v>6.9870954599448821E-3</v>
      </c>
      <c r="CA55" s="42">
        <f t="shared" ca="1" si="67"/>
        <v>-3.0898615935679246E-3</v>
      </c>
      <c r="CB55" s="42">
        <f t="shared" ca="1" si="188"/>
        <v>3.5939764261912692E-2</v>
      </c>
      <c r="CC55" s="42">
        <f t="shared" ca="1" si="189"/>
        <v>1.0512715572299727E-2</v>
      </c>
      <c r="CD55" s="42">
        <f t="shared" ca="1" si="70"/>
        <v>3310.9803737162106</v>
      </c>
      <c r="CE55" s="40"/>
      <c r="CF55" s="36">
        <f t="shared" si="120"/>
        <v>95</v>
      </c>
      <c r="CG55" s="35">
        <f t="shared" si="71"/>
        <v>0.28399999999999997</v>
      </c>
      <c r="CH55" s="197">
        <f t="shared" si="128"/>
        <v>169.23611111111677</v>
      </c>
      <c r="CI55" s="41">
        <f t="shared" si="72"/>
        <v>0.46366057838662128</v>
      </c>
      <c r="CJ55" s="40">
        <f t="shared" ca="1" si="190"/>
        <v>-0.41871033485818493</v>
      </c>
      <c r="CK55" s="40">
        <f t="shared" si="191"/>
        <v>2.5189751902588361E-2</v>
      </c>
      <c r="CL55" s="40">
        <f t="shared" si="192"/>
        <v>0.19338305926412305</v>
      </c>
      <c r="CM55" s="42">
        <f t="shared" ca="1" si="193"/>
        <v>-2.0349279014048753</v>
      </c>
      <c r="CN55" s="42">
        <f t="shared" ca="1" si="194"/>
        <v>-2.2283109606689986</v>
      </c>
      <c r="CO55" s="42">
        <f t="shared" ca="1" si="195"/>
        <v>2.0929064038027672E-2</v>
      </c>
      <c r="CP55" s="42">
        <f t="shared" ca="1" si="196"/>
        <v>0.97907093596197237</v>
      </c>
      <c r="CQ55" s="42">
        <f t="shared" ca="1" si="197"/>
        <v>1.2929892969671177E-2</v>
      </c>
      <c r="CR55" s="42">
        <f t="shared" ca="1" si="198"/>
        <v>0.98707010703032882</v>
      </c>
      <c r="CS55" s="42">
        <f t="shared" si="199"/>
        <v>0.98162450344672281</v>
      </c>
      <c r="CT55" s="42">
        <f t="shared" si="200"/>
        <v>93.254327827438672</v>
      </c>
      <c r="CU55" s="42">
        <f t="shared" si="201"/>
        <v>0.98801719747153338</v>
      </c>
      <c r="CV55" s="42">
        <f t="shared" ca="1" si="202"/>
        <v>61.751074841970834</v>
      </c>
      <c r="CW55" s="42">
        <f t="shared" ca="1" si="203"/>
        <v>5.0317401110934475E-2</v>
      </c>
      <c r="CX55" s="42">
        <f t="shared" ca="1" si="204"/>
        <v>8.662372201723656E-2</v>
      </c>
      <c r="CY55" s="42">
        <f t="shared" ca="1" si="205"/>
        <v>2.0678275196554356E-2</v>
      </c>
      <c r="CZ55" s="42">
        <f t="shared" ca="1" si="206"/>
        <v>4.1132420032119876E-3</v>
      </c>
      <c r="DA55" s="42">
        <f t="shared" ca="1" si="90"/>
        <v>-1.8153224554377644E-3</v>
      </c>
      <c r="DB55" s="42">
        <f t="shared" ca="1" si="207"/>
        <v>2.1157424969373825E-2</v>
      </c>
      <c r="DC55" s="42">
        <f t="shared" ca="1" si="208"/>
        <v>5.5906730980199333E-3</v>
      </c>
      <c r="DD55" s="42">
        <f t="shared" ca="1" si="93"/>
        <v>-2531.6881389913819</v>
      </c>
      <c r="DE55" s="40"/>
      <c r="DF55" s="36">
        <f t="shared" si="121"/>
        <v>200</v>
      </c>
      <c r="DG55" s="35">
        <f t="shared" si="94"/>
        <v>0.28399999999999997</v>
      </c>
      <c r="DH55" s="197">
        <f t="shared" si="129"/>
        <v>169.23611111111677</v>
      </c>
      <c r="DI55" s="41">
        <f t="shared" si="95"/>
        <v>0.46366057838662128</v>
      </c>
      <c r="DJ55" s="40">
        <f t="shared" ca="1" si="209"/>
        <v>-1.1631508098056809</v>
      </c>
      <c r="DK55" s="40">
        <f t="shared" si="210"/>
        <v>2.5189751902588361E-2</v>
      </c>
      <c r="DL55" s="40">
        <f t="shared" si="211"/>
        <v>0.19338305926412305</v>
      </c>
      <c r="DM55" s="42">
        <f t="shared" ca="1" si="212"/>
        <v>-5.8844919623950229</v>
      </c>
      <c r="DN55" s="42">
        <f t="shared" ca="1" si="213"/>
        <v>-6.0778750216591462</v>
      </c>
      <c r="DO55" s="42">
        <f t="shared" ca="1" si="214"/>
        <v>1.9963927049189234E-9</v>
      </c>
      <c r="DP55" s="42">
        <f t="shared" ca="1" si="215"/>
        <v>0.99999999800360728</v>
      </c>
      <c r="DQ55" s="42">
        <f t="shared" ca="1" si="216"/>
        <v>6.0892806085299622E-10</v>
      </c>
      <c r="DR55" s="42">
        <f t="shared" ca="1" si="217"/>
        <v>0.99999999939107198</v>
      </c>
      <c r="DS55" s="42">
        <f t="shared" si="218"/>
        <v>0.98162450344672281</v>
      </c>
      <c r="DT55" s="42">
        <f t="shared" si="219"/>
        <v>196.32490068934456</v>
      </c>
      <c r="DU55" s="42">
        <f t="shared" si="220"/>
        <v>0.98801719747153338</v>
      </c>
      <c r="DV55" s="42">
        <f t="shared" ca="1" si="221"/>
        <v>61.751074841970834</v>
      </c>
      <c r="DW55" s="42">
        <f t="shared" ca="1" si="222"/>
        <v>1.2069775993578555E-8</v>
      </c>
      <c r="DX55" s="42">
        <f t="shared" si="223"/>
        <v>0</v>
      </c>
      <c r="DY55" s="92">
        <f t="shared" si="224"/>
        <v>0</v>
      </c>
      <c r="DZ55" s="42">
        <f t="shared" si="225"/>
        <v>0</v>
      </c>
      <c r="EA55" s="42">
        <f t="shared" si="113"/>
        <v>0</v>
      </c>
      <c r="EB55" s="42">
        <f t="shared" si="226"/>
        <v>0</v>
      </c>
      <c r="EC55" s="42">
        <f t="shared" si="227"/>
        <v>0</v>
      </c>
      <c r="ED55" s="42">
        <f t="shared" ca="1" si="116"/>
        <v>0</v>
      </c>
      <c r="EE55" s="40"/>
      <c r="EF55" s="120">
        <f t="shared" ca="1" si="130"/>
        <v>62.5</v>
      </c>
      <c r="EG55" s="42">
        <f t="shared" ca="1" si="228"/>
        <v>-352.41393825359501</v>
      </c>
      <c r="EH55" s="36">
        <f t="shared" ca="1" si="123"/>
        <v>-352.41393825359501</v>
      </c>
      <c r="EI55" s="36">
        <f t="shared" ca="1" si="124"/>
        <v>15.507999999999999</v>
      </c>
      <c r="EJ55" s="153">
        <f t="shared" ca="1" si="131"/>
        <v>1</v>
      </c>
      <c r="EK55" s="153" t="str">
        <f t="shared" ca="1" si="229"/>
        <v/>
      </c>
      <c r="EL55" s="153" t="str">
        <f t="shared" ca="1" si="132"/>
        <v/>
      </c>
      <c r="EM55" s="153">
        <f t="shared" ca="1" si="230"/>
        <v>0</v>
      </c>
      <c r="EN55" s="153">
        <f t="shared" ref="EN55:EN117" ca="1" si="231">EM55*IF(EL55="",0,1)</f>
        <v>0</v>
      </c>
    </row>
    <row r="56" spans="1:144" x14ac:dyDescent="0.3">
      <c r="A56" s="36">
        <f ca="1">IF($M$22=1,A55+'Auto X'!$E$6,A$48)</f>
        <v>63</v>
      </c>
      <c r="B56" s="35">
        <f>IF($M$22=2,B55+'Auto X'!$E$6,B$48)</f>
        <v>0.28399999999999997</v>
      </c>
      <c r="C56" s="39">
        <f>IF($M$22=3,C55+'Auto X'!$E$6,C$48)</f>
        <v>45295.440972222219</v>
      </c>
      <c r="D56" s="35">
        <f>IF($M$22=4,D55+'Auto X'!$E$6,D$48)</f>
        <v>2.5999999999999999E-2</v>
      </c>
      <c r="E56" s="35">
        <f>IF($M$22=5,E55+'Auto X'!$E$6,E$48)</f>
        <v>0.04</v>
      </c>
      <c r="F56" s="36">
        <f t="shared" si="117"/>
        <v>75</v>
      </c>
      <c r="G56" s="35">
        <f t="shared" si="7"/>
        <v>0.28399999999999997</v>
      </c>
      <c r="H56" s="197">
        <f t="shared" si="125"/>
        <v>169.23611111111677</v>
      </c>
      <c r="I56" s="41">
        <f t="shared" si="8"/>
        <v>0.46366057838662128</v>
      </c>
      <c r="J56" s="40">
        <f t="shared" ca="1" si="133"/>
        <v>-0.1743533871447778</v>
      </c>
      <c r="K56" s="40">
        <f t="shared" si="134"/>
        <v>2.5189751902588361E-2</v>
      </c>
      <c r="L56" s="40">
        <f t="shared" si="135"/>
        <v>0.19338305926412305</v>
      </c>
      <c r="M56" s="42">
        <f t="shared" ca="1" si="136"/>
        <v>-0.77133765392790377</v>
      </c>
      <c r="N56" s="42">
        <f t="shared" ca="1" si="137"/>
        <v>-0.96472071319202679</v>
      </c>
      <c r="O56" s="42">
        <f t="shared" ca="1" si="138"/>
        <v>0.22025340957213166</v>
      </c>
      <c r="P56" s="42">
        <f t="shared" ca="1" si="139"/>
        <v>0.77974659042786831</v>
      </c>
      <c r="Q56" s="42">
        <f t="shared" ca="1" si="140"/>
        <v>0.16734235884691268</v>
      </c>
      <c r="R56" s="42">
        <f t="shared" ca="1" si="141"/>
        <v>0.83265764115308727</v>
      </c>
      <c r="S56" s="42">
        <f t="shared" si="142"/>
        <v>0.98162450344672281</v>
      </c>
      <c r="T56" s="42">
        <f t="shared" si="143"/>
        <v>73.621837758504213</v>
      </c>
      <c r="U56" s="42">
        <f t="shared" si="144"/>
        <v>0.98801719747153338</v>
      </c>
      <c r="V56" s="42">
        <f t="shared" ca="1" si="145"/>
        <v>62.245083440706601</v>
      </c>
      <c r="W56" s="42">
        <f t="shared" ca="1" si="146"/>
        <v>0.29628915651160032</v>
      </c>
      <c r="X56" s="42">
        <f t="shared" ca="1" si="147"/>
        <v>12.766394181562276</v>
      </c>
      <c r="Y56" s="42">
        <f t="shared" ca="1" si="148"/>
        <v>-0.77040304101252599</v>
      </c>
      <c r="Z56" s="42">
        <f t="shared" ca="1" si="149"/>
        <v>2.4028202635393858E-2</v>
      </c>
      <c r="AA56" s="42">
        <f t="shared" ca="1" si="21"/>
        <v>-7.2762928330214497E-3</v>
      </c>
      <c r="AB56" s="42">
        <f t="shared" ca="1" si="150"/>
        <v>0.12558012105965374</v>
      </c>
      <c r="AC56" s="42">
        <f t="shared" ca="1" si="151"/>
        <v>-0.28423221444095581</v>
      </c>
      <c r="AD56" s="42">
        <f t="shared" ca="1" si="24"/>
        <v>4583.1970907811383</v>
      </c>
      <c r="AE56" s="36"/>
      <c r="AF56" s="36">
        <f t="shared" si="118"/>
        <v>80</v>
      </c>
      <c r="AG56" s="35">
        <f t="shared" si="25"/>
        <v>0.28399999999999997</v>
      </c>
      <c r="AH56" s="197">
        <f t="shared" si="126"/>
        <v>169.23611111111677</v>
      </c>
      <c r="AI56" s="41">
        <f t="shared" si="26"/>
        <v>0.46366057838662128</v>
      </c>
      <c r="AJ56" s="40">
        <f t="shared" ca="1" si="152"/>
        <v>-0.23889190828234896</v>
      </c>
      <c r="AK56" s="40">
        <f t="shared" si="153"/>
        <v>2.5189751902588361E-2</v>
      </c>
      <c r="AL56" s="40">
        <f t="shared" si="154"/>
        <v>0.19338305926412305</v>
      </c>
      <c r="AM56" s="42">
        <f t="shared" ca="1" si="155"/>
        <v>-1.1050717534046541</v>
      </c>
      <c r="AN56" s="42">
        <f t="shared" ca="1" si="156"/>
        <v>-1.2984548126687772</v>
      </c>
      <c r="AO56" s="42">
        <f t="shared" ca="1" si="157"/>
        <v>0.13456424947759149</v>
      </c>
      <c r="AP56" s="42">
        <f t="shared" ca="1" si="158"/>
        <v>0.86543575052240851</v>
      </c>
      <c r="AQ56" s="42">
        <f t="shared" ca="1" si="159"/>
        <v>9.7065547189854981E-2</v>
      </c>
      <c r="AR56" s="42">
        <f t="shared" ca="1" si="160"/>
        <v>0.90293445281014506</v>
      </c>
      <c r="AS56" s="42">
        <f t="shared" si="161"/>
        <v>0.98162450344672281</v>
      </c>
      <c r="AT56" s="42">
        <f t="shared" si="162"/>
        <v>78.529960275737821</v>
      </c>
      <c r="AU56" s="42">
        <f t="shared" si="163"/>
        <v>0.98801719747153338</v>
      </c>
      <c r="AV56" s="42">
        <f t="shared" ca="1" si="164"/>
        <v>62.245083440706601</v>
      </c>
      <c r="AW56" s="42">
        <f t="shared" ca="1" si="165"/>
        <v>0.21663739296280693</v>
      </c>
      <c r="AX56" s="42">
        <f t="shared" ca="1" si="166"/>
        <v>17.038286206937897</v>
      </c>
      <c r="AY56" s="42">
        <f t="shared" ca="1" si="167"/>
        <v>-0.85506540482282323</v>
      </c>
      <c r="AZ56" s="42">
        <f t="shared" ca="1" si="168"/>
        <v>1.7568672569054922E-2</v>
      </c>
      <c r="BA56" s="42">
        <f t="shared" ca="1" si="44"/>
        <v>-3.7708898133693978E-3</v>
      </c>
      <c r="BB56" s="42">
        <f t="shared" ca="1" si="169"/>
        <v>9.1820268938029553E-2</v>
      </c>
      <c r="BC56" s="42">
        <f t="shared" ca="1" si="170"/>
        <v>-0.32876969207413687</v>
      </c>
      <c r="BD56" s="42">
        <f t="shared" ca="1" si="47"/>
        <v>-5694.1431034689485</v>
      </c>
      <c r="BE56" s="40"/>
      <c r="BF56" s="36">
        <f t="shared" si="119"/>
        <v>90</v>
      </c>
      <c r="BG56" s="35">
        <f t="shared" si="48"/>
        <v>0.28399999999999997</v>
      </c>
      <c r="BH56" s="197">
        <f t="shared" si="127"/>
        <v>169.23611111111677</v>
      </c>
      <c r="BI56" s="41">
        <f t="shared" si="49"/>
        <v>0.46366057838662128</v>
      </c>
      <c r="BJ56" s="40">
        <f t="shared" ca="1" si="171"/>
        <v>-0.35667494393873245</v>
      </c>
      <c r="BK56" s="40">
        <f t="shared" si="172"/>
        <v>2.5189751902588361E-2</v>
      </c>
      <c r="BL56" s="40">
        <f t="shared" si="173"/>
        <v>0.19338305926412305</v>
      </c>
      <c r="BM56" s="42">
        <f t="shared" ca="1" si="174"/>
        <v>-1.71413769798419</v>
      </c>
      <c r="BN56" s="42">
        <f t="shared" ca="1" si="175"/>
        <v>-1.907520757248313</v>
      </c>
      <c r="BO56" s="42">
        <f t="shared" ca="1" si="176"/>
        <v>4.3251719876476913E-2</v>
      </c>
      <c r="BP56" s="42">
        <f t="shared" ca="1" si="177"/>
        <v>0.95674828012352309</v>
      </c>
      <c r="BQ56" s="42">
        <f t="shared" ca="1" si="178"/>
        <v>2.8226592850372042E-2</v>
      </c>
      <c r="BR56" s="42">
        <f t="shared" ca="1" si="179"/>
        <v>0.97177340714962801</v>
      </c>
      <c r="BS56" s="42">
        <f t="shared" si="180"/>
        <v>0.98162450344672281</v>
      </c>
      <c r="BT56" s="42">
        <f t="shared" si="181"/>
        <v>88.34620531020505</v>
      </c>
      <c r="BU56" s="42">
        <f t="shared" si="182"/>
        <v>0.98801719747153338</v>
      </c>
      <c r="BV56" s="42">
        <f t="shared" ca="1" si="183"/>
        <v>62.245083440706601</v>
      </c>
      <c r="BW56" s="42">
        <f t="shared" ca="1" si="184"/>
        <v>9.1806465180754235E-2</v>
      </c>
      <c r="BX56" s="42">
        <f t="shared" ca="1" si="185"/>
        <v>0.19849454549883916</v>
      </c>
      <c r="BY56" s="42">
        <f t="shared" ca="1" si="186"/>
        <v>4.2733443058180533E-2</v>
      </c>
      <c r="BZ56" s="42">
        <f t="shared" ca="1" si="187"/>
        <v>7.4452415828320274E-3</v>
      </c>
      <c r="CA56" s="42">
        <f t="shared" ca="1" si="67"/>
        <v>-3.34643869147407E-3</v>
      </c>
      <c r="CB56" s="42">
        <f t="shared" ca="1" si="188"/>
        <v>3.8911538806202031E-2</v>
      </c>
      <c r="CC56" s="42">
        <f t="shared" ca="1" si="189"/>
        <v>1.1562361184903058E-2</v>
      </c>
      <c r="CD56" s="42">
        <f t="shared" ca="1" si="70"/>
        <v>3300.7527272505804</v>
      </c>
      <c r="CE56" s="40"/>
      <c r="CF56" s="36">
        <f t="shared" si="120"/>
        <v>95</v>
      </c>
      <c r="CG56" s="35">
        <f t="shared" si="71"/>
        <v>0.28399999999999997</v>
      </c>
      <c r="CH56" s="197">
        <f t="shared" si="128"/>
        <v>169.23611111111677</v>
      </c>
      <c r="CI56" s="41">
        <f t="shared" si="72"/>
        <v>0.46366057838662128</v>
      </c>
      <c r="CJ56" s="40">
        <f t="shared" ca="1" si="190"/>
        <v>-0.41074216520900819</v>
      </c>
      <c r="CK56" s="40">
        <f t="shared" si="191"/>
        <v>2.5189751902588361E-2</v>
      </c>
      <c r="CL56" s="40">
        <f t="shared" si="192"/>
        <v>0.19338305926412305</v>
      </c>
      <c r="CM56" s="42">
        <f t="shared" ca="1" si="193"/>
        <v>-1.9937238286205381</v>
      </c>
      <c r="CN56" s="42">
        <f t="shared" ca="1" si="194"/>
        <v>-2.1871068878846613</v>
      </c>
      <c r="CO56" s="42">
        <f t="shared" ca="1" si="195"/>
        <v>2.3091121909589105E-2</v>
      </c>
      <c r="CP56" s="42">
        <f t="shared" ca="1" si="196"/>
        <v>0.97690887809041094</v>
      </c>
      <c r="CQ56" s="42">
        <f t="shared" ca="1" si="197"/>
        <v>1.4367360968248078E-2</v>
      </c>
      <c r="CR56" s="42">
        <f t="shared" ca="1" si="198"/>
        <v>0.98563263903175191</v>
      </c>
      <c r="CS56" s="42">
        <f t="shared" si="199"/>
        <v>0.98162450344672281</v>
      </c>
      <c r="CT56" s="42">
        <f t="shared" si="200"/>
        <v>93.254327827438672</v>
      </c>
      <c r="CU56" s="42">
        <f t="shared" si="201"/>
        <v>0.98801719747153338</v>
      </c>
      <c r="CV56" s="42">
        <f t="shared" ca="1" si="202"/>
        <v>62.245083440706601</v>
      </c>
      <c r="CW56" s="42">
        <f t="shared" ca="1" si="203"/>
        <v>5.4671874145193207E-2</v>
      </c>
      <c r="CX56" s="42">
        <f t="shared" ca="1" si="204"/>
        <v>9.7490220253749316E-2</v>
      </c>
      <c r="CY56" s="42">
        <f t="shared" ca="1" si="205"/>
        <v>2.281442555558575E-2</v>
      </c>
      <c r="CZ56" s="42">
        <f t="shared" ca="1" si="206"/>
        <v>4.4337325263066789E-3</v>
      </c>
      <c r="DA56" s="42">
        <f t="shared" ca="1" si="90"/>
        <v>-1.988750863804142E-3</v>
      </c>
      <c r="DB56" s="42">
        <f t="shared" ca="1" si="207"/>
        <v>2.3172297813884763E-2</v>
      </c>
      <c r="DC56" s="42">
        <f t="shared" ca="1" si="208"/>
        <v>6.2122106225577581E-3</v>
      </c>
      <c r="DD56" s="42">
        <f t="shared" ca="1" si="93"/>
        <v>-2526.2548898731256</v>
      </c>
      <c r="DE56" s="40"/>
      <c r="DF56" s="36">
        <f t="shared" si="121"/>
        <v>200</v>
      </c>
      <c r="DG56" s="35">
        <f t="shared" si="94"/>
        <v>0.28399999999999997</v>
      </c>
      <c r="DH56" s="197">
        <f t="shared" si="129"/>
        <v>169.23611111111677</v>
      </c>
      <c r="DI56" s="41">
        <f t="shared" si="95"/>
        <v>0.46366057838662128</v>
      </c>
      <c r="DJ56" s="40">
        <f t="shared" ca="1" si="209"/>
        <v>-1.155182640156504</v>
      </c>
      <c r="DK56" s="40">
        <f t="shared" si="210"/>
        <v>2.5189751902588361E-2</v>
      </c>
      <c r="DL56" s="40">
        <f t="shared" si="211"/>
        <v>0.19338305926412305</v>
      </c>
      <c r="DM56" s="42">
        <f t="shared" ca="1" si="212"/>
        <v>-5.8432878896106848</v>
      </c>
      <c r="DN56" s="42">
        <f t="shared" ca="1" si="213"/>
        <v>-6.036670948874808</v>
      </c>
      <c r="DO56" s="42">
        <f t="shared" ca="1" si="214"/>
        <v>2.5590227229165555E-9</v>
      </c>
      <c r="DP56" s="42">
        <f t="shared" ca="1" si="215"/>
        <v>0.99999999744097723</v>
      </c>
      <c r="DQ56" s="42">
        <f t="shared" ca="1" si="216"/>
        <v>7.8663036163815412E-10</v>
      </c>
      <c r="DR56" s="42">
        <f t="shared" ca="1" si="217"/>
        <v>0.99999999921336968</v>
      </c>
      <c r="DS56" s="42">
        <f t="shared" si="218"/>
        <v>0.98162450344672281</v>
      </c>
      <c r="DT56" s="42">
        <f t="shared" si="219"/>
        <v>196.32490068934456</v>
      </c>
      <c r="DU56" s="42">
        <f t="shared" si="220"/>
        <v>0.98801719747153338</v>
      </c>
      <c r="DV56" s="42">
        <f t="shared" ca="1" si="221"/>
        <v>62.245083440706601</v>
      </c>
      <c r="DW56" s="42">
        <f t="shared" ca="1" si="222"/>
        <v>1.5368510192874282E-8</v>
      </c>
      <c r="DX56" s="42">
        <f t="shared" si="223"/>
        <v>0</v>
      </c>
      <c r="DY56" s="92">
        <f t="shared" si="224"/>
        <v>0</v>
      </c>
      <c r="DZ56" s="42">
        <f t="shared" si="225"/>
        <v>0</v>
      </c>
      <c r="EA56" s="42">
        <f t="shared" si="113"/>
        <v>0</v>
      </c>
      <c r="EB56" s="42">
        <f t="shared" si="226"/>
        <v>0</v>
      </c>
      <c r="EC56" s="42">
        <f t="shared" si="227"/>
        <v>0</v>
      </c>
      <c r="ED56" s="42">
        <f t="shared" ca="1" si="116"/>
        <v>0</v>
      </c>
      <c r="EE56" s="40"/>
      <c r="EF56" s="120">
        <f t="shared" ca="1" si="130"/>
        <v>63</v>
      </c>
      <c r="EG56" s="42">
        <f t="shared" ca="1" si="228"/>
        <v>-336.44817531035551</v>
      </c>
      <c r="EH56" s="36">
        <f t="shared" ca="1" si="123"/>
        <v>-336.44817531035551</v>
      </c>
      <c r="EI56" s="36">
        <f t="shared" ca="1" si="124"/>
        <v>15.965999999999999</v>
      </c>
      <c r="EJ56" s="153">
        <f t="shared" ca="1" si="131"/>
        <v>1</v>
      </c>
      <c r="EK56" s="153" t="str">
        <f t="shared" ca="1" si="229"/>
        <v/>
      </c>
      <c r="EL56" s="153" t="str">
        <f t="shared" ca="1" si="132"/>
        <v/>
      </c>
      <c r="EM56" s="153">
        <f t="shared" ca="1" si="230"/>
        <v>0</v>
      </c>
      <c r="EN56" s="153">
        <f t="shared" ca="1" si="231"/>
        <v>0</v>
      </c>
    </row>
    <row r="57" spans="1:144" x14ac:dyDescent="0.3">
      <c r="A57" s="36">
        <f ca="1">IF($M$22=1,A56+'Auto X'!$E$6,A$48)</f>
        <v>63.5</v>
      </c>
      <c r="B57" s="35">
        <f>IF($M$22=2,B56+'Auto X'!$E$6,B$48)</f>
        <v>0.28399999999999997</v>
      </c>
      <c r="C57" s="39">
        <f>IF($M$22=3,C56+'Auto X'!$E$6,C$48)</f>
        <v>45295.440972222219</v>
      </c>
      <c r="D57" s="35">
        <f>IF($M$22=4,D56+'Auto X'!$E$6,D$48)</f>
        <v>2.5999999999999999E-2</v>
      </c>
      <c r="E57" s="35">
        <f>IF($M$22=5,E56+'Auto X'!$E$6,E$48)</f>
        <v>0.04</v>
      </c>
      <c r="F57" s="36">
        <f t="shared" si="117"/>
        <v>75</v>
      </c>
      <c r="G57" s="35">
        <f t="shared" si="7"/>
        <v>0.28399999999999997</v>
      </c>
      <c r="H57" s="197">
        <f t="shared" si="125"/>
        <v>169.23611111111677</v>
      </c>
      <c r="I57" s="41">
        <f t="shared" si="8"/>
        <v>0.46366057838662128</v>
      </c>
      <c r="J57" s="40">
        <f t="shared" ref="J57" ca="1" si="232">LN($A57/F57)</f>
        <v>-0.16644820763766446</v>
      </c>
      <c r="K57" s="40">
        <f t="shared" ref="K57" si="233">($E57-$D57+POWER(G57,2)/2)*I57</f>
        <v>2.5189751902588361E-2</v>
      </c>
      <c r="L57" s="40">
        <f t="shared" ref="L57" si="234">MAX(0,0.000000000001,G57*SQRT(I57))</f>
        <v>0.19338305926412305</v>
      </c>
      <c r="M57" s="42">
        <f t="shared" ref="M57" ca="1" si="235">(J57+K57)/L57</f>
        <v>-0.73045930844513618</v>
      </c>
      <c r="N57" s="42">
        <f t="shared" ref="N57" ca="1" si="236">M57-L57</f>
        <v>-0.9238423677092592</v>
      </c>
      <c r="O57" s="42">
        <f t="shared" ref="O57" ca="1" si="237">_xlfn.NORM.DIST(M57,0,1,TRUE)</f>
        <v>0.23255473858661657</v>
      </c>
      <c r="P57" s="42">
        <f t="shared" ref="P57" ca="1" si="238">_xlfn.NORM.DIST(-M57,0,1,TRUE)</f>
        <v>0.76744526141338343</v>
      </c>
      <c r="Q57" s="42">
        <f t="shared" ref="Q57" ca="1" si="239">_xlfn.NORM.DIST(N57,0,1,TRUE)</f>
        <v>0.17778419642727938</v>
      </c>
      <c r="R57" s="42">
        <f t="shared" ref="R57" ca="1" si="240">_xlfn.NORM.DIST(-N57,0,1,TRUE)</f>
        <v>0.82221580357272062</v>
      </c>
      <c r="S57" s="42">
        <f t="shared" ref="S57" si="241">EXP(-$E57*I57)</f>
        <v>0.98162450344672281</v>
      </c>
      <c r="T57" s="42">
        <f t="shared" ref="T57" si="242">F57*S57</f>
        <v>73.621837758504213</v>
      </c>
      <c r="U57" s="42">
        <f t="shared" ref="U57" si="243">EXP(-$D57*I57)</f>
        <v>0.98801719747153338</v>
      </c>
      <c r="V57" s="42">
        <f t="shared" ref="V57" ca="1" si="244">$A57*U57</f>
        <v>62.739092039442369</v>
      </c>
      <c r="W57" s="42">
        <f t="shared" ref="W57" ca="1" si="245">EXP(-1*POWER(M57,2)/2)/SQRT(2*PI())</f>
        <v>0.30552491958776362</v>
      </c>
      <c r="X57" s="42">
        <f t="shared" ref="X57" ca="1" si="246">IF($F$8=1,0,IF($F$8=2,$A57,IF($F$8=3,V57*O57-T57*Q57,T57*R57-V57*P57)))</f>
        <v>12.384219602060831</v>
      </c>
      <c r="Y57" s="42">
        <f t="shared" ref="Y57" ca="1" si="247">IF($F$8=2,1,IF(OR($F$8=1,I57&lt;=0),0,IF($F$8=3,O57*U57,(O57-1)*U57)))</f>
        <v>-0.75824911639445947</v>
      </c>
      <c r="Z57" s="42">
        <f t="shared" ref="Z57" ca="1" si="248">IF(OR($F$8&lt;=2,I57&lt;=0),0,W57*U57/($A57*L57))</f>
        <v>2.4582100552666193E-2</v>
      </c>
      <c r="AA57" s="42">
        <f t="shared" ca="1" si="21"/>
        <v>-7.747689027307306E-3</v>
      </c>
      <c r="AB57" s="42">
        <f t="shared" ref="AB57" ca="1" si="249">IF(OR($F$8&lt;=2,I57&lt;=0),0,(W57*$A57*U57*SQRT(I57))/100)</f>
        <v>0.13052237091840024</v>
      </c>
      <c r="AC57" s="42">
        <f t="shared" ref="AC57" ca="1" si="250">IF(OR($F$8&lt;=2,I57&lt;=0),0,IF($F$8=3,Q57,-1*R57)*F57*I57*S57/100)</f>
        <v>-0.28066783639214532</v>
      </c>
      <c r="AD57" s="42">
        <f t="shared" ca="1" si="24"/>
        <v>4392.1098010304158</v>
      </c>
      <c r="AE57" s="36"/>
      <c r="AF57" s="36">
        <f t="shared" si="118"/>
        <v>80</v>
      </c>
      <c r="AG57" s="35">
        <f t="shared" si="25"/>
        <v>0.28399999999999997</v>
      </c>
      <c r="AH57" s="197">
        <f t="shared" si="126"/>
        <v>169.23611111111677</v>
      </c>
      <c r="AI57" s="41">
        <f t="shared" si="26"/>
        <v>0.46366057838662128</v>
      </c>
      <c r="AJ57" s="40">
        <f t="shared" ref="AJ57" ca="1" si="251">LN($A57/AF57)</f>
        <v>-0.23098672877523571</v>
      </c>
      <c r="AK57" s="40">
        <f t="shared" ref="AK57" si="252">($E57-$D57+POWER(AG57,2)/2)*AI57</f>
        <v>2.5189751902588361E-2</v>
      </c>
      <c r="AL57" s="40">
        <f t="shared" ref="AL57" si="253">MAX(0,0.000000000001,AG57*SQRT(AI57))</f>
        <v>0.19338305926412305</v>
      </c>
      <c r="AM57" s="42">
        <f t="shared" ref="AM57" ca="1" si="254">(AJ57+AK57)/AL57</f>
        <v>-1.0641934079218871</v>
      </c>
      <c r="AN57" s="42">
        <f t="shared" ref="AN57" ca="1" si="255">AM57-AL57</f>
        <v>-1.2575764671860101</v>
      </c>
      <c r="AO57" s="42">
        <f t="shared" ref="AO57" ca="1" si="256">_xlfn.NORM.DIST(AM57,0,1,TRUE)</f>
        <v>0.14362054634237942</v>
      </c>
      <c r="AP57" s="42">
        <f t="shared" ref="AP57" ca="1" si="257">_xlfn.NORM.DIST(-AM57,0,1,TRUE)</f>
        <v>0.85637945365762058</v>
      </c>
      <c r="AQ57" s="42">
        <f t="shared" ref="AQ57" ca="1" si="258">_xlfn.NORM.DIST(AN57,0,1,TRUE)</f>
        <v>0.10427248423466387</v>
      </c>
      <c r="AR57" s="42">
        <f t="shared" ref="AR57" ca="1" si="259">_xlfn.NORM.DIST(-AN57,0,1,TRUE)</f>
        <v>0.89572751576533616</v>
      </c>
      <c r="AS57" s="42">
        <f t="shared" ref="AS57" si="260">EXP(-$E57*AI57)</f>
        <v>0.98162450344672281</v>
      </c>
      <c r="AT57" s="42">
        <f t="shared" ref="AT57" si="261">AF57*AS57</f>
        <v>78.529960275737821</v>
      </c>
      <c r="AU57" s="42">
        <f t="shared" ref="AU57" si="262">EXP(-$D57*AI57)</f>
        <v>0.98801719747153338</v>
      </c>
      <c r="AV57" s="42">
        <f t="shared" ref="AV57" ca="1" si="263">$A57*AU57</f>
        <v>62.739092039442369</v>
      </c>
      <c r="AW57" s="42">
        <f t="shared" ref="AW57" ca="1" si="264">EXP(-1*POWER(AM57,2)/2)/SQRT(2*PI())</f>
        <v>0.22645877987289806</v>
      </c>
      <c r="AX57" s="42">
        <f t="shared" ref="AX57" ca="1" si="265">IF($F$10=1,0,IF($F$10=2,$A57,IF($F$10=3,AV57*AO57-AT57*AQ57,AT57*AR57-AV57*AP57)))</f>
        <v>16.61297686722434</v>
      </c>
      <c r="AY57" s="42">
        <f t="shared" ref="AY57" ca="1" si="266">IF($F$10=2,1,IF(OR($F$10=1,AI57&lt;=0),0,IF($F$10=3,AO57*AU57,(AO57-1)*AU57)))</f>
        <v>-0.84611762777500521</v>
      </c>
      <c r="AZ57" s="42">
        <f t="shared" ref="AZ57" ca="1" si="267">IF(OR($F$10&lt;=2,AI57&lt;=0),0,AW57*AU57/($A57*AL57))</f>
        <v>1.8220551388675114E-2</v>
      </c>
      <c r="BA57" s="42">
        <f t="shared" ca="1" si="44"/>
        <v>-4.2360909263369495E-3</v>
      </c>
      <c r="BB57" s="42">
        <f t="shared" ref="BB57" ca="1" si="268">IF(OR($F$10&lt;=2,AI57&lt;=0),0,(AW57*$A57*AU57*SQRT(AI57))/100)</f>
        <v>9.6744766038005872E-2</v>
      </c>
      <c r="BC57" s="42">
        <f t="shared" ref="BC57" ca="1" si="269">IF(OR($F$10&lt;=2,AI57&lt;=0),0,IF($F$10=3,AQ57,-1*AR57)*AF57*AI57*AS57/100)</f>
        <v>-0.32614555643987747</v>
      </c>
      <c r="BD57" s="42">
        <f t="shared" ca="1" si="47"/>
        <v>-5481.4884336121695</v>
      </c>
      <c r="BE57" s="40"/>
      <c r="BF57" s="36">
        <f t="shared" si="119"/>
        <v>90</v>
      </c>
      <c r="BG57" s="35">
        <f t="shared" si="48"/>
        <v>0.28399999999999997</v>
      </c>
      <c r="BH57" s="197">
        <f t="shared" si="127"/>
        <v>169.23611111111677</v>
      </c>
      <c r="BI57" s="41">
        <f t="shared" si="49"/>
        <v>0.46366057838662128</v>
      </c>
      <c r="BJ57" s="40">
        <f t="shared" ref="BJ57" ca="1" si="270">LN($A57/BF57)</f>
        <v>-0.34876976443161906</v>
      </c>
      <c r="BK57" s="40">
        <f t="shared" ref="BK57" si="271">($E57-$D57+POWER(BG57,2)/2)*BI57</f>
        <v>2.5189751902588361E-2</v>
      </c>
      <c r="BL57" s="40">
        <f t="shared" ref="BL57" si="272">MAX(0,0.000000000001,BG57*SQRT(BI57))</f>
        <v>0.19338305926412305</v>
      </c>
      <c r="BM57" s="42">
        <f t="shared" ref="BM57" ca="1" si="273">(BJ57+BK57)/BL57</f>
        <v>-1.6732593525014221</v>
      </c>
      <c r="BN57" s="42">
        <f t="shared" ref="BN57" ca="1" si="274">BM57-BL57</f>
        <v>-1.8666424117655451</v>
      </c>
      <c r="BO57" s="42">
        <f t="shared" ref="BO57" ca="1" si="275">_xlfn.NORM.DIST(BM57,0,1,TRUE)</f>
        <v>4.7138125321514068E-2</v>
      </c>
      <c r="BP57" s="42">
        <f t="shared" ref="BP57" ca="1" si="276">_xlfn.NORM.DIST(-BM57,0,1,TRUE)</f>
        <v>0.95286187467848593</v>
      </c>
      <c r="BQ57" s="42">
        <f t="shared" ref="BQ57" ca="1" si="277">_xlfn.NORM.DIST(BN57,0,1,TRUE)</f>
        <v>3.0975770364125372E-2</v>
      </c>
      <c r="BR57" s="42">
        <f t="shared" ref="BR57" ca="1" si="278">_xlfn.NORM.DIST(-BN57,0,1,TRUE)</f>
        <v>0.96902422963587465</v>
      </c>
      <c r="BS57" s="42">
        <f t="shared" ref="BS57" si="279">EXP(-$E57*BI57)</f>
        <v>0.98162450344672281</v>
      </c>
      <c r="BT57" s="42">
        <f t="shared" ref="BT57" si="280">BF57*BS57</f>
        <v>88.34620531020505</v>
      </c>
      <c r="BU57" s="42">
        <f t="shared" ref="BU57" si="281">EXP(-$D57*BI57)</f>
        <v>0.98801719747153338</v>
      </c>
      <c r="BV57" s="42">
        <f t="shared" ref="BV57" ca="1" si="282">$A57*BU57</f>
        <v>62.739092039442369</v>
      </c>
      <c r="BW57" s="42">
        <f t="shared" ref="BW57" ca="1" si="283">EXP(-1*POWER(BM57,2)/2)/SQRT(2*PI())</f>
        <v>9.8387947855228239E-2</v>
      </c>
      <c r="BX57" s="42">
        <f t="shared" ref="BX57" ca="1" si="284">IF($F$12=1,0,IF($F$12=2,$A57,IF($F$12=3,BV57*BO57-BT57*BQ57,BT57*BR57-BV57*BP57)))</f>
        <v>0.22081141488245493</v>
      </c>
      <c r="BY57" s="42">
        <f t="shared" ref="BY57" ca="1" si="285">IF($F$12=2,1,IF(OR($F$12=1,BI57&lt;=0),0,IF($F$12=3,BO57*BU57,(BO57-1)*BU57)))</f>
        <v>4.6573278474224253E-2</v>
      </c>
      <c r="BZ57" s="42">
        <f t="shared" ref="BZ57" ca="1" si="286">IF(OR($F$12&lt;=2,BI57&lt;=0),0,BW57*BU57/($A57*BL57))</f>
        <v>7.9161543700298678E-3</v>
      </c>
      <c r="CA57" s="42">
        <f t="shared" ca="1" si="67"/>
        <v>-3.6159930354104372E-3</v>
      </c>
      <c r="CB57" s="42">
        <f t="shared" ref="CB57" ca="1" si="287">IF(OR($F$12&lt;=2,BI57&lt;=0),0,(BW57*$A57*BU57*SQRT(BI57))/100)</f>
        <v>4.2032015722931693E-2</v>
      </c>
      <c r="CC57" s="42">
        <f t="shared" ref="CC57" ca="1" si="288">IF(OR($F$12&lt;=2,BI57&lt;=0),0,IF($F$12=3,BQ57,-1*BR57)*BF57*BI57*BS57/100)</f>
        <v>1.2688497220659527E-2</v>
      </c>
      <c r="CD57" s="42">
        <f t="shared" ca="1" si="70"/>
        <v>3289.5942925587724</v>
      </c>
      <c r="CE57" s="40"/>
      <c r="CF57" s="36">
        <f t="shared" si="120"/>
        <v>95</v>
      </c>
      <c r="CG57" s="35">
        <f t="shared" si="71"/>
        <v>0.28399999999999997</v>
      </c>
      <c r="CH57" s="197">
        <f t="shared" si="128"/>
        <v>169.23611111111677</v>
      </c>
      <c r="CI57" s="41">
        <f t="shared" si="72"/>
        <v>0.46366057838662128</v>
      </c>
      <c r="CJ57" s="40">
        <f t="shared" ref="CJ57" ca="1" si="289">LN($A57/CF57)</f>
        <v>-0.40283698570189491</v>
      </c>
      <c r="CK57" s="40">
        <f t="shared" ref="CK57" si="290">($E57-$D57+POWER(CG57,2)/2)*CI57</f>
        <v>2.5189751902588361E-2</v>
      </c>
      <c r="CL57" s="40">
        <f t="shared" ref="CL57" si="291">MAX(0,0.000000000001,CG57*SQRT(CI57))</f>
        <v>0.19338305926412305</v>
      </c>
      <c r="CM57" s="42">
        <f t="shared" ref="CM57" ca="1" si="292">(CJ57+CK57)/CL57</f>
        <v>-1.9528454831377708</v>
      </c>
      <c r="CN57" s="42">
        <f t="shared" ref="CN57" ca="1" si="293">CM57-CL57</f>
        <v>-2.1462285424018939</v>
      </c>
      <c r="CO57" s="42">
        <f t="shared" ref="CO57" ca="1" si="294">_xlfn.NORM.DIST(CM57,0,1,TRUE)</f>
        <v>2.5418953611123216E-2</v>
      </c>
      <c r="CP57" s="42">
        <f t="shared" ref="CP57" ca="1" si="295">_xlfn.NORM.DIST(-CM57,0,1,TRUE)</f>
        <v>0.97458104638887677</v>
      </c>
      <c r="CQ57" s="42">
        <f t="shared" ref="CQ57" ca="1" si="296">_xlfn.NORM.DIST(CN57,0,1,TRUE)</f>
        <v>1.5927374725260946E-2</v>
      </c>
      <c r="CR57" s="42">
        <f t="shared" ref="CR57" ca="1" si="297">_xlfn.NORM.DIST(-CN57,0,1,TRUE)</f>
        <v>0.98407262527473904</v>
      </c>
      <c r="CS57" s="42">
        <f t="shared" ref="CS57" si="298">EXP(-$E57*CI57)</f>
        <v>0.98162450344672281</v>
      </c>
      <c r="CT57" s="42">
        <f t="shared" ref="CT57" si="299">CF57*CS57</f>
        <v>93.254327827438672</v>
      </c>
      <c r="CU57" s="42">
        <f t="shared" ref="CU57" si="300">EXP(-$D57*CI57)</f>
        <v>0.98801719747153338</v>
      </c>
      <c r="CV57" s="42">
        <f t="shared" ref="CV57" ca="1" si="301">$A57*CU57</f>
        <v>62.739092039442369</v>
      </c>
      <c r="CW57" s="42">
        <f t="shared" ref="CW57" ca="1" si="302">EXP(-1*POWER(CM57,2)/2)/SQRT(2*PI())</f>
        <v>5.926470917196177E-2</v>
      </c>
      <c r="CX57" s="42">
        <f t="shared" ref="CX57" ca="1" si="303">IF($F$14=1,0,IF($F$14=2,$A57,IF($F$14=3,CV57*CO57-CT57*CQ57,CT57*CR57-CV57*CP57)))</f>
        <v>0.10946544609463027</v>
      </c>
      <c r="CY57" s="42">
        <f t="shared" ref="CY57" ca="1" si="304">IF($F$14=2,1,IF(OR($F$14=1,CI57&lt;=0),0,IF($F$14=3,CO57*CU57,(CO57-1)*CU57)))</f>
        <v>2.5114363309520871E-2</v>
      </c>
      <c r="CZ57" s="42">
        <f t="shared" ref="CZ57" ca="1" si="305">IF(OR($F$14&lt;=2,CI57&lt;=0),0,CW57*CU57/($A57*CL57))</f>
        <v>4.7683542214997446E-3</v>
      </c>
      <c r="DA57" s="42">
        <f t="shared" ca="1" si="90"/>
        <v>-2.1735408874346174E-3</v>
      </c>
      <c r="DB57" s="42">
        <f t="shared" ref="DB57" ca="1" si="306">IF(OR($F$14&lt;=2,CI57&lt;=0),0,(CW57*$A57*CU57*SQRT(CI57))/100)</f>
        <v>2.5318296011176543E-2</v>
      </c>
      <c r="DC57" s="42">
        <f t="shared" ref="DC57" ca="1" si="307">IF(OR($F$14&lt;=2,CI57&lt;=0),0,IF($F$14=3,CQ57,-1*CR57)*CF57*CI57*CS57/100)</f>
        <v>6.8867349178733019E-3</v>
      </c>
      <c r="DD57" s="42">
        <f t="shared" ca="1" si="93"/>
        <v>-2520.2672769526853</v>
      </c>
      <c r="DE57" s="40"/>
      <c r="DF57" s="36">
        <f t="shared" si="121"/>
        <v>200</v>
      </c>
      <c r="DG57" s="35">
        <f t="shared" si="94"/>
        <v>0.28399999999999997</v>
      </c>
      <c r="DH57" s="197">
        <f t="shared" si="129"/>
        <v>169.23611111111677</v>
      </c>
      <c r="DI57" s="41">
        <f t="shared" si="95"/>
        <v>0.46366057838662128</v>
      </c>
      <c r="DJ57" s="40">
        <f t="shared" ref="DJ57" ca="1" si="308">LN($A57/DF57)</f>
        <v>-1.1472774606493907</v>
      </c>
      <c r="DK57" s="40">
        <f t="shared" ref="DK57" si="309">($E57-$D57+POWER(DG57,2)/2)*DI57</f>
        <v>2.5189751902588361E-2</v>
      </c>
      <c r="DL57" s="40">
        <f t="shared" ref="DL57" si="310">MAX(0,0.000000000001,DG57*SQRT(DI57))</f>
        <v>0.19338305926412305</v>
      </c>
      <c r="DM57" s="42">
        <f t="shared" ref="DM57" ca="1" si="311">(DJ57+DK57)/DL57</f>
        <v>-5.8024095441279178</v>
      </c>
      <c r="DN57" s="42">
        <f t="shared" ref="DN57" ca="1" si="312">DM57-DL57</f>
        <v>-5.995792603392041</v>
      </c>
      <c r="DO57" s="42">
        <f t="shared" ref="DO57" ca="1" si="313">_xlfn.NORM.DIST(DM57,0,1,TRUE)</f>
        <v>3.2684330128020255E-9</v>
      </c>
      <c r="DP57" s="42">
        <f t="shared" ref="DP57" ca="1" si="314">_xlfn.NORM.DIST(-DM57,0,1,TRUE)</f>
        <v>0.99999999673156703</v>
      </c>
      <c r="DQ57" s="42">
        <f t="shared" ref="DQ57" ca="1" si="315">_xlfn.NORM.DIST(DN57,0,1,TRUE)</f>
        <v>1.0124766187125052E-9</v>
      </c>
      <c r="DR57" s="42">
        <f t="shared" ref="DR57" ca="1" si="316">_xlfn.NORM.DIST(-DN57,0,1,TRUE)</f>
        <v>0.99999999898752334</v>
      </c>
      <c r="DS57" s="42">
        <f t="shared" ref="DS57" si="317">EXP(-$E57*DI57)</f>
        <v>0.98162450344672281</v>
      </c>
      <c r="DT57" s="42">
        <f t="shared" ref="DT57" si="318">DF57*DS57</f>
        <v>196.32490068934456</v>
      </c>
      <c r="DU57" s="42">
        <f t="shared" ref="DU57" si="319">EXP(-$D57*DI57)</f>
        <v>0.98801719747153338</v>
      </c>
      <c r="DV57" s="42">
        <f t="shared" ref="DV57" ca="1" si="320">$A57*DU57</f>
        <v>62.739092039442369</v>
      </c>
      <c r="DW57" s="42">
        <f t="shared" ref="DW57" ca="1" si="321">EXP(-1*POWER(DM57,2)/2)/SQRT(2*PI())</f>
        <v>1.949872433766176E-8</v>
      </c>
      <c r="DX57" s="42">
        <f t="shared" ref="DX57" si="322">IF($F$16=1,0,IF($F$16=2,$A57,IF($F$16=3,DV57*DO57-DT57*DQ57,DT57*DR57-DV57*DP57)))</f>
        <v>0</v>
      </c>
      <c r="DY57" s="92">
        <f t="shared" ref="DY57" si="323">IF($F$16=2,1,IF(OR($F$16=1,DI57&lt;=0),0,IF($F$16=3,DO57*DU57,(DO57-1)*DU57)))</f>
        <v>0</v>
      </c>
      <c r="DZ57" s="42">
        <f t="shared" ref="DZ57" si="324">IF(OR($F$16&lt;=2,DI57&lt;=0),0,DW57*DU57/($A57*DL57))</f>
        <v>0</v>
      </c>
      <c r="EA57" s="42">
        <f t="shared" si="113"/>
        <v>0</v>
      </c>
      <c r="EB57" s="42">
        <f t="shared" ref="EB57" si="325">IF(OR($F$16&lt;=2,DI57&lt;=0),0,(DW57*$A57*DU57*SQRT(DI57))/100)</f>
        <v>0</v>
      </c>
      <c r="EC57" s="42">
        <f t="shared" ref="EC57" si="326">IF(OR($F$16&lt;=2,DI57&lt;=0),0,IF($F$16=3,DQ57,-1*DR57)*DF57*DI57*DS57/100)</f>
        <v>0</v>
      </c>
      <c r="ED57" s="42">
        <f t="shared" ca="1" si="116"/>
        <v>0</v>
      </c>
      <c r="EE57" s="40"/>
      <c r="EF57" s="120">
        <f t="shared" ca="1" si="130"/>
        <v>63.5</v>
      </c>
      <c r="EG57" s="42">
        <f t="shared" ref="EG57" ca="1" si="327">AD57+BD57+CD57+DD57+ED57</f>
        <v>-320.05161697566655</v>
      </c>
      <c r="EH57" s="36">
        <f t="shared" ca="1" si="123"/>
        <v>-320.05161697566655</v>
      </c>
      <c r="EI57" s="36">
        <f t="shared" ca="1" si="124"/>
        <v>16.396999999999998</v>
      </c>
      <c r="EJ57" s="153">
        <f t="shared" ca="1" si="131"/>
        <v>1</v>
      </c>
      <c r="EK57" s="153" t="str">
        <f t="shared" ca="1" si="229"/>
        <v/>
      </c>
      <c r="EL57" s="153" t="str">
        <f t="shared" ca="1" si="132"/>
        <v/>
      </c>
      <c r="EM57" s="153">
        <f t="shared" ca="1" si="230"/>
        <v>0</v>
      </c>
      <c r="EN57" s="153">
        <f t="shared" ca="1" si="231"/>
        <v>0</v>
      </c>
    </row>
    <row r="58" spans="1:144" x14ac:dyDescent="0.3">
      <c r="A58" s="36">
        <f ca="1">IF($M$22=1,A57+'Auto X'!$E$6,A$48)</f>
        <v>64</v>
      </c>
      <c r="B58" s="35">
        <f>IF($M$22=2,B57+'Auto X'!$E$6,B$48)</f>
        <v>0.28399999999999997</v>
      </c>
      <c r="C58" s="39">
        <f>IF($M$22=3,C57+'Auto X'!$E$6,C$48)</f>
        <v>45295.440972222219</v>
      </c>
      <c r="D58" s="35">
        <f>IF($M$22=4,D57+'Auto X'!$E$6,D$48)</f>
        <v>2.5999999999999999E-2</v>
      </c>
      <c r="E58" s="35">
        <f>IF($M$22=5,E57+'Auto X'!$E$6,E$48)</f>
        <v>0.04</v>
      </c>
      <c r="F58" s="36">
        <f t="shared" si="117"/>
        <v>75</v>
      </c>
      <c r="G58" s="35">
        <f t="shared" si="7"/>
        <v>0.28399999999999997</v>
      </c>
      <c r="H58" s="197">
        <f t="shared" si="125"/>
        <v>169.23611111111677</v>
      </c>
      <c r="I58" s="41">
        <f t="shared" si="8"/>
        <v>0.46366057838662128</v>
      </c>
      <c r="J58" s="40">
        <f t="shared" ref="J58:J88" ca="1" si="328">LN($A58/F58)</f>
        <v>-0.15860503017663852</v>
      </c>
      <c r="K58" s="40">
        <f t="shared" ref="K58:K88" si="329">($E58-$D58+POWER(G58,2)/2)*I58</f>
        <v>2.5189751902588361E-2</v>
      </c>
      <c r="L58" s="40">
        <f t="shared" ref="L58:L88" si="330">MAX(0,0.000000000001,G58*SQRT(I58))</f>
        <v>0.19338305926412305</v>
      </c>
      <c r="M58" s="42">
        <f t="shared" ref="M58:M88" ca="1" si="331">(J58+K58)/L58</f>
        <v>-0.68990158073686914</v>
      </c>
      <c r="N58" s="42">
        <f t="shared" ref="N58:N88" ca="1" si="332">M58-L58</f>
        <v>-0.88328464000099216</v>
      </c>
      <c r="O58" s="42">
        <f t="shared" ref="O58:O88" ca="1" si="333">_xlfn.NORM.DIST(M58,0,1,TRUE)</f>
        <v>0.24512804085703788</v>
      </c>
      <c r="P58" s="42">
        <f t="shared" ref="P58:P88" ca="1" si="334">_xlfn.NORM.DIST(-M58,0,1,TRUE)</f>
        <v>0.75487195914296212</v>
      </c>
      <c r="Q58" s="42">
        <f t="shared" ref="Q58:Q88" ca="1" si="335">_xlfn.NORM.DIST(N58,0,1,TRUE)</f>
        <v>0.18854125031637614</v>
      </c>
      <c r="R58" s="42">
        <f t="shared" ref="R58:R88" ca="1" si="336">_xlfn.NORM.DIST(-N58,0,1,TRUE)</f>
        <v>0.81145874968362386</v>
      </c>
      <c r="S58" s="42">
        <f t="shared" ref="S58:S88" si="337">EXP(-$E58*I58)</f>
        <v>0.98162450344672281</v>
      </c>
      <c r="T58" s="42">
        <f t="shared" ref="T58:T88" si="338">F58*S58</f>
        <v>73.621837758504213</v>
      </c>
      <c r="U58" s="42">
        <f t="shared" ref="U58:U88" si="339">EXP(-$D58*I58)</f>
        <v>0.98801719747153338</v>
      </c>
      <c r="V58" s="42">
        <f t="shared" ref="V58:V88" ca="1" si="340">$A58*U58</f>
        <v>63.233100638178136</v>
      </c>
      <c r="W58" s="42">
        <f t="shared" ref="W58:W88" ca="1" si="341">EXP(-1*POWER(M58,2)/2)/SQRT(2*PI())</f>
        <v>0.31445300906076323</v>
      </c>
      <c r="X58" s="42">
        <f t="shared" ref="X58:X88" ca="1" si="342">IF($F$8=1,0,IF($F$8=2,$A58,IF($F$8=3,V58*O58-T58*Q58,T58*R58-V58*P58)))</f>
        <v>12.008189855500824</v>
      </c>
      <c r="Y58" s="42">
        <f t="shared" ca="1" si="19"/>
        <v>-0.74582647752227527</v>
      </c>
      <c r="Z58" s="42">
        <f t="shared" ca="1" si="20"/>
        <v>2.5102782232689306E-2</v>
      </c>
      <c r="AA58" s="42">
        <f t="shared" ca="1" si="21"/>
        <v>-8.2136356427946703E-3</v>
      </c>
      <c r="AB58" s="42">
        <f t="shared" ca="1" si="22"/>
        <v>0.1353942806638872</v>
      </c>
      <c r="AC58" s="42">
        <f t="shared" ca="1" si="23"/>
        <v>-0.27699585754196077</v>
      </c>
      <c r="AD58" s="42">
        <f t="shared" ca="1" si="24"/>
        <v>4204.0949277504124</v>
      </c>
      <c r="AF58" s="36">
        <f t="shared" si="118"/>
        <v>80</v>
      </c>
      <c r="AG58" s="35">
        <f t="shared" si="25"/>
        <v>0.28399999999999997</v>
      </c>
      <c r="AH58" s="197">
        <f t="shared" si="126"/>
        <v>169.23611111111677</v>
      </c>
      <c r="AI58" s="41">
        <f t="shared" si="26"/>
        <v>0.46366057838662128</v>
      </c>
      <c r="AJ58" s="40">
        <f t="shared" ref="AJ58:AJ88" ca="1" si="343">LN($A58/AF58)</f>
        <v>-0.22314355131420971</v>
      </c>
      <c r="AK58" s="40">
        <f t="shared" ref="AK58:AK88" si="344">($E58-$D58+POWER(AG58,2)/2)*AI58</f>
        <v>2.5189751902588361E-2</v>
      </c>
      <c r="AL58" s="40">
        <f t="shared" ref="AL58:AL88" si="345">MAX(0,0.000000000001,AG58*SQRT(AI58))</f>
        <v>0.19338305926412305</v>
      </c>
      <c r="AM58" s="42">
        <f t="shared" ref="AM58:AM88" ca="1" si="346">(AJ58+AK58)/AL58</f>
        <v>-1.0236356802136197</v>
      </c>
      <c r="AN58" s="42">
        <f t="shared" ref="AN58:AN88" ca="1" si="347">AM58-AL58</f>
        <v>-1.2170187394777428</v>
      </c>
      <c r="AO58" s="42">
        <f t="shared" ref="AO58:AO88" ca="1" si="348">_xlfn.NORM.DIST(AM58,0,1,TRUE)</f>
        <v>0.1530036929163871</v>
      </c>
      <c r="AP58" s="42">
        <f t="shared" ref="AP58:AP88" ca="1" si="349">_xlfn.NORM.DIST(-AM58,0,1,TRUE)</f>
        <v>0.84699630708361284</v>
      </c>
      <c r="AQ58" s="42">
        <f t="shared" ref="AQ58:AQ88" ca="1" si="350">_xlfn.NORM.DIST(AN58,0,1,TRUE)</f>
        <v>0.11179854302242623</v>
      </c>
      <c r="AR58" s="42">
        <f t="shared" ref="AR58:AR88" ca="1" si="351">_xlfn.NORM.DIST(-AN58,0,1,TRUE)</f>
        <v>0.8882014569775738</v>
      </c>
      <c r="AS58" s="42">
        <f t="shared" ref="AS58:AS88" si="352">EXP(-$E58*AI58)</f>
        <v>0.98162450344672281</v>
      </c>
      <c r="AT58" s="42">
        <f t="shared" ref="AT58:AT88" si="353">AF58*AS58</f>
        <v>78.529960275737821</v>
      </c>
      <c r="AU58" s="42">
        <f t="shared" ref="AU58:AU88" si="354">EXP(-$D58*AI58)</f>
        <v>0.98801719747153338</v>
      </c>
      <c r="AV58" s="42">
        <f t="shared" ref="AV58:AV88" ca="1" si="355">$A58*AU58</f>
        <v>63.233100638178136</v>
      </c>
      <c r="AW58" s="42">
        <f t="shared" ref="AW58:AW88" ca="1" si="356">EXP(-1*POWER(AM58,2)/2)/SQRT(2*PI())</f>
        <v>0.23625264046297795</v>
      </c>
      <c r="AX58" s="42">
        <f t="shared" ref="AX58:AX88" ca="1" si="357">IF($F$10=1,0,IF($F$10=2,$A58,IF($F$10=3,AV58*AO58-AT58*AQ58,AT58*AR58-AV58*AP58)))</f>
        <v>16.192222407317999</v>
      </c>
      <c r="AY58" s="42">
        <f t="shared" ca="1" si="42"/>
        <v>-0.83684691759348939</v>
      </c>
      <c r="AZ58" s="42">
        <f t="shared" ca="1" si="43"/>
        <v>1.886004717574186E-2</v>
      </c>
      <c r="BA58" s="42">
        <f t="shared" ca="1" si="44"/>
        <v>-4.7064784708961702E-3</v>
      </c>
      <c r="BB58" s="42">
        <f t="shared" ca="1" si="45"/>
        <v>0.10172348614494517</v>
      </c>
      <c r="BC58" s="42">
        <f t="shared" ca="1" si="46"/>
        <v>-0.32340522460019222</v>
      </c>
      <c r="BD58" s="42">
        <f t="shared" ca="1" si="47"/>
        <v>-5271.1112036589993</v>
      </c>
      <c r="BE58" s="40"/>
      <c r="BF58" s="36">
        <f t="shared" si="119"/>
        <v>90</v>
      </c>
      <c r="BG58" s="35">
        <f t="shared" si="48"/>
        <v>0.28399999999999997</v>
      </c>
      <c r="BH58" s="197">
        <f t="shared" si="127"/>
        <v>169.23611111111677</v>
      </c>
      <c r="BI58" s="41">
        <f t="shared" si="49"/>
        <v>0.46366057838662128</v>
      </c>
      <c r="BJ58" s="40">
        <f t="shared" ref="BJ58:BJ88" ca="1" si="358">LN($A58/BF58)</f>
        <v>-0.34092658697059319</v>
      </c>
      <c r="BK58" s="40">
        <f t="shared" ref="BK58:BK88" si="359">($E58-$D58+POWER(BG58,2)/2)*BI58</f>
        <v>2.5189751902588361E-2</v>
      </c>
      <c r="BL58" s="40">
        <f t="shared" ref="BL58:BL88" si="360">MAX(0,0.000000000001,BG58*SQRT(BI58))</f>
        <v>0.19338305926412305</v>
      </c>
      <c r="BM58" s="42">
        <f t="shared" ref="BM58:BM88" ca="1" si="361">(BJ58+BK58)/BL58</f>
        <v>-1.6327016247931556</v>
      </c>
      <c r="BN58" s="42">
        <f t="shared" ref="BN58:BN88" ca="1" si="362">BM58-BL58</f>
        <v>-1.8260846840572786</v>
      </c>
      <c r="BO58" s="42">
        <f t="shared" ref="BO58:BO88" ca="1" si="363">_xlfn.NORM.DIST(BM58,0,1,TRUE)</f>
        <v>5.1265882778530628E-2</v>
      </c>
      <c r="BP58" s="42">
        <f t="shared" ref="BP58:BP88" ca="1" si="364">_xlfn.NORM.DIST(-BM58,0,1,TRUE)</f>
        <v>0.94873411722146939</v>
      </c>
      <c r="BQ58" s="42">
        <f t="shared" ref="BQ58:BQ88" ca="1" si="365">_xlfn.NORM.DIST(BN58,0,1,TRUE)</f>
        <v>3.3918753438054429E-2</v>
      </c>
      <c r="BR58" s="42">
        <f t="shared" ref="BR58:BR88" ca="1" si="366">_xlfn.NORM.DIST(-BN58,0,1,TRUE)</f>
        <v>0.96608124656194561</v>
      </c>
      <c r="BS58" s="42">
        <f t="shared" ref="BS58:BS88" si="367">EXP(-$E58*BI58)</f>
        <v>0.98162450344672281</v>
      </c>
      <c r="BT58" s="42">
        <f t="shared" ref="BT58:BT88" si="368">BF58*BS58</f>
        <v>88.34620531020505</v>
      </c>
      <c r="BU58" s="42">
        <f t="shared" ref="BU58:BU88" si="369">EXP(-$D58*BI58)</f>
        <v>0.98801719747153338</v>
      </c>
      <c r="BV58" s="42">
        <f t="shared" ref="BV58:BV88" ca="1" si="370">$A58*BU58</f>
        <v>63.233100638178136</v>
      </c>
      <c r="BW58" s="42">
        <f t="shared" ref="BW58:BW88" ca="1" si="371">EXP(-1*POWER(BM58,2)/2)/SQRT(2*PI())</f>
        <v>0.10521011522144301</v>
      </c>
      <c r="BX58" s="42">
        <f t="shared" ref="BX58:BX88" ca="1" si="372">IF($F$12=1,0,IF($F$12=2,$A58,IF($F$12=3,BV58*BO58-BT58*BQ58,BT58*BR58-BV58*BP58)))</f>
        <v>0.24510756993529048</v>
      </c>
      <c r="BY58" s="42">
        <f t="shared" ca="1" si="65"/>
        <v>5.0651573828747978E-2</v>
      </c>
      <c r="BZ58" s="42">
        <f t="shared" ca="1" si="66"/>
        <v>8.3989230027361212E-3</v>
      </c>
      <c r="CA58" s="42">
        <f t="shared" ca="1" si="67"/>
        <v>-3.8984737106535134E-3</v>
      </c>
      <c r="CB58" s="42">
        <f t="shared" ca="1" si="68"/>
        <v>4.5300402471961612E-2</v>
      </c>
      <c r="CC58" s="42">
        <f t="shared" ca="1" si="69"/>
        <v>1.3894021154851799E-2</v>
      </c>
      <c r="CD58" s="42">
        <f t="shared" ca="1" si="70"/>
        <v>3277.4462150323548</v>
      </c>
      <c r="CE58" s="40"/>
      <c r="CF58" s="36">
        <f t="shared" si="120"/>
        <v>95</v>
      </c>
      <c r="CG58" s="35">
        <f t="shared" si="71"/>
        <v>0.28399999999999997</v>
      </c>
      <c r="CH58" s="197">
        <f t="shared" si="128"/>
        <v>169.23611111111677</v>
      </c>
      <c r="CI58" s="41">
        <f t="shared" si="72"/>
        <v>0.46366057838662128</v>
      </c>
      <c r="CJ58" s="40">
        <f t="shared" ref="CJ58:CJ88" ca="1" si="373">LN($A58/CF58)</f>
        <v>-0.39499380824086899</v>
      </c>
      <c r="CK58" s="40">
        <f t="shared" ref="CK58:CK88" si="374">($E58-$D58+POWER(CG58,2)/2)*CI58</f>
        <v>2.5189751902588361E-2</v>
      </c>
      <c r="CL58" s="40">
        <f t="shared" ref="CL58:CL88" si="375">MAX(0,0.000000000001,CG58*SQRT(CI58))</f>
        <v>0.19338305926412305</v>
      </c>
      <c r="CM58" s="42">
        <f t="shared" ref="CM58:CM88" ca="1" si="376">(CJ58+CK58)/CL58</f>
        <v>-1.9122877554295039</v>
      </c>
      <c r="CN58" s="42">
        <f t="shared" ref="CN58:CN88" ca="1" si="377">CM58-CL58</f>
        <v>-2.1056708146936272</v>
      </c>
      <c r="CO58" s="42">
        <f t="shared" ref="CO58:CO88" ca="1" si="378">_xlfn.NORM.DIST(CM58,0,1,TRUE)</f>
        <v>2.7919647747602819E-2</v>
      </c>
      <c r="CP58" s="42">
        <f t="shared" ref="CP58:CP88" ca="1" si="379">_xlfn.NORM.DIST(-CM58,0,1,TRUE)</f>
        <v>0.9720803522523972</v>
      </c>
      <c r="CQ58" s="42">
        <f t="shared" ref="CQ58:CQ88" ca="1" si="380">_xlfn.NORM.DIST(CN58,0,1,TRUE)</f>
        <v>1.7616478339622006E-2</v>
      </c>
      <c r="CR58" s="42">
        <f t="shared" ref="CR58:CR88" ca="1" si="381">_xlfn.NORM.DIST(-CN58,0,1,TRUE)</f>
        <v>0.98238352166037801</v>
      </c>
      <c r="CS58" s="42">
        <f t="shared" ref="CS58:CS88" si="382">EXP(-$E58*CI58)</f>
        <v>0.98162450344672281</v>
      </c>
      <c r="CT58" s="42">
        <f t="shared" ref="CT58:CT88" si="383">CF58*CS58</f>
        <v>93.254327827438672</v>
      </c>
      <c r="CU58" s="42">
        <f t="shared" ref="CU58:CU88" si="384">EXP(-$D58*CI58)</f>
        <v>0.98801719747153338</v>
      </c>
      <c r="CV58" s="42">
        <f t="shared" ref="CV58:CV88" ca="1" si="385">$A58*CU58</f>
        <v>63.233100638178136</v>
      </c>
      <c r="CW58" s="42">
        <f t="shared" ref="CW58:CW88" ca="1" si="386">EXP(-1*POWER(CM58,2)/2)/SQRT(2*PI())</f>
        <v>6.4096804827198081E-2</v>
      </c>
      <c r="CX58" s="42">
        <f t="shared" ref="CX58:CX88" ca="1" si="387">IF($F$14=1,0,IF($F$14=2,$A58,IF($F$14=3,CV58*CO58-CT58*CQ58,CT58*CR58-CV58*CP58)))</f>
        <v>0.12263304955856946</v>
      </c>
      <c r="CY58" s="42">
        <f t="shared" ca="1" si="88"/>
        <v>2.7585092121978946E-2</v>
      </c>
      <c r="CZ58" s="42">
        <f t="shared" ca="1" si="89"/>
        <v>5.1168476275494186E-3</v>
      </c>
      <c r="DA58" s="42">
        <f t="shared" ca="1" si="90"/>
        <v>-2.3699442718961316E-3</v>
      </c>
      <c r="DB58" s="42">
        <f t="shared" ca="1" si="91"/>
        <v>2.7598211918382694E-2</v>
      </c>
      <c r="DC58" s="42">
        <f t="shared" ca="1" si="92"/>
        <v>7.6170755447235771E-3</v>
      </c>
      <c r="DD58" s="42">
        <f t="shared" ca="1" si="93"/>
        <v>-2513.6834752207155</v>
      </c>
      <c r="DE58" s="40"/>
      <c r="DF58" s="36">
        <f t="shared" si="121"/>
        <v>200</v>
      </c>
      <c r="DG58" s="35">
        <f t="shared" si="94"/>
        <v>0.28399999999999997</v>
      </c>
      <c r="DH58" s="197">
        <f t="shared" si="129"/>
        <v>169.23611111111677</v>
      </c>
      <c r="DI58" s="41">
        <f t="shared" si="95"/>
        <v>0.46366057838662128</v>
      </c>
      <c r="DJ58" s="40">
        <f t="shared" ref="DJ58:DJ88" ca="1" si="388">LN($A58/DF58)</f>
        <v>-1.1394342831883648</v>
      </c>
      <c r="DK58" s="40">
        <f t="shared" ref="DK58:DK88" si="389">($E58-$D58+POWER(DG58,2)/2)*DI58</f>
        <v>2.5189751902588361E-2</v>
      </c>
      <c r="DL58" s="40">
        <f t="shared" ref="DL58:DL88" si="390">MAX(0,0.000000000001,DG58*SQRT(DI58))</f>
        <v>0.19338305926412305</v>
      </c>
      <c r="DM58" s="42">
        <f t="shared" ref="DM58:DM88" ca="1" si="391">(DJ58+DK58)/DL58</f>
        <v>-5.7618518164196511</v>
      </c>
      <c r="DN58" s="42">
        <f t="shared" ref="DN58:DN88" ca="1" si="392">DM58-DL58</f>
        <v>-5.9552348756837743</v>
      </c>
      <c r="DO58" s="42">
        <f t="shared" ref="DO58:DO88" ca="1" si="393">_xlfn.NORM.DIST(DM58,0,1,TRUE)</f>
        <v>4.1598013882444244E-9</v>
      </c>
      <c r="DP58" s="42">
        <f t="shared" ref="DP58:DP88" ca="1" si="394">_xlfn.NORM.DIST(-DM58,0,1,TRUE)</f>
        <v>0.99999999584019861</v>
      </c>
      <c r="DQ58" s="42">
        <f t="shared" ref="DQ58:DQ88" ca="1" si="395">_xlfn.NORM.DIST(DN58,0,1,TRUE)</f>
        <v>1.2984929298469281E-9</v>
      </c>
      <c r="DR58" s="42">
        <f t="shared" ref="DR58:DR88" ca="1" si="396">_xlfn.NORM.DIST(-DN58,0,1,TRUE)</f>
        <v>0.99999999870150702</v>
      </c>
      <c r="DS58" s="42">
        <f t="shared" ref="DS58:DS88" si="397">EXP(-$E58*DI58)</f>
        <v>0.98162450344672281</v>
      </c>
      <c r="DT58" s="42">
        <f t="shared" ref="DT58:DT88" si="398">DF58*DS58</f>
        <v>196.32490068934456</v>
      </c>
      <c r="DU58" s="42">
        <f t="shared" ref="DU58:DU88" si="399">EXP(-$D58*DI58)</f>
        <v>0.98801719747153338</v>
      </c>
      <c r="DV58" s="42">
        <f t="shared" ref="DV58:DV88" ca="1" si="400">$A58*DU58</f>
        <v>63.233100638178136</v>
      </c>
      <c r="DW58" s="42">
        <f t="shared" ref="DW58:DW88" ca="1" si="401">EXP(-1*POWER(DM58,2)/2)/SQRT(2*PI())</f>
        <v>2.46520269558064E-8</v>
      </c>
      <c r="DX58" s="42">
        <f t="shared" ref="DX58:DX88" si="402">IF($F$16=1,0,IF($F$16=2,$A58,IF($F$16=3,DV58*DO58-DT58*DQ58,DT58*DR58-DV58*DP58)))</f>
        <v>0</v>
      </c>
      <c r="DY58" s="92">
        <f t="shared" si="111"/>
        <v>0</v>
      </c>
      <c r="DZ58" s="42">
        <f t="shared" si="112"/>
        <v>0</v>
      </c>
      <c r="EA58" s="42">
        <f t="shared" si="113"/>
        <v>0</v>
      </c>
      <c r="EB58" s="42">
        <f t="shared" si="114"/>
        <v>0</v>
      </c>
      <c r="EC58" s="42">
        <f t="shared" si="115"/>
        <v>0</v>
      </c>
      <c r="ED58" s="42">
        <f t="shared" ca="1" si="116"/>
        <v>0</v>
      </c>
      <c r="EE58" s="40"/>
      <c r="EF58" s="120">
        <f t="shared" ca="1" si="130"/>
        <v>64</v>
      </c>
      <c r="EG58" s="42">
        <f t="shared" ref="EG58:EG88" ca="1" si="403">AD58+BD58+CD58+DD58+ED58</f>
        <v>-303.25353609694776</v>
      </c>
      <c r="EH58" s="36">
        <f t="shared" ca="1" si="123"/>
        <v>-303.25353609694776</v>
      </c>
      <c r="EI58" s="36">
        <f t="shared" ca="1" si="124"/>
        <v>16.797999999999998</v>
      </c>
      <c r="EJ58" s="153">
        <f t="shared" ca="1" si="131"/>
        <v>1</v>
      </c>
      <c r="EK58" s="153" t="str">
        <f t="shared" ca="1" si="229"/>
        <v/>
      </c>
      <c r="EL58" s="153" t="str">
        <f t="shared" ca="1" si="132"/>
        <v/>
      </c>
      <c r="EM58" s="153">
        <f t="shared" ca="1" si="230"/>
        <v>0</v>
      </c>
      <c r="EN58" s="153">
        <f t="shared" ca="1" si="231"/>
        <v>0</v>
      </c>
    </row>
    <row r="59" spans="1:144" x14ac:dyDescent="0.3">
      <c r="A59" s="36">
        <f ca="1">IF($M$22=1,A58+'Auto X'!$E$6,A$48)</f>
        <v>64.5</v>
      </c>
      <c r="B59" s="35">
        <f>IF($M$22=2,B58+'Auto X'!$E$6,B$48)</f>
        <v>0.28399999999999997</v>
      </c>
      <c r="C59" s="39">
        <f>IF($M$22=3,C58+'Auto X'!$E$6,C$48)</f>
        <v>45295.440972222219</v>
      </c>
      <c r="D59" s="35">
        <f>IF($M$22=4,D58+'Auto X'!$E$6,D$48)</f>
        <v>2.5999999999999999E-2</v>
      </c>
      <c r="E59" s="35">
        <f>IF($M$22=5,E58+'Auto X'!$E$6,E$48)</f>
        <v>0.04</v>
      </c>
      <c r="F59" s="36">
        <f t="shared" si="117"/>
        <v>75</v>
      </c>
      <c r="G59" s="35">
        <f t="shared" si="7"/>
        <v>0.28399999999999997</v>
      </c>
      <c r="H59" s="197">
        <f t="shared" si="125"/>
        <v>169.23611111111677</v>
      </c>
      <c r="I59" s="41">
        <f t="shared" si="8"/>
        <v>0.46366057838662128</v>
      </c>
      <c r="J59" s="40">
        <f t="shared" ca="1" si="328"/>
        <v>-0.15082288973458366</v>
      </c>
      <c r="K59" s="40">
        <f t="shared" si="329"/>
        <v>2.5189751902588361E-2</v>
      </c>
      <c r="L59" s="40">
        <f t="shared" si="330"/>
        <v>0.19338305926412305</v>
      </c>
      <c r="M59" s="42">
        <f t="shared" ca="1" si="331"/>
        <v>-0.64965948056704004</v>
      </c>
      <c r="N59" s="42">
        <f t="shared" ca="1" si="332"/>
        <v>-0.84304253983116306</v>
      </c>
      <c r="O59" s="42">
        <f t="shared" ca="1" si="333"/>
        <v>0.25795610134058822</v>
      </c>
      <c r="P59" s="42">
        <f t="shared" ca="1" si="334"/>
        <v>0.74204389865941178</v>
      </c>
      <c r="Q59" s="42">
        <f t="shared" ca="1" si="335"/>
        <v>0.19960232640068631</v>
      </c>
      <c r="R59" s="42">
        <f t="shared" ca="1" si="336"/>
        <v>0.80039767359931369</v>
      </c>
      <c r="S59" s="42">
        <f t="shared" si="337"/>
        <v>0.98162450344672281</v>
      </c>
      <c r="T59" s="42">
        <f t="shared" si="338"/>
        <v>73.621837758504213</v>
      </c>
      <c r="U59" s="42">
        <f t="shared" si="339"/>
        <v>0.98801719747153338</v>
      </c>
      <c r="V59" s="42">
        <f t="shared" ca="1" si="340"/>
        <v>63.727109236913904</v>
      </c>
      <c r="W59" s="42">
        <f t="shared" ca="1" si="341"/>
        <v>0.32304383478783671</v>
      </c>
      <c r="X59" s="42">
        <f t="shared" ca="1" si="342"/>
        <v>11.638435079559081</v>
      </c>
      <c r="Y59" s="42">
        <f t="shared" ca="1" si="19"/>
        <v>-0.73315213315432259</v>
      </c>
      <c r="Z59" s="42">
        <f t="shared" ca="1" si="20"/>
        <v>2.5588676276619784E-2</v>
      </c>
      <c r="AA59" s="42">
        <f t="shared" ca="1" si="21"/>
        <v>-8.6727539042437199E-3</v>
      </c>
      <c r="AB59" s="42">
        <f t="shared" ca="1" si="22"/>
        <v>0.14017990521956059</v>
      </c>
      <c r="AC59" s="42">
        <f t="shared" ca="1" si="23"/>
        <v>-0.2732200990619334</v>
      </c>
      <c r="AD59" s="42">
        <f t="shared" ca="1" si="24"/>
        <v>4019.2175397795404</v>
      </c>
      <c r="AF59" s="36">
        <f t="shared" si="118"/>
        <v>80</v>
      </c>
      <c r="AG59" s="35">
        <f t="shared" si="25"/>
        <v>0.28399999999999997</v>
      </c>
      <c r="AH59" s="197">
        <f t="shared" si="126"/>
        <v>169.23611111111677</v>
      </c>
      <c r="AI59" s="41">
        <f t="shared" si="26"/>
        <v>0.46366057838662128</v>
      </c>
      <c r="AJ59" s="40">
        <f t="shared" ca="1" si="343"/>
        <v>-0.21536141087215477</v>
      </c>
      <c r="AK59" s="40">
        <f t="shared" si="344"/>
        <v>2.5189751902588361E-2</v>
      </c>
      <c r="AL59" s="40">
        <f t="shared" si="345"/>
        <v>0.19338305926412305</v>
      </c>
      <c r="AM59" s="42">
        <f t="shared" ca="1" si="346"/>
        <v>-0.98339358004379007</v>
      </c>
      <c r="AN59" s="42">
        <f t="shared" ca="1" si="347"/>
        <v>-1.1767766393079131</v>
      </c>
      <c r="AO59" s="42">
        <f t="shared" ca="1" si="348"/>
        <v>0.16270688437991199</v>
      </c>
      <c r="AP59" s="42">
        <f t="shared" ca="1" si="349"/>
        <v>0.83729311562008801</v>
      </c>
      <c r="AQ59" s="42">
        <f t="shared" ca="1" si="350"/>
        <v>0.11964233450837307</v>
      </c>
      <c r="AR59" s="42">
        <f t="shared" ca="1" si="351"/>
        <v>0.88035766549162697</v>
      </c>
      <c r="AS59" s="42">
        <f t="shared" si="352"/>
        <v>0.98162450344672281</v>
      </c>
      <c r="AT59" s="42">
        <f t="shared" si="353"/>
        <v>78.529960275737821</v>
      </c>
      <c r="AU59" s="42">
        <f t="shared" si="354"/>
        <v>0.98801719747153338</v>
      </c>
      <c r="AV59" s="42">
        <f t="shared" ca="1" si="355"/>
        <v>63.727109236913904</v>
      </c>
      <c r="AW59" s="42">
        <f t="shared" ca="1" si="356"/>
        <v>0.24598862109269778</v>
      </c>
      <c r="AX59" s="42">
        <f t="shared" ca="1" si="357"/>
        <v>15.776182657061419</v>
      </c>
      <c r="AY59" s="42">
        <f t="shared" ca="1" si="42"/>
        <v>-0.82725999755716795</v>
      </c>
      <c r="AZ59" s="42">
        <f t="shared" ca="1" si="43"/>
        <v>1.9485043560751251E-2</v>
      </c>
      <c r="BA59" s="42">
        <f t="shared" ca="1" si="44"/>
        <v>-5.1809083969298116E-3</v>
      </c>
      <c r="BB59" s="42">
        <f t="shared" ca="1" si="45"/>
        <v>0.10674297998137533</v>
      </c>
      <c r="BC59" s="42">
        <f t="shared" ca="1" si="46"/>
        <v>-0.3205492023235999</v>
      </c>
      <c r="BD59" s="42">
        <f t="shared" ca="1" si="47"/>
        <v>-5063.0913285307097</v>
      </c>
      <c r="BE59" s="40"/>
      <c r="BF59" s="36">
        <f t="shared" si="119"/>
        <v>90</v>
      </c>
      <c r="BG59" s="35">
        <f t="shared" si="48"/>
        <v>0.28399999999999997</v>
      </c>
      <c r="BH59" s="197">
        <f t="shared" si="127"/>
        <v>169.23611111111677</v>
      </c>
      <c r="BI59" s="41">
        <f t="shared" si="49"/>
        <v>0.46366057838662128</v>
      </c>
      <c r="BJ59" s="40">
        <f t="shared" ca="1" si="358"/>
        <v>-0.33314444652853825</v>
      </c>
      <c r="BK59" s="40">
        <f t="shared" si="359"/>
        <v>2.5189751902588361E-2</v>
      </c>
      <c r="BL59" s="40">
        <f t="shared" si="360"/>
        <v>0.19338305926412305</v>
      </c>
      <c r="BM59" s="42">
        <f t="shared" ca="1" si="361"/>
        <v>-1.592459524623326</v>
      </c>
      <c r="BN59" s="42">
        <f t="shared" ca="1" si="362"/>
        <v>-1.785842583887449</v>
      </c>
      <c r="BO59" s="42">
        <f t="shared" ca="1" si="363"/>
        <v>5.5640745333926954E-2</v>
      </c>
      <c r="BP59" s="42">
        <f t="shared" ca="1" si="364"/>
        <v>0.94435925466607307</v>
      </c>
      <c r="BQ59" s="42">
        <f t="shared" ca="1" si="365"/>
        <v>3.7062374803577165E-2</v>
      </c>
      <c r="BR59" s="42">
        <f t="shared" ca="1" si="366"/>
        <v>0.96293762519642279</v>
      </c>
      <c r="BS59" s="42">
        <f t="shared" si="367"/>
        <v>0.98162450344672281</v>
      </c>
      <c r="BT59" s="42">
        <f t="shared" si="368"/>
        <v>88.34620531020505</v>
      </c>
      <c r="BU59" s="42">
        <f t="shared" si="369"/>
        <v>0.98801719747153338</v>
      </c>
      <c r="BV59" s="42">
        <f t="shared" ca="1" si="370"/>
        <v>63.727109236913904</v>
      </c>
      <c r="BW59" s="42">
        <f t="shared" ca="1" si="371"/>
        <v>0.11226398165009766</v>
      </c>
      <c r="BX59" s="42">
        <f t="shared" ca="1" si="372"/>
        <v>0.27150368223787202</v>
      </c>
      <c r="BY59" s="42">
        <f t="shared" ca="1" si="65"/>
        <v>5.4974013270053808E-2</v>
      </c>
      <c r="BZ59" s="42">
        <f t="shared" ca="1" si="66"/>
        <v>8.8925600015100342E-3</v>
      </c>
      <c r="CA59" s="42">
        <f t="shared" ca="1" si="67"/>
        <v>-4.1937719068641339E-3</v>
      </c>
      <c r="CB59" s="42">
        <f t="shared" ca="1" si="68"/>
        <v>4.8715228747878009E-2</v>
      </c>
      <c r="CC59" s="42">
        <f t="shared" ca="1" si="69"/>
        <v>1.5181731855517286E-2</v>
      </c>
      <c r="CD59" s="42">
        <f t="shared" ca="1" si="70"/>
        <v>3264.2481588810642</v>
      </c>
      <c r="CE59" s="40"/>
      <c r="CF59" s="36">
        <f t="shared" si="120"/>
        <v>95</v>
      </c>
      <c r="CG59" s="35">
        <f t="shared" si="71"/>
        <v>0.28399999999999997</v>
      </c>
      <c r="CH59" s="197">
        <f t="shared" si="128"/>
        <v>169.23611111111677</v>
      </c>
      <c r="CI59" s="41">
        <f t="shared" si="72"/>
        <v>0.46366057838662128</v>
      </c>
      <c r="CJ59" s="40">
        <f t="shared" ca="1" si="373"/>
        <v>-0.38721166779881405</v>
      </c>
      <c r="CK59" s="40">
        <f t="shared" si="374"/>
        <v>2.5189751902588361E-2</v>
      </c>
      <c r="CL59" s="40">
        <f t="shared" si="375"/>
        <v>0.19338305926412305</v>
      </c>
      <c r="CM59" s="42">
        <f t="shared" ca="1" si="376"/>
        <v>-1.8720456552596743</v>
      </c>
      <c r="CN59" s="42">
        <f t="shared" ca="1" si="377"/>
        <v>-2.0654287145237973</v>
      </c>
      <c r="CO59" s="42">
        <f t="shared" ca="1" si="378"/>
        <v>3.0600143734894867E-2</v>
      </c>
      <c r="CP59" s="42">
        <f t="shared" ca="1" si="379"/>
        <v>0.96939985626510516</v>
      </c>
      <c r="CQ59" s="42">
        <f t="shared" ca="1" si="380"/>
        <v>1.944122699265026E-2</v>
      </c>
      <c r="CR59" s="42">
        <f t="shared" ca="1" si="381"/>
        <v>0.98055877300734973</v>
      </c>
      <c r="CS59" s="42">
        <f t="shared" si="382"/>
        <v>0.98162450344672281</v>
      </c>
      <c r="CT59" s="42">
        <f t="shared" si="383"/>
        <v>93.254327827438672</v>
      </c>
      <c r="CU59" s="42">
        <f t="shared" si="384"/>
        <v>0.98801719747153338</v>
      </c>
      <c r="CV59" s="42">
        <f t="shared" ca="1" si="385"/>
        <v>63.727109236913904</v>
      </c>
      <c r="CW59" s="42">
        <f t="shared" ca="1" si="386"/>
        <v>6.916806572096626E-2</v>
      </c>
      <c r="CX59" s="42">
        <f t="shared" ca="1" si="387"/>
        <v>0.1370801471186549</v>
      </c>
      <c r="CY59" s="42">
        <f t="shared" ca="1" si="88"/>
        <v>3.0233468255176928E-2</v>
      </c>
      <c r="CZ59" s="42">
        <f t="shared" ca="1" si="89"/>
        <v>5.4788825905815082E-3</v>
      </c>
      <c r="DA59" s="42">
        <f t="shared" ca="1" si="90"/>
        <v>-2.5781773776271675E-3</v>
      </c>
      <c r="DB59" s="42">
        <f t="shared" ca="1" si="91"/>
        <v>3.0014418641833376E-2</v>
      </c>
      <c r="DC59" s="42">
        <f t="shared" ca="1" si="92"/>
        <v>8.4060668557160451E-3</v>
      </c>
      <c r="DD59" s="42">
        <f t="shared" ca="1" si="93"/>
        <v>-2506.4599264406725</v>
      </c>
      <c r="DE59" s="40"/>
      <c r="DF59" s="36">
        <f t="shared" si="121"/>
        <v>200</v>
      </c>
      <c r="DG59" s="35">
        <f t="shared" si="94"/>
        <v>0.28399999999999997</v>
      </c>
      <c r="DH59" s="197">
        <f t="shared" si="129"/>
        <v>169.23611111111677</v>
      </c>
      <c r="DI59" s="41">
        <f t="shared" si="95"/>
        <v>0.46366057838662128</v>
      </c>
      <c r="DJ59" s="40">
        <f t="shared" ca="1" si="388"/>
        <v>-1.1316521427463098</v>
      </c>
      <c r="DK59" s="40">
        <f t="shared" si="389"/>
        <v>2.5189751902588361E-2</v>
      </c>
      <c r="DL59" s="40">
        <f t="shared" si="390"/>
        <v>0.19338305926412305</v>
      </c>
      <c r="DM59" s="42">
        <f t="shared" ca="1" si="391"/>
        <v>-5.7216097162498212</v>
      </c>
      <c r="DN59" s="42">
        <f t="shared" ca="1" si="392"/>
        <v>-5.9149927755139444</v>
      </c>
      <c r="DO59" s="42">
        <f t="shared" ca="1" si="393"/>
        <v>5.2759740618460928E-9</v>
      </c>
      <c r="DP59" s="42">
        <f t="shared" ca="1" si="394"/>
        <v>0.9999999947240259</v>
      </c>
      <c r="DQ59" s="42">
        <f t="shared" ca="1" si="395"/>
        <v>1.6594507505610974E-9</v>
      </c>
      <c r="DR59" s="42">
        <f t="shared" ca="1" si="396"/>
        <v>0.9999999983405492</v>
      </c>
      <c r="DS59" s="42">
        <f t="shared" si="397"/>
        <v>0.98162450344672281</v>
      </c>
      <c r="DT59" s="42">
        <f t="shared" si="398"/>
        <v>196.32490068934456</v>
      </c>
      <c r="DU59" s="42">
        <f t="shared" si="399"/>
        <v>0.98801719747153338</v>
      </c>
      <c r="DV59" s="42">
        <f t="shared" ca="1" si="400"/>
        <v>63.727109236913904</v>
      </c>
      <c r="DW59" s="42">
        <f t="shared" ca="1" si="401"/>
        <v>3.1059925874746754E-8</v>
      </c>
      <c r="DX59" s="42">
        <f t="shared" si="402"/>
        <v>0</v>
      </c>
      <c r="DY59" s="92">
        <f t="shared" si="111"/>
        <v>0</v>
      </c>
      <c r="DZ59" s="42">
        <f t="shared" si="112"/>
        <v>0</v>
      </c>
      <c r="EA59" s="42">
        <f t="shared" si="113"/>
        <v>0</v>
      </c>
      <c r="EB59" s="42">
        <f t="shared" si="114"/>
        <v>0</v>
      </c>
      <c r="EC59" s="42">
        <f t="shared" si="115"/>
        <v>0</v>
      </c>
      <c r="ED59" s="42">
        <f t="shared" ca="1" si="116"/>
        <v>0</v>
      </c>
      <c r="EE59" s="40"/>
      <c r="EF59" s="120">
        <f t="shared" ca="1" si="130"/>
        <v>64.5</v>
      </c>
      <c r="EG59" s="42">
        <f t="shared" ca="1" si="403"/>
        <v>-286.08555631077752</v>
      </c>
      <c r="EH59" s="36">
        <f t="shared" ca="1" si="123"/>
        <v>-286.08555631077752</v>
      </c>
      <c r="EI59" s="36">
        <f t="shared" ca="1" si="124"/>
        <v>17.167999999999999</v>
      </c>
      <c r="EJ59" s="153">
        <f t="shared" ca="1" si="131"/>
        <v>1</v>
      </c>
      <c r="EK59" s="153" t="str">
        <f t="shared" ca="1" si="229"/>
        <v/>
      </c>
      <c r="EL59" s="153" t="str">
        <f t="shared" ca="1" si="132"/>
        <v/>
      </c>
      <c r="EM59" s="153">
        <f t="shared" ca="1" si="230"/>
        <v>0</v>
      </c>
      <c r="EN59" s="153">
        <f t="shared" ca="1" si="231"/>
        <v>0</v>
      </c>
    </row>
    <row r="60" spans="1:144" x14ac:dyDescent="0.3">
      <c r="A60" s="36">
        <f ca="1">IF($M$22=1,A59+'Auto X'!$E$6,A$48)</f>
        <v>65</v>
      </c>
      <c r="B60" s="35">
        <f>IF($M$22=2,B59+'Auto X'!$E$6,B$48)</f>
        <v>0.28399999999999997</v>
      </c>
      <c r="C60" s="39">
        <f>IF($M$22=3,C59+'Auto X'!$E$6,C$48)</f>
        <v>45295.440972222219</v>
      </c>
      <c r="D60" s="35">
        <f>IF($M$22=4,D59+'Auto X'!$E$6,D$48)</f>
        <v>2.5999999999999999E-2</v>
      </c>
      <c r="E60" s="35">
        <f>IF($M$22=5,E59+'Auto X'!$E$6,E$48)</f>
        <v>0.04</v>
      </c>
      <c r="F60" s="36">
        <f t="shared" si="117"/>
        <v>75</v>
      </c>
      <c r="G60" s="35">
        <f t="shared" si="7"/>
        <v>0.28399999999999997</v>
      </c>
      <c r="H60" s="197">
        <f t="shared" si="125"/>
        <v>169.23611111111677</v>
      </c>
      <c r="I60" s="41">
        <f t="shared" si="8"/>
        <v>0.46366057838662128</v>
      </c>
      <c r="J60" s="40">
        <f t="shared" ca="1" si="328"/>
        <v>-0.1431008436406733</v>
      </c>
      <c r="K60" s="40">
        <f t="shared" si="329"/>
        <v>2.5189751902588361E-2</v>
      </c>
      <c r="L60" s="40">
        <f t="shared" si="330"/>
        <v>0.19338305926412305</v>
      </c>
      <c r="M60" s="42">
        <f t="shared" ca="1" si="331"/>
        <v>-0.60972813330583253</v>
      </c>
      <c r="N60" s="42">
        <f t="shared" ca="1" si="332"/>
        <v>-0.80311119256995556</v>
      </c>
      <c r="O60" s="42">
        <f t="shared" ca="1" si="333"/>
        <v>0.27102095748904731</v>
      </c>
      <c r="P60" s="42">
        <f t="shared" ca="1" si="334"/>
        <v>0.72897904251095269</v>
      </c>
      <c r="Q60" s="42">
        <f t="shared" ca="1" si="335"/>
        <v>0.21095523452815207</v>
      </c>
      <c r="R60" s="42">
        <f t="shared" ca="1" si="336"/>
        <v>0.78904476547184799</v>
      </c>
      <c r="S60" s="42">
        <f t="shared" si="337"/>
        <v>0.98162450344672281</v>
      </c>
      <c r="T60" s="42">
        <f t="shared" si="338"/>
        <v>73.621837758504213</v>
      </c>
      <c r="U60" s="42">
        <f t="shared" si="339"/>
        <v>0.98801719747153338</v>
      </c>
      <c r="V60" s="42">
        <f t="shared" ca="1" si="340"/>
        <v>64.221117835649665</v>
      </c>
      <c r="W60" s="42">
        <f t="shared" ca="1" si="341"/>
        <v>0.33126960071019845</v>
      </c>
      <c r="X60" s="42">
        <f t="shared" ca="1" si="342"/>
        <v>11.275076718950444</v>
      </c>
      <c r="Y60" s="42">
        <f t="shared" ca="1" si="19"/>
        <v>-0.72024383059715325</v>
      </c>
      <c r="Z60" s="42">
        <f t="shared" ca="1" si="20"/>
        <v>2.6038400654652277E-2</v>
      </c>
      <c r="AA60" s="42">
        <f t="shared" ca="1" si="21"/>
        <v>-9.1236952648274666E-3</v>
      </c>
      <c r="AB60" s="42">
        <f t="shared" ca="1" si="22"/>
        <v>0.14486368591367607</v>
      </c>
      <c r="AC60" s="42">
        <f t="shared" ca="1" si="23"/>
        <v>-0.26934472212676752</v>
      </c>
      <c r="AD60" s="42">
        <f t="shared" ca="1" si="24"/>
        <v>3837.5383594752225</v>
      </c>
      <c r="AF60" s="36">
        <f t="shared" si="118"/>
        <v>80</v>
      </c>
      <c r="AG60" s="35">
        <f t="shared" si="25"/>
        <v>0.28399999999999997</v>
      </c>
      <c r="AH60" s="197">
        <f t="shared" si="126"/>
        <v>169.23611111111677</v>
      </c>
      <c r="AI60" s="41">
        <f t="shared" si="26"/>
        <v>0.46366057838662128</v>
      </c>
      <c r="AJ60" s="40">
        <f t="shared" ca="1" si="343"/>
        <v>-0.20763936477824449</v>
      </c>
      <c r="AK60" s="40">
        <f t="shared" si="344"/>
        <v>2.5189751902588361E-2</v>
      </c>
      <c r="AL60" s="40">
        <f t="shared" si="345"/>
        <v>0.19338305926412305</v>
      </c>
      <c r="AM60" s="42">
        <f t="shared" ca="1" si="346"/>
        <v>-0.94346223278258323</v>
      </c>
      <c r="AN60" s="42">
        <f t="shared" ca="1" si="347"/>
        <v>-1.1368452920467063</v>
      </c>
      <c r="AO60" s="42">
        <f t="shared" ca="1" si="348"/>
        <v>0.17272226215650643</v>
      </c>
      <c r="AP60" s="42">
        <f t="shared" ca="1" si="349"/>
        <v>0.82727773784349357</v>
      </c>
      <c r="AQ60" s="42">
        <f t="shared" ca="1" si="350"/>
        <v>0.12780148280643686</v>
      </c>
      <c r="AR60" s="42">
        <f t="shared" ca="1" si="351"/>
        <v>0.87219851719356312</v>
      </c>
      <c r="AS60" s="42">
        <f t="shared" si="352"/>
        <v>0.98162450344672281</v>
      </c>
      <c r="AT60" s="42">
        <f t="shared" si="353"/>
        <v>78.529960275737821</v>
      </c>
      <c r="AU60" s="42">
        <f t="shared" si="354"/>
        <v>0.98801719747153338</v>
      </c>
      <c r="AV60" s="42">
        <f t="shared" ca="1" si="355"/>
        <v>64.221117835649665</v>
      </c>
      <c r="AW60" s="42">
        <f t="shared" ca="1" si="356"/>
        <v>0.25563643350223381</v>
      </c>
      <c r="AX60" s="42">
        <f t="shared" ca="1" si="357"/>
        <v>15.365013822911244</v>
      </c>
      <c r="AY60" s="42">
        <f t="shared" ca="1" si="42"/>
        <v>-0.81736463207471843</v>
      </c>
      <c r="AZ60" s="42">
        <f t="shared" ca="1" si="43"/>
        <v>2.0093494432290707E-2</v>
      </c>
      <c r="BA60" s="42">
        <f t="shared" ca="1" si="44"/>
        <v>-5.6582020699642551E-3</v>
      </c>
      <c r="BB60" s="42">
        <f t="shared" ca="1" si="45"/>
        <v>0.11178941844216089</v>
      </c>
      <c r="BC60" s="42">
        <f t="shared" ca="1" si="46"/>
        <v>-0.31757835469984036</v>
      </c>
      <c r="BD60" s="42">
        <f t="shared" ca="1" si="47"/>
        <v>-4857.5069114556218</v>
      </c>
      <c r="BE60" s="40"/>
      <c r="BF60" s="36">
        <f t="shared" si="119"/>
        <v>90</v>
      </c>
      <c r="BG60" s="35">
        <f t="shared" si="48"/>
        <v>0.28399999999999997</v>
      </c>
      <c r="BH60" s="197">
        <f t="shared" si="127"/>
        <v>169.23611111111677</v>
      </c>
      <c r="BI60" s="41">
        <f t="shared" si="49"/>
        <v>0.46366057838662128</v>
      </c>
      <c r="BJ60" s="40">
        <f t="shared" ca="1" si="358"/>
        <v>-0.325422400434628</v>
      </c>
      <c r="BK60" s="40">
        <f t="shared" si="359"/>
        <v>2.5189751902588361E-2</v>
      </c>
      <c r="BL60" s="40">
        <f t="shared" si="360"/>
        <v>0.19338305926412305</v>
      </c>
      <c r="BM60" s="42">
        <f t="shared" ca="1" si="361"/>
        <v>-1.5525281773621191</v>
      </c>
      <c r="BN60" s="42">
        <f t="shared" ca="1" si="362"/>
        <v>-1.7459112366262421</v>
      </c>
      <c r="BO60" s="42">
        <f t="shared" ca="1" si="363"/>
        <v>6.0267947980652735E-2</v>
      </c>
      <c r="BP60" s="42">
        <f t="shared" ca="1" si="364"/>
        <v>0.93973205201934729</v>
      </c>
      <c r="BQ60" s="42">
        <f t="shared" ca="1" si="365"/>
        <v>4.0413188517539798E-2</v>
      </c>
      <c r="BR60" s="42">
        <f t="shared" ca="1" si="366"/>
        <v>0.95958681148246017</v>
      </c>
      <c r="BS60" s="42">
        <f t="shared" si="367"/>
        <v>0.98162450344672281</v>
      </c>
      <c r="BT60" s="42">
        <f t="shared" si="368"/>
        <v>88.34620531020505</v>
      </c>
      <c r="BU60" s="42">
        <f t="shared" si="369"/>
        <v>0.98801719747153338</v>
      </c>
      <c r="BV60" s="42">
        <f t="shared" ca="1" si="370"/>
        <v>64.221117835649665</v>
      </c>
      <c r="BW60" s="42">
        <f t="shared" ca="1" si="371"/>
        <v>0.11953926263528664</v>
      </c>
      <c r="BX60" s="42">
        <f t="shared" ca="1" si="372"/>
        <v>0.30012313896771126</v>
      </c>
      <c r="BY60" s="42">
        <f t="shared" ca="1" si="65"/>
        <v>5.9545769061204672E-2</v>
      </c>
      <c r="BZ60" s="42">
        <f t="shared" ca="1" si="66"/>
        <v>9.396006176800616E-3</v>
      </c>
      <c r="CA60" s="42">
        <f t="shared" ca="1" si="67"/>
        <v>-4.5017198726742518E-3</v>
      </c>
      <c r="CB60" s="42">
        <f t="shared" ca="1" si="68"/>
        <v>5.2274335343857226E-2</v>
      </c>
      <c r="CC60" s="42">
        <f t="shared" ca="1" si="69"/>
        <v>1.6554314038196547E-2</v>
      </c>
      <c r="CD60" s="42">
        <f t="shared" ca="1" si="70"/>
        <v>3249.9384305161443</v>
      </c>
      <c r="CE60" s="40"/>
      <c r="CF60" s="36">
        <f t="shared" si="120"/>
        <v>95</v>
      </c>
      <c r="CG60" s="35">
        <f t="shared" si="71"/>
        <v>0.28399999999999997</v>
      </c>
      <c r="CH60" s="197">
        <f t="shared" si="128"/>
        <v>169.23611111111677</v>
      </c>
      <c r="CI60" s="41">
        <f t="shared" si="72"/>
        <v>0.46366057838662128</v>
      </c>
      <c r="CJ60" s="40">
        <f t="shared" ca="1" si="373"/>
        <v>-0.37948962170490369</v>
      </c>
      <c r="CK60" s="40">
        <f t="shared" si="374"/>
        <v>2.5189751902588361E-2</v>
      </c>
      <c r="CL60" s="40">
        <f t="shared" si="375"/>
        <v>0.19338305926412305</v>
      </c>
      <c r="CM60" s="42">
        <f t="shared" ca="1" si="376"/>
        <v>-1.832114307998467</v>
      </c>
      <c r="CN60" s="42">
        <f t="shared" ca="1" si="377"/>
        <v>-2.0254973672625902</v>
      </c>
      <c r="CO60" s="42">
        <f t="shared" ca="1" si="378"/>
        <v>3.3467196054577729E-2</v>
      </c>
      <c r="CP60" s="42">
        <f t="shared" ca="1" si="379"/>
        <v>0.96653280394542229</v>
      </c>
      <c r="CQ60" s="42">
        <f t="shared" ca="1" si="380"/>
        <v>2.1408159265013937E-2</v>
      </c>
      <c r="CR60" s="42">
        <f t="shared" ca="1" si="381"/>
        <v>0.97859184073498606</v>
      </c>
      <c r="CS60" s="42">
        <f t="shared" si="382"/>
        <v>0.98162450344672281</v>
      </c>
      <c r="CT60" s="42">
        <f t="shared" si="383"/>
        <v>93.254327827438672</v>
      </c>
      <c r="CU60" s="42">
        <f t="shared" si="384"/>
        <v>0.98801719747153338</v>
      </c>
      <c r="CV60" s="42">
        <f t="shared" ca="1" si="385"/>
        <v>64.221117835649665</v>
      </c>
      <c r="CW60" s="42">
        <f t="shared" ca="1" si="386"/>
        <v>7.4477370457200626E-2</v>
      </c>
      <c r="CX60" s="42">
        <f t="shared" ca="1" si="387"/>
        <v>0.15289723916819753</v>
      </c>
      <c r="CY60" s="42">
        <f t="shared" ca="1" si="88"/>
        <v>3.3066165253074244E-2</v>
      </c>
      <c r="CZ60" s="42">
        <f t="shared" ca="1" si="89"/>
        <v>5.8540584693313538E-3</v>
      </c>
      <c r="DA60" s="42">
        <f t="shared" ca="1" si="90"/>
        <v>-2.7984185105681307E-3</v>
      </c>
      <c r="DB60" s="42">
        <f t="shared" ca="1" si="91"/>
        <v>3.2568839333455502E-2</v>
      </c>
      <c r="DC60" s="42">
        <f t="shared" ca="1" si="92"/>
        <v>9.2565360256097618E-3</v>
      </c>
      <c r="DD60" s="42">
        <f t="shared" ca="1" si="93"/>
        <v>-2498.5513804159013</v>
      </c>
      <c r="DE60" s="40"/>
      <c r="DF60" s="36">
        <f t="shared" si="121"/>
        <v>200</v>
      </c>
      <c r="DG60" s="35">
        <f t="shared" si="94"/>
        <v>0.28399999999999997</v>
      </c>
      <c r="DH60" s="197">
        <f t="shared" si="129"/>
        <v>169.23611111111677</v>
      </c>
      <c r="DI60" s="41">
        <f t="shared" si="95"/>
        <v>0.46366057838662128</v>
      </c>
      <c r="DJ60" s="40">
        <f t="shared" ca="1" si="388"/>
        <v>-1.1239300966523995</v>
      </c>
      <c r="DK60" s="40">
        <f t="shared" si="389"/>
        <v>2.5189751902588361E-2</v>
      </c>
      <c r="DL60" s="40">
        <f t="shared" si="390"/>
        <v>0.19338305926412305</v>
      </c>
      <c r="DM60" s="42">
        <f t="shared" ca="1" si="391"/>
        <v>-5.6816783689886146</v>
      </c>
      <c r="DN60" s="42">
        <f t="shared" ca="1" si="392"/>
        <v>-5.8750614282527378</v>
      </c>
      <c r="DO60" s="42">
        <f t="shared" ca="1" si="393"/>
        <v>6.6689656066832221E-9</v>
      </c>
      <c r="DP60" s="42">
        <f t="shared" ca="1" si="394"/>
        <v>0.9999999933310344</v>
      </c>
      <c r="DQ60" s="42">
        <f t="shared" ca="1" si="395"/>
        <v>2.1134329029763657E-9</v>
      </c>
      <c r="DR60" s="42">
        <f t="shared" ca="1" si="396"/>
        <v>0.99999999788656713</v>
      </c>
      <c r="DS60" s="42">
        <f t="shared" si="397"/>
        <v>0.98162450344672281</v>
      </c>
      <c r="DT60" s="42">
        <f t="shared" si="398"/>
        <v>196.32490068934456</v>
      </c>
      <c r="DU60" s="42">
        <f t="shared" si="399"/>
        <v>0.98801719747153338</v>
      </c>
      <c r="DV60" s="42">
        <f t="shared" ca="1" si="400"/>
        <v>64.221117835649665</v>
      </c>
      <c r="DW60" s="42">
        <f t="shared" ca="1" si="401"/>
        <v>3.9001213437402604E-8</v>
      </c>
      <c r="DX60" s="42">
        <f t="shared" si="402"/>
        <v>0</v>
      </c>
      <c r="DY60" s="92">
        <f t="shared" si="111"/>
        <v>0</v>
      </c>
      <c r="DZ60" s="42">
        <f t="shared" si="112"/>
        <v>0</v>
      </c>
      <c r="EA60" s="42">
        <f t="shared" si="113"/>
        <v>0</v>
      </c>
      <c r="EB60" s="42">
        <f t="shared" si="114"/>
        <v>0</v>
      </c>
      <c r="EC60" s="42">
        <f t="shared" si="115"/>
        <v>0</v>
      </c>
      <c r="ED60" s="42">
        <f t="shared" ca="1" si="116"/>
        <v>0</v>
      </c>
      <c r="EE60" s="40"/>
      <c r="EF60" s="120">
        <f t="shared" ca="1" si="130"/>
        <v>65</v>
      </c>
      <c r="EG60" s="42">
        <f t="shared" ca="1" si="403"/>
        <v>-268.58150188015634</v>
      </c>
      <c r="EH60" s="36">
        <f t="shared" ca="1" si="123"/>
        <v>-268.58150188015634</v>
      </c>
      <c r="EI60" s="36">
        <f t="shared" ca="1" si="124"/>
        <v>17.504000000000001</v>
      </c>
      <c r="EJ60" s="153">
        <f t="shared" ca="1" si="131"/>
        <v>1</v>
      </c>
      <c r="EK60" s="153" t="str">
        <f t="shared" ca="1" si="229"/>
        <v/>
      </c>
      <c r="EL60" s="153" t="str">
        <f t="shared" ca="1" si="132"/>
        <v/>
      </c>
      <c r="EM60" s="153">
        <f t="shared" ca="1" si="230"/>
        <v>0</v>
      </c>
      <c r="EN60" s="153">
        <f t="shared" ca="1" si="231"/>
        <v>0</v>
      </c>
    </row>
    <row r="61" spans="1:144" x14ac:dyDescent="0.3">
      <c r="A61" s="36">
        <f ca="1">IF($M$22=1,A60+'Auto X'!$E$6,A$48)</f>
        <v>65.5</v>
      </c>
      <c r="B61" s="35">
        <f>IF($M$22=2,B60+'Auto X'!$E$6,B$48)</f>
        <v>0.28399999999999997</v>
      </c>
      <c r="C61" s="39">
        <f>IF($M$22=3,C60+'Auto X'!$E$6,C$48)</f>
        <v>45295.440972222219</v>
      </c>
      <c r="D61" s="35">
        <f>IF($M$22=4,D60+'Auto X'!$E$6,D$48)</f>
        <v>2.5999999999999999E-2</v>
      </c>
      <c r="E61" s="35">
        <f>IF($M$22=5,E60+'Auto X'!$E$6,E$48)</f>
        <v>0.04</v>
      </c>
      <c r="F61" s="36">
        <f t="shared" si="117"/>
        <v>75</v>
      </c>
      <c r="G61" s="35">
        <f t="shared" si="7"/>
        <v>0.28399999999999997</v>
      </c>
      <c r="H61" s="197">
        <f t="shared" si="125"/>
        <v>169.23611111111677</v>
      </c>
      <c r="I61" s="41">
        <f t="shared" si="8"/>
        <v>0.46366057838662128</v>
      </c>
      <c r="J61" s="40">
        <f t="shared" ca="1" si="328"/>
        <v>-0.13543797089510426</v>
      </c>
      <c r="K61" s="40">
        <f t="shared" si="329"/>
        <v>2.5189751902588361E-2</v>
      </c>
      <c r="L61" s="40">
        <f t="shared" si="330"/>
        <v>0.19338305926412305</v>
      </c>
      <c r="M61" s="42">
        <f t="shared" ca="1" si="331"/>
        <v>-0.5701027763861084</v>
      </c>
      <c r="N61" s="42">
        <f t="shared" ca="1" si="332"/>
        <v>-0.76348583565023143</v>
      </c>
      <c r="O61" s="42">
        <f t="shared" ca="1" si="333"/>
        <v>0.28430399609592999</v>
      </c>
      <c r="P61" s="42">
        <f t="shared" ca="1" si="334"/>
        <v>0.71569600390407007</v>
      </c>
      <c r="Q61" s="42">
        <f t="shared" ca="1" si="335"/>
        <v>0.22258685325166663</v>
      </c>
      <c r="R61" s="42">
        <f t="shared" ca="1" si="336"/>
        <v>0.77741314674833339</v>
      </c>
      <c r="S61" s="42">
        <f t="shared" si="337"/>
        <v>0.98162450344672281</v>
      </c>
      <c r="T61" s="42">
        <f t="shared" si="338"/>
        <v>73.621837758504213</v>
      </c>
      <c r="U61" s="42">
        <f t="shared" si="339"/>
        <v>0.98801719747153338</v>
      </c>
      <c r="V61" s="42">
        <f t="shared" ca="1" si="340"/>
        <v>64.715126434385439</v>
      </c>
      <c r="W61" s="42">
        <f t="shared" ca="1" si="341"/>
        <v>0.33910444523145489</v>
      </c>
      <c r="X61" s="42">
        <f t="shared" ca="1" si="342"/>
        <v>10.918227179997722</v>
      </c>
      <c r="Y61" s="42">
        <f t="shared" ca="1" si="19"/>
        <v>-0.70711996001887489</v>
      </c>
      <c r="Z61" s="42">
        <f t="shared" ca="1" si="20"/>
        <v>2.6450766427966562E-2</v>
      </c>
      <c r="AA61" s="42">
        <f t="shared" ca="1" si="21"/>
        <v>-9.5651493358495654E-3</v>
      </c>
      <c r="AB61" s="42">
        <f t="shared" ca="1" si="22"/>
        <v>0.14943054251377957</v>
      </c>
      <c r="AC61" s="42">
        <f t="shared" ca="1" si="23"/>
        <v>-0.2653742058137975</v>
      </c>
      <c r="AD61" s="42">
        <f t="shared" ca="1" si="24"/>
        <v>3659.1135899988608</v>
      </c>
      <c r="AF61" s="36">
        <f t="shared" si="118"/>
        <v>80</v>
      </c>
      <c r="AG61" s="35">
        <f t="shared" si="25"/>
        <v>0.28399999999999997</v>
      </c>
      <c r="AH61" s="197">
        <f t="shared" si="126"/>
        <v>169.23611111111677</v>
      </c>
      <c r="AI61" s="41">
        <f t="shared" si="26"/>
        <v>0.46366057838662128</v>
      </c>
      <c r="AJ61" s="40">
        <f t="shared" ca="1" si="343"/>
        <v>-0.1999764920326754</v>
      </c>
      <c r="AK61" s="40">
        <f t="shared" si="344"/>
        <v>2.5189751902588361E-2</v>
      </c>
      <c r="AL61" s="40">
        <f t="shared" si="345"/>
        <v>0.19338305926412305</v>
      </c>
      <c r="AM61" s="42">
        <f t="shared" ca="1" si="346"/>
        <v>-0.90383687586285877</v>
      </c>
      <c r="AN61" s="42">
        <f t="shared" ca="1" si="347"/>
        <v>-1.0972199351269818</v>
      </c>
      <c r="AO61" s="42">
        <f t="shared" ca="1" si="348"/>
        <v>0.18304095248740998</v>
      </c>
      <c r="AP61" s="42">
        <f t="shared" ca="1" si="349"/>
        <v>0.81695904751259008</v>
      </c>
      <c r="AQ61" s="42">
        <f t="shared" ca="1" si="350"/>
        <v>0.13627263034406253</v>
      </c>
      <c r="AR61" s="42">
        <f t="shared" ca="1" si="351"/>
        <v>0.86372736965593744</v>
      </c>
      <c r="AS61" s="42">
        <f t="shared" si="352"/>
        <v>0.98162450344672281</v>
      </c>
      <c r="AT61" s="42">
        <f t="shared" si="353"/>
        <v>78.529960275737821</v>
      </c>
      <c r="AU61" s="42">
        <f t="shared" si="354"/>
        <v>0.98801719747153338</v>
      </c>
      <c r="AV61" s="42">
        <f t="shared" ca="1" si="355"/>
        <v>64.715126434385439</v>
      </c>
      <c r="AW61" s="42">
        <f t="shared" ca="1" si="356"/>
        <v>0.26516604023315649</v>
      </c>
      <c r="AX61" s="42">
        <f t="shared" ca="1" si="357"/>
        <v>14.958867976655917</v>
      </c>
      <c r="AY61" s="42">
        <f t="shared" ca="1" si="42"/>
        <v>-0.80716958857240251</v>
      </c>
      <c r="AZ61" s="42">
        <f t="shared" ca="1" si="43"/>
        <v>2.06834357185991E-2</v>
      </c>
      <c r="BA61" s="42">
        <f t="shared" ca="1" si="44"/>
        <v>-6.1371532712102602E-3</v>
      </c>
      <c r="BB61" s="42">
        <f t="shared" ca="1" si="45"/>
        <v>0.1168486754021348</v>
      </c>
      <c r="BC61" s="42">
        <f t="shared" ca="1" si="46"/>
        <v>-0.3144939042629431</v>
      </c>
      <c r="BD61" s="42">
        <f t="shared" ca="1" si="47"/>
        <v>-4654.4339883279581</v>
      </c>
      <c r="BE61" s="40"/>
      <c r="BF61" s="36">
        <f t="shared" si="119"/>
        <v>90</v>
      </c>
      <c r="BG61" s="35">
        <f t="shared" si="48"/>
        <v>0.28399999999999997</v>
      </c>
      <c r="BH61" s="197">
        <f t="shared" si="127"/>
        <v>169.23611111111677</v>
      </c>
      <c r="BI61" s="41">
        <f t="shared" si="49"/>
        <v>0.46366057838662128</v>
      </c>
      <c r="BJ61" s="40">
        <f t="shared" ca="1" si="358"/>
        <v>-0.31775952768905885</v>
      </c>
      <c r="BK61" s="40">
        <f t="shared" si="359"/>
        <v>2.5189751902588361E-2</v>
      </c>
      <c r="BL61" s="40">
        <f t="shared" si="360"/>
        <v>0.19338305926412305</v>
      </c>
      <c r="BM61" s="42">
        <f t="shared" ca="1" si="361"/>
        <v>-1.5129028204423944</v>
      </c>
      <c r="BN61" s="42">
        <f t="shared" ca="1" si="362"/>
        <v>-1.7062858797065175</v>
      </c>
      <c r="BO61" s="42">
        <f t="shared" ca="1" si="363"/>
        <v>6.5152172696513466E-2</v>
      </c>
      <c r="BP61" s="42">
        <f t="shared" ca="1" si="364"/>
        <v>0.93484782730348659</v>
      </c>
      <c r="BQ61" s="42">
        <f t="shared" ca="1" si="365"/>
        <v>4.397743289223726E-2</v>
      </c>
      <c r="BR61" s="42">
        <f t="shared" ca="1" si="366"/>
        <v>0.95602256710776279</v>
      </c>
      <c r="BS61" s="42">
        <f t="shared" si="367"/>
        <v>0.98162450344672281</v>
      </c>
      <c r="BT61" s="42">
        <f t="shared" si="368"/>
        <v>88.34620531020505</v>
      </c>
      <c r="BU61" s="42">
        <f t="shared" si="369"/>
        <v>0.98801719747153338</v>
      </c>
      <c r="BV61" s="42">
        <f t="shared" ca="1" si="370"/>
        <v>64.715126434385439</v>
      </c>
      <c r="BW61" s="42">
        <f t="shared" ca="1" si="371"/>
        <v>0.12702441012856766</v>
      </c>
      <c r="BX61" s="42">
        <f t="shared" ca="1" si="372"/>
        <v>0.33109177821642666</v>
      </c>
      <c r="BY61" s="42">
        <f t="shared" ca="1" si="65"/>
        <v>6.4371467076790589E-2</v>
      </c>
      <c r="BZ61" s="42">
        <f t="shared" ca="1" si="66"/>
        <v>9.908136122095618E-3</v>
      </c>
      <c r="CA61" s="42">
        <f t="shared" ca="1" si="67"/>
        <v>-4.8220902823585578E-3</v>
      </c>
      <c r="CB61" s="42">
        <f t="shared" ca="1" si="68"/>
        <v>5.5974867876028699E-2</v>
      </c>
      <c r="CC61" s="42">
        <f t="shared" ca="1" si="69"/>
        <v>1.8014323081086317E-2</v>
      </c>
      <c r="CD61" s="42">
        <f t="shared" ca="1" si="70"/>
        <v>3234.454110891787</v>
      </c>
      <c r="CE61" s="40"/>
      <c r="CF61" s="36">
        <f t="shared" si="120"/>
        <v>95</v>
      </c>
      <c r="CG61" s="35">
        <f t="shared" si="71"/>
        <v>0.28399999999999997</v>
      </c>
      <c r="CH61" s="197">
        <f t="shared" si="128"/>
        <v>169.23611111111677</v>
      </c>
      <c r="CI61" s="41">
        <f t="shared" si="72"/>
        <v>0.46366057838662128</v>
      </c>
      <c r="CJ61" s="40">
        <f t="shared" ca="1" si="373"/>
        <v>-0.37182674895933454</v>
      </c>
      <c r="CK61" s="40">
        <f t="shared" si="374"/>
        <v>2.5189751902588361E-2</v>
      </c>
      <c r="CL61" s="40">
        <f t="shared" si="375"/>
        <v>0.19338305926412305</v>
      </c>
      <c r="CM61" s="42">
        <f t="shared" ca="1" si="376"/>
        <v>-1.7924889510787421</v>
      </c>
      <c r="CN61" s="42">
        <f t="shared" ca="1" si="377"/>
        <v>-1.9858720103428651</v>
      </c>
      <c r="CO61" s="42">
        <f t="shared" ca="1" si="378"/>
        <v>3.6527338745059319E-2</v>
      </c>
      <c r="CP61" s="42">
        <f t="shared" ca="1" si="379"/>
        <v>0.96347266125494069</v>
      </c>
      <c r="CQ61" s="42">
        <f t="shared" ca="1" si="380"/>
        <v>2.3523768670359848E-2</v>
      </c>
      <c r="CR61" s="42">
        <f t="shared" ca="1" si="381"/>
        <v>0.97647623132964012</v>
      </c>
      <c r="CS61" s="42">
        <f t="shared" si="382"/>
        <v>0.98162450344672281</v>
      </c>
      <c r="CT61" s="42">
        <f t="shared" si="383"/>
        <v>93.254327827438672</v>
      </c>
      <c r="CU61" s="42">
        <f t="shared" si="384"/>
        <v>0.98801719747153338</v>
      </c>
      <c r="CV61" s="42">
        <f t="shared" ca="1" si="385"/>
        <v>64.715126434385439</v>
      </c>
      <c r="CW61" s="42">
        <f t="shared" ca="1" si="386"/>
        <v>8.0022546475262205E-2</v>
      </c>
      <c r="CX61" s="42">
        <f t="shared" ca="1" si="387"/>
        <v>0.17017810987557169</v>
      </c>
      <c r="CY61" s="42">
        <f t="shared" ca="1" si="88"/>
        <v>3.6089638857986862E-2</v>
      </c>
      <c r="CZ61" s="42">
        <f t="shared" ca="1" si="89"/>
        <v>6.2419048630976805E-3</v>
      </c>
      <c r="DA61" s="42">
        <f t="shared" ca="1" si="90"/>
        <v>-3.030805449318095E-3</v>
      </c>
      <c r="DB61" s="42">
        <f t="shared" ca="1" si="91"/>
        <v>3.5262918847822219E-2</v>
      </c>
      <c r="DC61" s="42">
        <f t="shared" ca="1" si="92"/>
        <v>1.0171290742924803E-2</v>
      </c>
      <c r="DD61" s="42">
        <f t="shared" ca="1" si="93"/>
        <v>-2489.9109450622145</v>
      </c>
      <c r="DE61" s="40"/>
      <c r="DF61" s="36">
        <f t="shared" si="121"/>
        <v>200</v>
      </c>
      <c r="DG61" s="35">
        <f t="shared" si="94"/>
        <v>0.28399999999999997</v>
      </c>
      <c r="DH61" s="197">
        <f t="shared" si="129"/>
        <v>169.23611111111677</v>
      </c>
      <c r="DI61" s="41">
        <f t="shared" si="95"/>
        <v>0.46366057838662128</v>
      </c>
      <c r="DJ61" s="40">
        <f t="shared" ca="1" si="388"/>
        <v>-1.1162672239068303</v>
      </c>
      <c r="DK61" s="40">
        <f t="shared" si="389"/>
        <v>2.5189751902588361E-2</v>
      </c>
      <c r="DL61" s="40">
        <f t="shared" si="390"/>
        <v>0.19338305926412305</v>
      </c>
      <c r="DM61" s="42">
        <f t="shared" ca="1" si="391"/>
        <v>-5.6420530120688897</v>
      </c>
      <c r="DN61" s="42">
        <f t="shared" ca="1" si="392"/>
        <v>-5.8354360713330129</v>
      </c>
      <c r="DO61" s="42">
        <f t="shared" ca="1" si="393"/>
        <v>8.4017170495351705E-9</v>
      </c>
      <c r="DP61" s="42">
        <f t="shared" ca="1" si="394"/>
        <v>0.9999999915982829</v>
      </c>
      <c r="DQ61" s="42">
        <f t="shared" ca="1" si="395"/>
        <v>2.6825032276945255E-9</v>
      </c>
      <c r="DR61" s="42">
        <f t="shared" ca="1" si="396"/>
        <v>0.99999999731749678</v>
      </c>
      <c r="DS61" s="42">
        <f t="shared" si="397"/>
        <v>0.98162450344672281</v>
      </c>
      <c r="DT61" s="42">
        <f t="shared" si="398"/>
        <v>196.32490068934456</v>
      </c>
      <c r="DU61" s="42">
        <f t="shared" si="399"/>
        <v>0.98801719747153338</v>
      </c>
      <c r="DV61" s="42">
        <f t="shared" ca="1" si="400"/>
        <v>64.715126434385439</v>
      </c>
      <c r="DW61" s="42">
        <f t="shared" ca="1" si="401"/>
        <v>4.8810536832165094E-8</v>
      </c>
      <c r="DX61" s="42">
        <f t="shared" si="402"/>
        <v>0</v>
      </c>
      <c r="DY61" s="92">
        <f t="shared" si="111"/>
        <v>0</v>
      </c>
      <c r="DZ61" s="42">
        <f t="shared" si="112"/>
        <v>0</v>
      </c>
      <c r="EA61" s="42">
        <f t="shared" si="113"/>
        <v>0</v>
      </c>
      <c r="EB61" s="42">
        <f t="shared" si="114"/>
        <v>0</v>
      </c>
      <c r="EC61" s="42">
        <f t="shared" si="115"/>
        <v>0</v>
      </c>
      <c r="ED61" s="42">
        <f t="shared" ca="1" si="116"/>
        <v>0</v>
      </c>
      <c r="EE61" s="40"/>
      <c r="EF61" s="120">
        <f t="shared" ca="1" si="130"/>
        <v>65.5</v>
      </c>
      <c r="EG61" s="42">
        <f t="shared" ca="1" si="403"/>
        <v>-250.77723249952487</v>
      </c>
      <c r="EH61" s="36">
        <f t="shared" ca="1" si="123"/>
        <v>-250.77723249952487</v>
      </c>
      <c r="EI61" s="36">
        <f t="shared" ca="1" si="124"/>
        <v>17.803999999999998</v>
      </c>
      <c r="EJ61" s="153">
        <f t="shared" ca="1" si="131"/>
        <v>1</v>
      </c>
      <c r="EK61" s="153" t="str">
        <f t="shared" ca="1" si="229"/>
        <v/>
      </c>
      <c r="EL61" s="153" t="str">
        <f t="shared" ca="1" si="132"/>
        <v/>
      </c>
      <c r="EM61" s="153">
        <f t="shared" ca="1" si="230"/>
        <v>0</v>
      </c>
      <c r="EN61" s="153">
        <f t="shared" ca="1" si="231"/>
        <v>0</v>
      </c>
    </row>
    <row r="62" spans="1:144" x14ac:dyDescent="0.3">
      <c r="A62" s="36">
        <f ca="1">IF($M$22=1,A61+'Auto X'!$E$6,A$48)</f>
        <v>66</v>
      </c>
      <c r="B62" s="35">
        <f>IF($M$22=2,B61+'Auto X'!$E$6,B$48)</f>
        <v>0.28399999999999997</v>
      </c>
      <c r="C62" s="39">
        <f>IF($M$22=3,C61+'Auto X'!$E$6,C$48)</f>
        <v>45295.440972222219</v>
      </c>
      <c r="D62" s="35">
        <f>IF($M$22=4,D61+'Auto X'!$E$6,D$48)</f>
        <v>2.5999999999999999E-2</v>
      </c>
      <c r="E62" s="35">
        <f>IF($M$22=5,E61+'Auto X'!$E$6,E$48)</f>
        <v>0.04</v>
      </c>
      <c r="F62" s="36">
        <f t="shared" si="117"/>
        <v>75</v>
      </c>
      <c r="G62" s="35">
        <f t="shared" si="7"/>
        <v>0.28399999999999997</v>
      </c>
      <c r="H62" s="197">
        <f t="shared" si="125"/>
        <v>169.23611111111677</v>
      </c>
      <c r="I62" s="41">
        <f t="shared" si="8"/>
        <v>0.46366057838662128</v>
      </c>
      <c r="J62" s="40">
        <f t="shared" ca="1" si="328"/>
        <v>-0.12783337150988489</v>
      </c>
      <c r="K62" s="40">
        <f t="shared" si="329"/>
        <v>2.5189751902588361E-2</v>
      </c>
      <c r="L62" s="40">
        <f t="shared" si="330"/>
        <v>0.19338305926412305</v>
      </c>
      <c r="M62" s="42">
        <f t="shared" ca="1" si="331"/>
        <v>-0.5307787558945668</v>
      </c>
      <c r="N62" s="42">
        <f t="shared" ca="1" si="332"/>
        <v>-0.72416181515868983</v>
      </c>
      <c r="O62" s="42">
        <f t="shared" ca="1" si="333"/>
        <v>0.29778605159674143</v>
      </c>
      <c r="P62" s="42">
        <f t="shared" ca="1" si="334"/>
        <v>0.70221394840325857</v>
      </c>
      <c r="Q62" s="42">
        <f t="shared" ca="1" si="335"/>
        <v>0.23448319910353616</v>
      </c>
      <c r="R62" s="42">
        <f t="shared" ca="1" si="336"/>
        <v>0.7655168008964639</v>
      </c>
      <c r="S62" s="42">
        <f t="shared" si="337"/>
        <v>0.98162450344672281</v>
      </c>
      <c r="T62" s="42">
        <f t="shared" si="338"/>
        <v>73.621837758504213</v>
      </c>
      <c r="U62" s="42">
        <f t="shared" si="339"/>
        <v>0.98801719747153338</v>
      </c>
      <c r="V62" s="42">
        <f t="shared" ca="1" si="340"/>
        <v>65.2091350331212</v>
      </c>
      <c r="W62" s="42">
        <f t="shared" ca="1" si="341"/>
        <v>0.34652456193153447</v>
      </c>
      <c r="X62" s="42">
        <f t="shared" ca="1" si="342"/>
        <v>10.567989533439345</v>
      </c>
      <c r="Y62" s="42">
        <f t="shared" ca="1" si="19"/>
        <v>-0.69379945732680748</v>
      </c>
      <c r="Z62" s="42">
        <f t="shared" ca="1" si="20"/>
        <v>2.6824779779249516E-2</v>
      </c>
      <c r="AA62" s="42">
        <f t="shared" ca="1" si="21"/>
        <v>-9.9958513309165199E-3</v>
      </c>
      <c r="AB62" s="42">
        <f t="shared" ca="1" si="22"/>
        <v>0.15386595936290076</v>
      </c>
      <c r="AC62" s="42">
        <f t="shared" ca="1" si="23"/>
        <v>-0.26131332345577368</v>
      </c>
      <c r="AD62" s="42">
        <f t="shared" ca="1" si="24"/>
        <v>3483.9947667196725</v>
      </c>
      <c r="AF62" s="36">
        <f t="shared" si="118"/>
        <v>80</v>
      </c>
      <c r="AG62" s="35">
        <f t="shared" si="25"/>
        <v>0.28399999999999997</v>
      </c>
      <c r="AH62" s="197">
        <f t="shared" si="126"/>
        <v>169.23611111111677</v>
      </c>
      <c r="AI62" s="41">
        <f t="shared" si="26"/>
        <v>0.46366057838662128</v>
      </c>
      <c r="AJ62" s="40">
        <f t="shared" ca="1" si="343"/>
        <v>-0.19237189264745613</v>
      </c>
      <c r="AK62" s="40">
        <f t="shared" si="344"/>
        <v>2.5189751902588361E-2</v>
      </c>
      <c r="AL62" s="40">
        <f t="shared" si="345"/>
        <v>0.19338305926412305</v>
      </c>
      <c r="AM62" s="42">
        <f t="shared" ca="1" si="346"/>
        <v>-0.86451285537131761</v>
      </c>
      <c r="AN62" s="42">
        <f t="shared" ca="1" si="347"/>
        <v>-1.0578959146354407</v>
      </c>
      <c r="AO62" s="42">
        <f t="shared" ca="1" si="348"/>
        <v>0.19365311073240352</v>
      </c>
      <c r="AP62" s="42">
        <f t="shared" ca="1" si="349"/>
        <v>0.80634688926759646</v>
      </c>
      <c r="AQ62" s="42">
        <f t="shared" ca="1" si="350"/>
        <v>0.14505144896712266</v>
      </c>
      <c r="AR62" s="42">
        <f t="shared" ca="1" si="351"/>
        <v>0.85494855103287737</v>
      </c>
      <c r="AS62" s="42">
        <f t="shared" si="352"/>
        <v>0.98162450344672281</v>
      </c>
      <c r="AT62" s="42">
        <f t="shared" si="353"/>
        <v>78.529960275737821</v>
      </c>
      <c r="AU62" s="42">
        <f t="shared" si="354"/>
        <v>0.98801719747153338</v>
      </c>
      <c r="AV62" s="42">
        <f t="shared" ca="1" si="355"/>
        <v>65.2091350331212</v>
      </c>
      <c r="AW62" s="42">
        <f t="shared" ca="1" si="356"/>
        <v>0.27454783477036071</v>
      </c>
      <c r="AX62" s="42">
        <f t="shared" ca="1" si="357"/>
        <v>14.557892564623536</v>
      </c>
      <c r="AY62" s="42">
        <f t="shared" ca="1" si="42"/>
        <v>-0.79668459372405953</v>
      </c>
      <c r="AZ62" s="42">
        <f t="shared" ca="1" si="43"/>
        <v>2.1252996224953909E-2</v>
      </c>
      <c r="BA62" s="42">
        <f t="shared" ca="1" si="44"/>
        <v>-6.6165353313981674E-3</v>
      </c>
      <c r="BB62" s="42">
        <f t="shared" ca="1" si="45"/>
        <v>0.12190641192209371</v>
      </c>
      <c r="BC62" s="42">
        <f t="shared" ca="1" si="46"/>
        <v>-0.31129742694778961</v>
      </c>
      <c r="BD62" s="42">
        <f t="shared" ca="1" si="47"/>
        <v>-4453.9462823117683</v>
      </c>
      <c r="BE62" s="40"/>
      <c r="BF62" s="36">
        <f t="shared" si="119"/>
        <v>90</v>
      </c>
      <c r="BG62" s="35">
        <f t="shared" si="48"/>
        <v>0.28399999999999997</v>
      </c>
      <c r="BH62" s="197">
        <f t="shared" si="127"/>
        <v>169.23611111111677</v>
      </c>
      <c r="BI62" s="41">
        <f t="shared" si="49"/>
        <v>0.46366057838662128</v>
      </c>
      <c r="BJ62" s="40">
        <f t="shared" ca="1" si="358"/>
        <v>-0.31015492830383962</v>
      </c>
      <c r="BK62" s="40">
        <f t="shared" si="359"/>
        <v>2.5189751902588361E-2</v>
      </c>
      <c r="BL62" s="40">
        <f t="shared" si="360"/>
        <v>0.19338305926412305</v>
      </c>
      <c r="BM62" s="42">
        <f t="shared" ca="1" si="361"/>
        <v>-1.4735787999508536</v>
      </c>
      <c r="BN62" s="42">
        <f t="shared" ca="1" si="362"/>
        <v>-1.6669618592149766</v>
      </c>
      <c r="BO62" s="42">
        <f t="shared" ca="1" si="363"/>
        <v>7.0297516427850232E-2</v>
      </c>
      <c r="BP62" s="42">
        <f t="shared" ca="1" si="364"/>
        <v>0.9297024835721498</v>
      </c>
      <c r="BQ62" s="42">
        <f t="shared" ca="1" si="365"/>
        <v>4.7760994585543233E-2</v>
      </c>
      <c r="BR62" s="42">
        <f t="shared" ca="1" si="366"/>
        <v>0.95223900541445672</v>
      </c>
      <c r="BS62" s="42">
        <f t="shared" si="367"/>
        <v>0.98162450344672281</v>
      </c>
      <c r="BT62" s="42">
        <f t="shared" si="368"/>
        <v>88.34620531020505</v>
      </c>
      <c r="BU62" s="42">
        <f t="shared" si="369"/>
        <v>0.98801719747153338</v>
      </c>
      <c r="BV62" s="42">
        <f t="shared" ca="1" si="370"/>
        <v>65.2091350331212</v>
      </c>
      <c r="BW62" s="42">
        <f t="shared" ca="1" si="371"/>
        <v>0.13470665737914661</v>
      </c>
      <c r="BX62" s="42">
        <f t="shared" ca="1" si="372"/>
        <v>0.36453760776274713</v>
      </c>
      <c r="BY62" s="42">
        <f t="shared" ca="1" si="65"/>
        <v>6.9455155170253663E-2</v>
      </c>
      <c r="BZ62" s="42">
        <f t="shared" ca="1" si="66"/>
        <v>1.0427764193259026E-2</v>
      </c>
      <c r="CA62" s="42">
        <f t="shared" ca="1" si="67"/>
        <v>-5.1545960216195369E-3</v>
      </c>
      <c r="CB62" s="42">
        <f t="shared" ca="1" si="68"/>
        <v>5.9813275441950094E-2</v>
      </c>
      <c r="CC62" s="42">
        <f t="shared" ca="1" si="69"/>
        <v>1.956417031540424E-2</v>
      </c>
      <c r="CD62" s="42">
        <f t="shared" ca="1" si="70"/>
        <v>3217.7311961186265</v>
      </c>
      <c r="CE62" s="40"/>
      <c r="CF62" s="36">
        <f t="shared" si="120"/>
        <v>95</v>
      </c>
      <c r="CG62" s="35">
        <f t="shared" si="71"/>
        <v>0.28399999999999997</v>
      </c>
      <c r="CH62" s="197">
        <f t="shared" si="128"/>
        <v>169.23611111111677</v>
      </c>
      <c r="CI62" s="41">
        <f t="shared" si="72"/>
        <v>0.46366057838662128</v>
      </c>
      <c r="CJ62" s="40">
        <f t="shared" ca="1" si="373"/>
        <v>-0.36422214957411519</v>
      </c>
      <c r="CK62" s="40">
        <f t="shared" si="374"/>
        <v>2.5189751902588361E-2</v>
      </c>
      <c r="CL62" s="40">
        <f t="shared" si="375"/>
        <v>0.19338305926412305</v>
      </c>
      <c r="CM62" s="42">
        <f t="shared" ca="1" si="376"/>
        <v>-1.7531649305872008</v>
      </c>
      <c r="CN62" s="42">
        <f t="shared" ca="1" si="377"/>
        <v>-1.9465479898513238</v>
      </c>
      <c r="CO62" s="42">
        <f t="shared" ca="1" si="378"/>
        <v>3.9786850392027812E-2</v>
      </c>
      <c r="CP62" s="42">
        <f t="shared" ca="1" si="379"/>
        <v>0.96021314960797222</v>
      </c>
      <c r="CQ62" s="42">
        <f t="shared" ca="1" si="380"/>
        <v>2.5794474596369299E-2</v>
      </c>
      <c r="CR62" s="42">
        <f t="shared" ca="1" si="381"/>
        <v>0.9742055254036307</v>
      </c>
      <c r="CS62" s="42">
        <f t="shared" si="382"/>
        <v>0.98162450344672281</v>
      </c>
      <c r="CT62" s="42">
        <f t="shared" si="383"/>
        <v>93.254327827438672</v>
      </c>
      <c r="CU62" s="42">
        <f t="shared" si="384"/>
        <v>0.98801719747153338</v>
      </c>
      <c r="CV62" s="42">
        <f t="shared" ca="1" si="385"/>
        <v>65.2091350331212</v>
      </c>
      <c r="CW62" s="42">
        <f t="shared" ca="1" si="386"/>
        <v>8.5800351983479017E-2</v>
      </c>
      <c r="CX62" s="42">
        <f t="shared" ca="1" si="387"/>
        <v>0.18901970960997128</v>
      </c>
      <c r="CY62" s="42">
        <f t="shared" ca="1" si="88"/>
        <v>3.9310092420550495E-2</v>
      </c>
      <c r="CZ62" s="42">
        <f t="shared" ca="1" si="89"/>
        <v>6.6418828556045013E-3</v>
      </c>
      <c r="DA62" s="42">
        <f t="shared" ca="1" si="90"/>
        <v>-3.2754331930316557E-3</v>
      </c>
      <c r="DB62" s="42">
        <f t="shared" ca="1" si="91"/>
        <v>3.8097598040455601E-2</v>
      </c>
      <c r="DC62" s="42">
        <f t="shared" ca="1" si="92"/>
        <v>1.1153106645332722E-2</v>
      </c>
      <c r="DD62" s="42">
        <f t="shared" ca="1" si="93"/>
        <v>-2480.490145195015</v>
      </c>
      <c r="DE62" s="40"/>
      <c r="DF62" s="36">
        <f t="shared" si="121"/>
        <v>200</v>
      </c>
      <c r="DG62" s="35">
        <f t="shared" si="94"/>
        <v>0.28399999999999997</v>
      </c>
      <c r="DH62" s="197">
        <f t="shared" si="129"/>
        <v>169.23611111111677</v>
      </c>
      <c r="DI62" s="41">
        <f t="shared" si="95"/>
        <v>0.46366057838662128</v>
      </c>
      <c r="DJ62" s="40">
        <f t="shared" ca="1" si="388"/>
        <v>-1.1086626245216111</v>
      </c>
      <c r="DK62" s="40">
        <f t="shared" si="389"/>
        <v>2.5189751902588361E-2</v>
      </c>
      <c r="DL62" s="40">
        <f t="shared" si="390"/>
        <v>0.19338305926412305</v>
      </c>
      <c r="DM62" s="42">
        <f t="shared" ca="1" si="391"/>
        <v>-5.602728991577349</v>
      </c>
      <c r="DN62" s="42">
        <f t="shared" ca="1" si="392"/>
        <v>-5.7961120508414723</v>
      </c>
      <c r="DO62" s="42">
        <f t="shared" ca="1" si="393"/>
        <v>1.0550149973778181E-8</v>
      </c>
      <c r="DP62" s="42">
        <f t="shared" ca="1" si="394"/>
        <v>0.99999998944985002</v>
      </c>
      <c r="DQ62" s="42">
        <f t="shared" ca="1" si="395"/>
        <v>3.3934963102717299E-9</v>
      </c>
      <c r="DR62" s="42">
        <f t="shared" ca="1" si="396"/>
        <v>0.99999999660650374</v>
      </c>
      <c r="DS62" s="42">
        <f t="shared" si="397"/>
        <v>0.98162450344672281</v>
      </c>
      <c r="DT62" s="42">
        <f t="shared" si="398"/>
        <v>196.32490068934456</v>
      </c>
      <c r="DU62" s="42">
        <f t="shared" si="399"/>
        <v>0.98801719747153338</v>
      </c>
      <c r="DV62" s="42">
        <f t="shared" ca="1" si="400"/>
        <v>65.2091350331212</v>
      </c>
      <c r="DW62" s="42">
        <f t="shared" ca="1" si="401"/>
        <v>6.088831151878207E-8</v>
      </c>
      <c r="DX62" s="42">
        <f t="shared" si="402"/>
        <v>0</v>
      </c>
      <c r="DY62" s="92">
        <f t="shared" si="111"/>
        <v>0</v>
      </c>
      <c r="DZ62" s="42">
        <f t="shared" si="112"/>
        <v>0</v>
      </c>
      <c r="EA62" s="42">
        <f t="shared" si="113"/>
        <v>0</v>
      </c>
      <c r="EB62" s="42">
        <f t="shared" si="114"/>
        <v>0</v>
      </c>
      <c r="EC62" s="42">
        <f t="shared" si="115"/>
        <v>0</v>
      </c>
      <c r="ED62" s="42">
        <f t="shared" ca="1" si="116"/>
        <v>0</v>
      </c>
      <c r="EE62" s="40"/>
      <c r="EF62" s="120">
        <f t="shared" ca="1" si="130"/>
        <v>66</v>
      </c>
      <c r="EG62" s="42">
        <f t="shared" ca="1" si="403"/>
        <v>-232.71046466848429</v>
      </c>
      <c r="EH62" s="36">
        <f t="shared" ca="1" si="123"/>
        <v>-232.71046466848429</v>
      </c>
      <c r="EI62" s="36">
        <f t="shared" ca="1" si="124"/>
        <v>18.067</v>
      </c>
      <c r="EJ62" s="153">
        <f t="shared" ca="1" si="131"/>
        <v>1</v>
      </c>
      <c r="EK62" s="153" t="str">
        <f t="shared" ca="1" si="229"/>
        <v/>
      </c>
      <c r="EL62" s="153" t="str">
        <f t="shared" ca="1" si="132"/>
        <v/>
      </c>
      <c r="EM62" s="153">
        <f t="shared" ca="1" si="230"/>
        <v>0</v>
      </c>
      <c r="EN62" s="153">
        <f t="shared" ca="1" si="231"/>
        <v>0</v>
      </c>
    </row>
    <row r="63" spans="1:144" x14ac:dyDescent="0.3">
      <c r="A63" s="36">
        <f ca="1">IF($M$22=1,A62+'Auto X'!$E$6,A$48)</f>
        <v>66.5</v>
      </c>
      <c r="B63" s="35">
        <f>IF($M$22=2,B62+'Auto X'!$E$6,B$48)</f>
        <v>0.28399999999999997</v>
      </c>
      <c r="C63" s="39">
        <f>IF($M$22=3,C62+'Auto X'!$E$6,C$48)</f>
        <v>45295.440972222219</v>
      </c>
      <c r="D63" s="35">
        <f>IF($M$22=4,D62+'Auto X'!$E$6,D$48)</f>
        <v>2.5999999999999999E-2</v>
      </c>
      <c r="E63" s="35">
        <f>IF($M$22=5,E62+'Auto X'!$E$6,E$48)</f>
        <v>0.04</v>
      </c>
      <c r="F63" s="36">
        <f t="shared" si="117"/>
        <v>75</v>
      </c>
      <c r="G63" s="35">
        <f t="shared" si="7"/>
        <v>0.28399999999999997</v>
      </c>
      <c r="H63" s="197">
        <f t="shared" si="125"/>
        <v>169.23611111111677</v>
      </c>
      <c r="I63" s="41">
        <f t="shared" si="8"/>
        <v>0.46366057838662128</v>
      </c>
      <c r="J63" s="40">
        <f t="shared" ca="1" si="328"/>
        <v>-0.12028616587450193</v>
      </c>
      <c r="K63" s="40">
        <f t="shared" si="329"/>
        <v>2.5189751902588361E-2</v>
      </c>
      <c r="L63" s="40">
        <f t="shared" si="330"/>
        <v>0.19338305926412305</v>
      </c>
      <c r="M63" s="42">
        <f t="shared" ca="1" si="331"/>
        <v>-0.49175152329155503</v>
      </c>
      <c r="N63" s="42">
        <f t="shared" ca="1" si="332"/>
        <v>-0.68513458255567805</v>
      </c>
      <c r="O63" s="42">
        <f t="shared" ca="1" si="333"/>
        <v>0.3114475049824218</v>
      </c>
      <c r="P63" s="42">
        <f t="shared" ca="1" si="334"/>
        <v>0.6885524950175782</v>
      </c>
      <c r="Q63" s="42">
        <f t="shared" ca="1" si="335"/>
        <v>0.24662949971267384</v>
      </c>
      <c r="R63" s="42">
        <f t="shared" ca="1" si="336"/>
        <v>0.75337050028732611</v>
      </c>
      <c r="S63" s="42">
        <f t="shared" si="337"/>
        <v>0.98162450344672281</v>
      </c>
      <c r="T63" s="42">
        <f t="shared" si="338"/>
        <v>73.621837758504213</v>
      </c>
      <c r="U63" s="42">
        <f t="shared" si="339"/>
        <v>0.98801719747153338</v>
      </c>
      <c r="V63" s="42">
        <f t="shared" ca="1" si="340"/>
        <v>65.703143631856975</v>
      </c>
      <c r="W63" s="42">
        <f t="shared" ca="1" si="341"/>
        <v>0.35350830031670355</v>
      </c>
      <c r="X63" s="42">
        <f t="shared" ca="1" si="342"/>
        <v>10.224457265983254</v>
      </c>
      <c r="Y63" s="42">
        <f t="shared" ca="1" si="19"/>
        <v>-0.68030170643929955</v>
      </c>
      <c r="Z63" s="42">
        <f t="shared" ca="1" si="20"/>
        <v>2.715964241780983E-2</v>
      </c>
      <c r="AA63" s="42">
        <f t="shared" ca="1" si="21"/>
        <v>-1.041458897249263E-2</v>
      </c>
      <c r="AB63" s="42">
        <f t="shared" ca="1" si="22"/>
        <v>0.15815606502046201</v>
      </c>
      <c r="AC63" s="42">
        <f t="shared" ca="1" si="23"/>
        <v>-0.25716711768190981</v>
      </c>
      <c r="AD63" s="42">
        <f t="shared" ca="1" si="24"/>
        <v>3312.2286329916274</v>
      </c>
      <c r="AF63" s="36">
        <f t="shared" si="118"/>
        <v>80</v>
      </c>
      <c r="AG63" s="35">
        <f t="shared" si="25"/>
        <v>0.28399999999999997</v>
      </c>
      <c r="AH63" s="197">
        <f t="shared" si="126"/>
        <v>169.23611111111677</v>
      </c>
      <c r="AI63" s="41">
        <f t="shared" si="26"/>
        <v>0.46366057838662128</v>
      </c>
      <c r="AJ63" s="40">
        <f t="shared" ca="1" si="343"/>
        <v>-0.18482468701207311</v>
      </c>
      <c r="AK63" s="40">
        <f t="shared" si="344"/>
        <v>2.5189751902588361E-2</v>
      </c>
      <c r="AL63" s="40">
        <f t="shared" si="345"/>
        <v>0.19338305926412305</v>
      </c>
      <c r="AM63" s="42">
        <f t="shared" ca="1" si="346"/>
        <v>-0.82548562276830539</v>
      </c>
      <c r="AN63" s="42">
        <f t="shared" ca="1" si="347"/>
        <v>-1.0188686820324284</v>
      </c>
      <c r="AO63" s="42">
        <f t="shared" ca="1" si="348"/>
        <v>0.20454797090187093</v>
      </c>
      <c r="AP63" s="42">
        <f t="shared" ca="1" si="349"/>
        <v>0.79545202909812907</v>
      </c>
      <c r="AQ63" s="42">
        <f t="shared" ca="1" si="350"/>
        <v>0.15413265679828667</v>
      </c>
      <c r="AR63" s="42">
        <f t="shared" ca="1" si="351"/>
        <v>0.84586734320171331</v>
      </c>
      <c r="AS63" s="42">
        <f t="shared" si="352"/>
        <v>0.98162450344672281</v>
      </c>
      <c r="AT63" s="42">
        <f t="shared" si="353"/>
        <v>78.529960275737821</v>
      </c>
      <c r="AU63" s="42">
        <f t="shared" si="354"/>
        <v>0.98801719747153338</v>
      </c>
      <c r="AV63" s="42">
        <f t="shared" ca="1" si="355"/>
        <v>65.703143631856975</v>
      </c>
      <c r="AW63" s="42">
        <f t="shared" ca="1" si="356"/>
        <v>0.28375281489433823</v>
      </c>
      <c r="AX63" s="42">
        <f t="shared" ca="1" si="357"/>
        <v>14.16222994008799</v>
      </c>
      <c r="AY63" s="42">
        <f t="shared" ca="1" si="42"/>
        <v>-0.78592028451257812</v>
      </c>
      <c r="AZ63" s="42">
        <f t="shared" ca="1" si="43"/>
        <v>2.1800407460512084E-2</v>
      </c>
      <c r="BA63" s="42">
        <f t="shared" ca="1" si="44"/>
        <v>-7.0951083304819414E-3</v>
      </c>
      <c r="BB63" s="42">
        <f t="shared" ca="1" si="45"/>
        <v>0.1269481610529743</v>
      </c>
      <c r="BC63" s="42">
        <f t="shared" ca="1" si="46"/>
        <v>-0.30799084595177034</v>
      </c>
      <c r="BD63" s="42">
        <f t="shared" ca="1" si="47"/>
        <v>-4256.1149700439946</v>
      </c>
      <c r="BE63" s="40"/>
      <c r="BF63" s="36">
        <f t="shared" si="119"/>
        <v>90</v>
      </c>
      <c r="BG63" s="35">
        <f t="shared" si="48"/>
        <v>0.28399999999999997</v>
      </c>
      <c r="BH63" s="197">
        <f t="shared" si="127"/>
        <v>169.23611111111677</v>
      </c>
      <c r="BI63" s="41">
        <f t="shared" si="49"/>
        <v>0.46366057838662128</v>
      </c>
      <c r="BJ63" s="40">
        <f t="shared" ca="1" si="358"/>
        <v>-0.30260772266845654</v>
      </c>
      <c r="BK63" s="40">
        <f t="shared" si="359"/>
        <v>2.5189751902588361E-2</v>
      </c>
      <c r="BL63" s="40">
        <f t="shared" si="360"/>
        <v>0.19338305926412305</v>
      </c>
      <c r="BM63" s="42">
        <f t="shared" ca="1" si="361"/>
        <v>-1.4345515673478411</v>
      </c>
      <c r="BN63" s="42">
        <f t="shared" ca="1" si="362"/>
        <v>-1.6279346266119641</v>
      </c>
      <c r="BO63" s="42">
        <f t="shared" ca="1" si="363"/>
        <v>7.570746220953492E-2</v>
      </c>
      <c r="BP63" s="42">
        <f t="shared" ca="1" si="364"/>
        <v>0.92429253779046505</v>
      </c>
      <c r="BQ63" s="42">
        <f t="shared" ca="1" si="365"/>
        <v>5.1769374119718645E-2</v>
      </c>
      <c r="BR63" s="42">
        <f t="shared" ca="1" si="366"/>
        <v>0.9482306258802814</v>
      </c>
      <c r="BS63" s="42">
        <f t="shared" si="367"/>
        <v>0.98162450344672281</v>
      </c>
      <c r="BT63" s="42">
        <f t="shared" si="368"/>
        <v>88.34620531020505</v>
      </c>
      <c r="BU63" s="42">
        <f t="shared" si="369"/>
        <v>0.98801719747153338</v>
      </c>
      <c r="BV63" s="42">
        <f t="shared" ca="1" si="370"/>
        <v>65.703143631856975</v>
      </c>
      <c r="BW63" s="42">
        <f t="shared" ca="1" si="371"/>
        <v>0.14257207282910958</v>
      </c>
      <c r="BX63" s="42">
        <f t="shared" ca="1" si="372"/>
        <v>0.40059050879497793</v>
      </c>
      <c r="BY63" s="42">
        <f t="shared" ca="1" si="65"/>
        <v>7.4800274639946721E-2</v>
      </c>
      <c r="BZ63" s="42">
        <f t="shared" ca="1" si="66"/>
        <v>1.0953650913813047E-2</v>
      </c>
      <c r="CA63" s="42">
        <f t="shared" ca="1" si="67"/>
        <v>-5.4988903951385341E-3</v>
      </c>
      <c r="CB63" s="42">
        <f t="shared" ca="1" si="68"/>
        <v>6.3785314235229179E-2</v>
      </c>
      <c r="CC63" s="42">
        <f t="shared" ca="1" si="69"/>
        <v>2.1206108900978113E-2</v>
      </c>
      <c r="CD63" s="42">
        <f t="shared" ca="1" si="70"/>
        <v>3199.7047456025111</v>
      </c>
      <c r="CE63" s="40"/>
      <c r="CF63" s="36">
        <f t="shared" si="120"/>
        <v>95</v>
      </c>
      <c r="CG63" s="35">
        <f t="shared" si="71"/>
        <v>0.28399999999999997</v>
      </c>
      <c r="CH63" s="197">
        <f t="shared" si="128"/>
        <v>169.23611111111677</v>
      </c>
      <c r="CI63" s="41">
        <f t="shared" si="72"/>
        <v>0.46366057838662128</v>
      </c>
      <c r="CJ63" s="40">
        <f t="shared" ca="1" si="373"/>
        <v>-0.35667494393873245</v>
      </c>
      <c r="CK63" s="40">
        <f t="shared" si="374"/>
        <v>2.5189751902588361E-2</v>
      </c>
      <c r="CL63" s="40">
        <f t="shared" si="375"/>
        <v>0.19338305926412305</v>
      </c>
      <c r="CM63" s="42">
        <f t="shared" ca="1" si="376"/>
        <v>-1.71413769798419</v>
      </c>
      <c r="CN63" s="42">
        <f t="shared" ca="1" si="377"/>
        <v>-1.907520757248313</v>
      </c>
      <c r="CO63" s="42">
        <f t="shared" ca="1" si="378"/>
        <v>4.3251719876476913E-2</v>
      </c>
      <c r="CP63" s="42">
        <f t="shared" ca="1" si="379"/>
        <v>0.95674828012352309</v>
      </c>
      <c r="CQ63" s="42">
        <f t="shared" ca="1" si="380"/>
        <v>2.8226592850372042E-2</v>
      </c>
      <c r="CR63" s="42">
        <f t="shared" ca="1" si="381"/>
        <v>0.97177340714962801</v>
      </c>
      <c r="CS63" s="42">
        <f t="shared" si="382"/>
        <v>0.98162450344672281</v>
      </c>
      <c r="CT63" s="42">
        <f t="shared" si="383"/>
        <v>93.254327827438672</v>
      </c>
      <c r="CU63" s="42">
        <f t="shared" si="384"/>
        <v>0.98801719747153338</v>
      </c>
      <c r="CV63" s="42">
        <f t="shared" ca="1" si="385"/>
        <v>65.703143631856975</v>
      </c>
      <c r="CW63" s="42">
        <f t="shared" ca="1" si="386"/>
        <v>9.1806465180754235E-2</v>
      </c>
      <c r="CX63" s="42">
        <f t="shared" ca="1" si="387"/>
        <v>0.20952202024877487</v>
      </c>
      <c r="CY63" s="42">
        <f t="shared" ca="1" si="88"/>
        <v>4.2733443058180533E-2</v>
      </c>
      <c r="CZ63" s="42">
        <f t="shared" ca="1" si="89"/>
        <v>7.0533867626829732E-3</v>
      </c>
      <c r="DA63" s="42">
        <f t="shared" ca="1" si="90"/>
        <v>-3.5323519521115181E-3</v>
      </c>
      <c r="DB63" s="42">
        <f t="shared" ca="1" si="91"/>
        <v>4.1073290962102139E-2</v>
      </c>
      <c r="DC63" s="42">
        <f t="shared" ca="1" si="92"/>
        <v>1.220471458406434E-2</v>
      </c>
      <c r="DD63" s="42">
        <f t="shared" ca="1" si="93"/>
        <v>-2470.2389898756128</v>
      </c>
      <c r="DE63" s="40"/>
      <c r="DF63" s="36">
        <f t="shared" si="121"/>
        <v>200</v>
      </c>
      <c r="DG63" s="35">
        <f t="shared" si="94"/>
        <v>0.28399999999999997</v>
      </c>
      <c r="DH63" s="197">
        <f t="shared" si="129"/>
        <v>169.23611111111677</v>
      </c>
      <c r="DI63" s="41">
        <f t="shared" si="95"/>
        <v>0.46366057838662128</v>
      </c>
      <c r="DJ63" s="40">
        <f t="shared" ca="1" si="388"/>
        <v>-1.1011154188862282</v>
      </c>
      <c r="DK63" s="40">
        <f t="shared" si="389"/>
        <v>2.5189751902588361E-2</v>
      </c>
      <c r="DL63" s="40">
        <f t="shared" si="390"/>
        <v>0.19338305926412305</v>
      </c>
      <c r="DM63" s="42">
        <f t="shared" ca="1" si="391"/>
        <v>-5.5637017589743367</v>
      </c>
      <c r="DN63" s="42">
        <f t="shared" ca="1" si="392"/>
        <v>-5.75708481823846</v>
      </c>
      <c r="DO63" s="42">
        <f t="shared" ca="1" si="393"/>
        <v>1.3205558983222958E-8</v>
      </c>
      <c r="DP63" s="42">
        <f t="shared" ca="1" si="394"/>
        <v>0.99999998679444102</v>
      </c>
      <c r="DQ63" s="42">
        <f t="shared" ca="1" si="395"/>
        <v>4.2789458725477969E-9</v>
      </c>
      <c r="DR63" s="42">
        <f t="shared" ca="1" si="396"/>
        <v>0.99999999572105414</v>
      </c>
      <c r="DS63" s="42">
        <f t="shared" si="397"/>
        <v>0.98162450344672281</v>
      </c>
      <c r="DT63" s="42">
        <f t="shared" si="398"/>
        <v>196.32490068934456</v>
      </c>
      <c r="DU63" s="42">
        <f t="shared" si="399"/>
        <v>0.98801719747153338</v>
      </c>
      <c r="DV63" s="42">
        <f t="shared" ca="1" si="400"/>
        <v>65.703143631856975</v>
      </c>
      <c r="DW63" s="42">
        <f t="shared" ca="1" si="401"/>
        <v>7.5712151725391315E-8</v>
      </c>
      <c r="DX63" s="42">
        <f t="shared" si="402"/>
        <v>0</v>
      </c>
      <c r="DY63" s="92">
        <f t="shared" si="111"/>
        <v>0</v>
      </c>
      <c r="DZ63" s="42">
        <f t="shared" si="112"/>
        <v>0</v>
      </c>
      <c r="EA63" s="42">
        <f t="shared" si="113"/>
        <v>0</v>
      </c>
      <c r="EB63" s="42">
        <f t="shared" si="114"/>
        <v>0</v>
      </c>
      <c r="EC63" s="42">
        <f t="shared" si="115"/>
        <v>0</v>
      </c>
      <c r="ED63" s="42">
        <f t="shared" ca="1" si="116"/>
        <v>0</v>
      </c>
      <c r="EE63" s="40"/>
      <c r="EF63" s="120">
        <f t="shared" ca="1" si="130"/>
        <v>66.5</v>
      </c>
      <c r="EG63" s="42">
        <f t="shared" ca="1" si="403"/>
        <v>-214.4205813254689</v>
      </c>
      <c r="EH63" s="36">
        <f t="shared" ca="1" si="123"/>
        <v>-214.4205813254689</v>
      </c>
      <c r="EI63" s="36">
        <f t="shared" ca="1" si="124"/>
        <v>18.29</v>
      </c>
      <c r="EJ63" s="153">
        <f t="shared" ca="1" si="131"/>
        <v>1</v>
      </c>
      <c r="EK63" s="153" t="str">
        <f t="shared" ca="1" si="229"/>
        <v/>
      </c>
      <c r="EL63" s="153" t="str">
        <f t="shared" ca="1" si="132"/>
        <v/>
      </c>
      <c r="EM63" s="153">
        <f t="shared" ca="1" si="230"/>
        <v>0</v>
      </c>
      <c r="EN63" s="153">
        <f t="shared" ca="1" si="231"/>
        <v>0</v>
      </c>
    </row>
    <row r="64" spans="1:144" x14ac:dyDescent="0.3">
      <c r="A64" s="36">
        <f ca="1">IF($M$22=1,A63+'Auto X'!$E$6,A$48)</f>
        <v>67</v>
      </c>
      <c r="B64" s="35">
        <f>IF($M$22=2,B63+'Auto X'!$E$6,B$48)</f>
        <v>0.28399999999999997</v>
      </c>
      <c r="C64" s="39">
        <f>IF($M$22=3,C63+'Auto X'!$E$6,C$48)</f>
        <v>45295.440972222219</v>
      </c>
      <c r="D64" s="35">
        <f>IF($M$22=4,D63+'Auto X'!$E$6,D$48)</f>
        <v>2.5999999999999999E-2</v>
      </c>
      <c r="E64" s="35">
        <f>IF($M$22=5,E63+'Auto X'!$E$6,E$48)</f>
        <v>0.04</v>
      </c>
      <c r="F64" s="36">
        <f t="shared" si="117"/>
        <v>75</v>
      </c>
      <c r="G64" s="35">
        <f t="shared" si="7"/>
        <v>0.28399999999999997</v>
      </c>
      <c r="H64" s="197">
        <f t="shared" si="125"/>
        <v>169.23611111111677</v>
      </c>
      <c r="I64" s="41">
        <f t="shared" si="8"/>
        <v>0.46366057838662128</v>
      </c>
      <c r="J64" s="40">
        <f t="shared" ca="1" si="328"/>
        <v>-0.1127954941453444</v>
      </c>
      <c r="K64" s="40">
        <f t="shared" si="329"/>
        <v>2.5189751902588361E-2</v>
      </c>
      <c r="L64" s="40">
        <f t="shared" si="330"/>
        <v>0.19338305926412305</v>
      </c>
      <c r="M64" s="42">
        <f t="shared" ca="1" si="331"/>
        <v>-0.45301663225372757</v>
      </c>
      <c r="N64" s="42">
        <f t="shared" ca="1" si="332"/>
        <v>-0.64639969151785059</v>
      </c>
      <c r="O64" s="42">
        <f t="shared" ca="1" si="333"/>
        <v>0.32526838252317902</v>
      </c>
      <c r="P64" s="42">
        <f t="shared" ca="1" si="334"/>
        <v>0.67473161747682098</v>
      </c>
      <c r="Q64" s="42">
        <f t="shared" ca="1" si="335"/>
        <v>0.25901027007009025</v>
      </c>
      <c r="R64" s="42">
        <f t="shared" ca="1" si="336"/>
        <v>0.74098972992990975</v>
      </c>
      <c r="S64" s="42">
        <f t="shared" si="337"/>
        <v>0.98162450344672281</v>
      </c>
      <c r="T64" s="42">
        <f t="shared" si="338"/>
        <v>73.621837758504213</v>
      </c>
      <c r="U64" s="42">
        <f t="shared" si="339"/>
        <v>0.98801719747153338</v>
      </c>
      <c r="V64" s="42">
        <f t="shared" ca="1" si="340"/>
        <v>66.197152230592735</v>
      </c>
      <c r="W64" s="42">
        <f t="shared" ca="1" si="341"/>
        <v>0.36003624654471594</v>
      </c>
      <c r="X64" s="42">
        <f t="shared" ca="1" si="342"/>
        <v>9.887714080710488</v>
      </c>
      <c r="Y64" s="42">
        <f t="shared" ca="1" si="19"/>
        <v>-0.66664644174488341</v>
      </c>
      <c r="Z64" s="42">
        <f t="shared" ca="1" si="20"/>
        <v>2.7454750439546562E-2</v>
      </c>
      <c r="AA64" s="42">
        <f t="shared" ca="1" si="21"/>
        <v>-1.0820208817120671E-2</v>
      </c>
      <c r="AB64" s="42">
        <f t="shared" ca="1" si="22"/>
        <v>0.16228770491034081</v>
      </c>
      <c r="AC64" s="42">
        <f t="shared" ca="1" si="23"/>
        <v>-0.25294087438424406</v>
      </c>
      <c r="AD64" s="42">
        <f t="shared" ca="1" si="24"/>
        <v>3143.857040355244</v>
      </c>
      <c r="AF64" s="36">
        <f t="shared" si="118"/>
        <v>80</v>
      </c>
      <c r="AG64" s="35">
        <f t="shared" si="25"/>
        <v>0.28399999999999997</v>
      </c>
      <c r="AH64" s="197">
        <f t="shared" si="126"/>
        <v>169.23611111111677</v>
      </c>
      <c r="AI64" s="41">
        <f t="shared" si="26"/>
        <v>0.46366057838662128</v>
      </c>
      <c r="AJ64" s="40">
        <f t="shared" ca="1" si="343"/>
        <v>-0.17733401528291554</v>
      </c>
      <c r="AK64" s="40">
        <f t="shared" si="344"/>
        <v>2.5189751902588361E-2</v>
      </c>
      <c r="AL64" s="40">
        <f t="shared" si="345"/>
        <v>0.19338305926412305</v>
      </c>
      <c r="AM64" s="42">
        <f t="shared" ca="1" si="346"/>
        <v>-0.78675073173047783</v>
      </c>
      <c r="AN64" s="42">
        <f t="shared" ca="1" si="347"/>
        <v>-0.98013379099460085</v>
      </c>
      <c r="AO64" s="42">
        <f t="shared" ca="1" si="348"/>
        <v>0.21571389989490786</v>
      </c>
      <c r="AP64" s="42">
        <f t="shared" ca="1" si="349"/>
        <v>0.78428610010509214</v>
      </c>
      <c r="AQ64" s="42">
        <f t="shared" ca="1" si="350"/>
        <v>0.16351004060524607</v>
      </c>
      <c r="AR64" s="42">
        <f t="shared" ca="1" si="351"/>
        <v>0.8364899593947539</v>
      </c>
      <c r="AS64" s="42">
        <f t="shared" si="352"/>
        <v>0.98162450344672281</v>
      </c>
      <c r="AT64" s="42">
        <f t="shared" si="353"/>
        <v>78.529960275737821</v>
      </c>
      <c r="AU64" s="42">
        <f t="shared" si="354"/>
        <v>0.98801719747153338</v>
      </c>
      <c r="AV64" s="42">
        <f t="shared" ca="1" si="355"/>
        <v>66.197152230592735</v>
      </c>
      <c r="AW64" s="42">
        <f t="shared" ca="1" si="356"/>
        <v>0.29275274786990818</v>
      </c>
      <c r="AX64" s="42">
        <f t="shared" ca="1" si="357"/>
        <v>13.772016921328884</v>
      </c>
      <c r="AY64" s="42">
        <f t="shared" ca="1" si="42"/>
        <v>-0.77488815464171157</v>
      </c>
      <c r="AZ64" s="42">
        <f t="shared" ca="1" si="43"/>
        <v>2.2324012402627876E-2</v>
      </c>
      <c r="BA64" s="42">
        <f t="shared" ca="1" si="44"/>
        <v>-7.5716262969268743E-3</v>
      </c>
      <c r="BB64" s="42">
        <f t="shared" ca="1" si="45"/>
        <v>0.13195941245905188</v>
      </c>
      <c r="BC64" s="42">
        <f t="shared" ca="1" si="46"/>
        <v>-0.30457642359023573</v>
      </c>
      <c r="BD64" s="42">
        <f t="shared" ca="1" si="47"/>
        <v>-4061.0084606644418</v>
      </c>
      <c r="BE64" s="40"/>
      <c r="BF64" s="36">
        <f t="shared" si="119"/>
        <v>90</v>
      </c>
      <c r="BG64" s="35">
        <f t="shared" si="48"/>
        <v>0.28399999999999997</v>
      </c>
      <c r="BH64" s="197">
        <f t="shared" si="127"/>
        <v>169.23611111111677</v>
      </c>
      <c r="BI64" s="41">
        <f t="shared" si="49"/>
        <v>0.46366057838662128</v>
      </c>
      <c r="BJ64" s="40">
        <f t="shared" ca="1" si="358"/>
        <v>-0.29511705093929896</v>
      </c>
      <c r="BK64" s="40">
        <f t="shared" si="359"/>
        <v>2.5189751902588361E-2</v>
      </c>
      <c r="BL64" s="40">
        <f t="shared" si="360"/>
        <v>0.19338305926412305</v>
      </c>
      <c r="BM64" s="42">
        <f t="shared" ca="1" si="361"/>
        <v>-1.3958166763100135</v>
      </c>
      <c r="BN64" s="42">
        <f t="shared" ca="1" si="362"/>
        <v>-1.5891997355741365</v>
      </c>
      <c r="BO64" s="42">
        <f t="shared" ca="1" si="363"/>
        <v>8.1384853620951825E-2</v>
      </c>
      <c r="BP64" s="42">
        <f t="shared" ca="1" si="364"/>
        <v>0.91861514637904818</v>
      </c>
      <c r="BQ64" s="42">
        <f t="shared" ca="1" si="365"/>
        <v>5.6007653083161316E-2</v>
      </c>
      <c r="BR64" s="42">
        <f t="shared" ca="1" si="366"/>
        <v>0.94399234691683864</v>
      </c>
      <c r="BS64" s="42">
        <f t="shared" si="367"/>
        <v>0.98162450344672281</v>
      </c>
      <c r="BT64" s="42">
        <f t="shared" si="368"/>
        <v>88.34620531020505</v>
      </c>
      <c r="BU64" s="42">
        <f t="shared" si="369"/>
        <v>0.98801719747153338</v>
      </c>
      <c r="BV64" s="42">
        <f t="shared" ca="1" si="370"/>
        <v>66.197152230592735</v>
      </c>
      <c r="BW64" s="42">
        <f t="shared" ca="1" si="371"/>
        <v>0.15060562252690674</v>
      </c>
      <c r="BX64" s="42">
        <f t="shared" ca="1" si="372"/>
        <v>0.43938192618294547</v>
      </c>
      <c r="BY64" s="42">
        <f t="shared" ca="1" si="65"/>
        <v>8.0409634991203793E-2</v>
      </c>
      <c r="BZ64" s="42">
        <f t="shared" ca="1" si="66"/>
        <v>1.1484509742980103E-2</v>
      </c>
      <c r="CA64" s="42">
        <f t="shared" ca="1" si="67"/>
        <v>-5.8545677542285613E-3</v>
      </c>
      <c r="CB64" s="42">
        <f t="shared" ca="1" si="68"/>
        <v>6.7886056087547927E-2</v>
      </c>
      <c r="CC64" s="42">
        <f t="shared" ca="1" si="69"/>
        <v>2.2942220391212572E-2</v>
      </c>
      <c r="CD64" s="42">
        <f t="shared" ca="1" si="70"/>
        <v>3180.3090369085271</v>
      </c>
      <c r="CE64" s="40"/>
      <c r="CF64" s="36">
        <f t="shared" si="120"/>
        <v>95</v>
      </c>
      <c r="CG64" s="35">
        <f t="shared" si="71"/>
        <v>0.28399999999999997</v>
      </c>
      <c r="CH64" s="197">
        <f t="shared" si="128"/>
        <v>169.23611111111677</v>
      </c>
      <c r="CI64" s="41">
        <f t="shared" si="72"/>
        <v>0.46366057838662128</v>
      </c>
      <c r="CJ64" s="40">
        <f t="shared" ca="1" si="373"/>
        <v>-0.34918427220957482</v>
      </c>
      <c r="CK64" s="40">
        <f t="shared" si="374"/>
        <v>2.5189751902588361E-2</v>
      </c>
      <c r="CL64" s="40">
        <f t="shared" si="375"/>
        <v>0.19338305926412305</v>
      </c>
      <c r="CM64" s="42">
        <f t="shared" ca="1" si="376"/>
        <v>-1.675402806946362</v>
      </c>
      <c r="CN64" s="42">
        <f t="shared" ca="1" si="377"/>
        <v>-1.868785866210485</v>
      </c>
      <c r="CO64" s="42">
        <f t="shared" ca="1" si="378"/>
        <v>4.6927613131149092E-2</v>
      </c>
      <c r="CP64" s="42">
        <f t="shared" ca="1" si="379"/>
        <v>0.95307238686885087</v>
      </c>
      <c r="CQ64" s="42">
        <f t="shared" ca="1" si="380"/>
        <v>3.0826306010991778E-2</v>
      </c>
      <c r="CR64" s="42">
        <f t="shared" ca="1" si="381"/>
        <v>0.96917369398900821</v>
      </c>
      <c r="CS64" s="42">
        <f t="shared" si="382"/>
        <v>0.98162450344672281</v>
      </c>
      <c r="CT64" s="42">
        <f t="shared" si="383"/>
        <v>93.254327827438672</v>
      </c>
      <c r="CU64" s="42">
        <f t="shared" si="384"/>
        <v>0.98801719747153338</v>
      </c>
      <c r="CV64" s="42">
        <f t="shared" ca="1" si="385"/>
        <v>66.197152230592735</v>
      </c>
      <c r="CW64" s="42">
        <f t="shared" ca="1" si="386"/>
        <v>9.8035480887187207E-2</v>
      </c>
      <c r="CX64" s="42">
        <f t="shared" ca="1" si="387"/>
        <v>0.23178790380306813</v>
      </c>
      <c r="CY64" s="42">
        <f t="shared" ca="1" si="88"/>
        <v>4.6365288809866255E-2</v>
      </c>
      <c r="CZ64" s="42">
        <f t="shared" ca="1" si="89"/>
        <v>7.4757463666769355E-3</v>
      </c>
      <c r="DA64" s="42">
        <f t="shared" ca="1" si="90"/>
        <v>-3.8015654013599082E-3</v>
      </c>
      <c r="DB64" s="42">
        <f t="shared" ca="1" si="91"/>
        <v>4.41898651751087E-2</v>
      </c>
      <c r="DC64" s="42">
        <f t="shared" ca="1" si="92"/>
        <v>1.3328787804448834E-2</v>
      </c>
      <c r="DD64" s="42">
        <f t="shared" ca="1" si="93"/>
        <v>-2459.1060480984661</v>
      </c>
      <c r="DE64" s="40"/>
      <c r="DF64" s="36">
        <f t="shared" si="121"/>
        <v>200</v>
      </c>
      <c r="DG64" s="35">
        <f t="shared" si="94"/>
        <v>0.28399999999999997</v>
      </c>
      <c r="DH64" s="197">
        <f t="shared" si="129"/>
        <v>169.23611111111677</v>
      </c>
      <c r="DI64" s="41">
        <f t="shared" si="95"/>
        <v>0.46366057838662128</v>
      </c>
      <c r="DJ64" s="40">
        <f t="shared" ca="1" si="388"/>
        <v>-1.0936247471570706</v>
      </c>
      <c r="DK64" s="40">
        <f t="shared" si="389"/>
        <v>2.5189751902588361E-2</v>
      </c>
      <c r="DL64" s="40">
        <f t="shared" si="390"/>
        <v>0.19338305926412305</v>
      </c>
      <c r="DM64" s="42">
        <f t="shared" ca="1" si="391"/>
        <v>-5.5249668679365094</v>
      </c>
      <c r="DN64" s="42">
        <f t="shared" ca="1" si="392"/>
        <v>-5.7183499272006326</v>
      </c>
      <c r="DO64" s="42">
        <f t="shared" ca="1" si="393"/>
        <v>1.6477389720691545E-8</v>
      </c>
      <c r="DP64" s="42">
        <f t="shared" ca="1" si="394"/>
        <v>0.99999998352261033</v>
      </c>
      <c r="DQ64" s="42">
        <f t="shared" ca="1" si="395"/>
        <v>5.3781727918571413E-9</v>
      </c>
      <c r="DR64" s="42">
        <f t="shared" ca="1" si="396"/>
        <v>0.9999999946218272</v>
      </c>
      <c r="DS64" s="42">
        <f t="shared" si="397"/>
        <v>0.98162450344672281</v>
      </c>
      <c r="DT64" s="42">
        <f t="shared" si="398"/>
        <v>196.32490068934456</v>
      </c>
      <c r="DU64" s="42">
        <f t="shared" si="399"/>
        <v>0.98801719747153338</v>
      </c>
      <c r="DV64" s="42">
        <f t="shared" ca="1" si="400"/>
        <v>66.197152230592735</v>
      </c>
      <c r="DW64" s="42">
        <f t="shared" ca="1" si="401"/>
        <v>9.3850008898025825E-8</v>
      </c>
      <c r="DX64" s="42">
        <f t="shared" si="402"/>
        <v>0</v>
      </c>
      <c r="DY64" s="92">
        <f t="shared" si="111"/>
        <v>0</v>
      </c>
      <c r="DZ64" s="42">
        <f t="shared" si="112"/>
        <v>0</v>
      </c>
      <c r="EA64" s="42">
        <f t="shared" si="113"/>
        <v>0</v>
      </c>
      <c r="EB64" s="42">
        <f t="shared" si="114"/>
        <v>0</v>
      </c>
      <c r="EC64" s="42">
        <f t="shared" si="115"/>
        <v>0</v>
      </c>
      <c r="ED64" s="42">
        <f t="shared" ca="1" si="116"/>
        <v>0</v>
      </c>
      <c r="EE64" s="40"/>
      <c r="EF64" s="120">
        <f t="shared" ca="1" si="130"/>
        <v>67</v>
      </c>
      <c r="EG64" s="42">
        <f t="shared" ca="1" si="403"/>
        <v>-195.94843149913686</v>
      </c>
      <c r="EH64" s="36">
        <f t="shared" ca="1" si="123"/>
        <v>-195.94843149913686</v>
      </c>
      <c r="EI64" s="36">
        <f t="shared" ca="1" si="124"/>
        <v>18.472000000000001</v>
      </c>
      <c r="EJ64" s="153">
        <f t="shared" ca="1" si="131"/>
        <v>1</v>
      </c>
      <c r="EK64" s="153" t="str">
        <f t="shared" ca="1" si="229"/>
        <v/>
      </c>
      <c r="EL64" s="153" t="str">
        <f t="shared" ca="1" si="132"/>
        <v/>
      </c>
      <c r="EM64" s="153">
        <f t="shared" ca="1" si="230"/>
        <v>0</v>
      </c>
      <c r="EN64" s="153">
        <f t="shared" ca="1" si="231"/>
        <v>0</v>
      </c>
    </row>
    <row r="65" spans="1:144" x14ac:dyDescent="0.3">
      <c r="A65" s="36">
        <f ca="1">IF($M$22=1,A64+'Auto X'!$E$6,A$48)</f>
        <v>67.5</v>
      </c>
      <c r="B65" s="35">
        <f>IF($M$22=2,B64+'Auto X'!$E$6,B$48)</f>
        <v>0.28399999999999997</v>
      </c>
      <c r="C65" s="39">
        <f>IF($M$22=3,C64+'Auto X'!$E$6,C$48)</f>
        <v>45295.440972222219</v>
      </c>
      <c r="D65" s="35">
        <f>IF($M$22=4,D64+'Auto X'!$E$6,D$48)</f>
        <v>2.5999999999999999E-2</v>
      </c>
      <c r="E65" s="35">
        <f>IF($M$22=5,E64+'Auto X'!$E$6,E$48)</f>
        <v>0.04</v>
      </c>
      <c r="F65" s="36">
        <f t="shared" si="117"/>
        <v>75</v>
      </c>
      <c r="G65" s="35">
        <f t="shared" si="7"/>
        <v>0.28399999999999997</v>
      </c>
      <c r="H65" s="197">
        <f t="shared" si="125"/>
        <v>169.23611111111677</v>
      </c>
      <c r="I65" s="41">
        <f t="shared" si="8"/>
        <v>0.46366057838662128</v>
      </c>
      <c r="J65" s="40">
        <f t="shared" ca="1" si="328"/>
        <v>-0.10536051565782628</v>
      </c>
      <c r="K65" s="40">
        <f t="shared" si="329"/>
        <v>2.5189751902588361E-2</v>
      </c>
      <c r="L65" s="40">
        <f t="shared" si="330"/>
        <v>0.19338305926412305</v>
      </c>
      <c r="M65" s="42">
        <f t="shared" ca="1" si="331"/>
        <v>-0.41456973563408411</v>
      </c>
      <c r="N65" s="42">
        <f t="shared" ca="1" si="332"/>
        <v>-0.60795279489820719</v>
      </c>
      <c r="O65" s="42">
        <f t="shared" ca="1" si="333"/>
        <v>0.33922845354367981</v>
      </c>
      <c r="P65" s="42">
        <f t="shared" ca="1" si="334"/>
        <v>0.66077154645632019</v>
      </c>
      <c r="Q65" s="42">
        <f t="shared" ca="1" si="335"/>
        <v>0.27160939125004235</v>
      </c>
      <c r="R65" s="42">
        <f t="shared" ca="1" si="336"/>
        <v>0.72839060874995765</v>
      </c>
      <c r="S65" s="42">
        <f t="shared" si="337"/>
        <v>0.98162450344672281</v>
      </c>
      <c r="T65" s="42">
        <f t="shared" si="338"/>
        <v>73.621837758504213</v>
      </c>
      <c r="U65" s="42">
        <f t="shared" si="339"/>
        <v>0.98801719747153338</v>
      </c>
      <c r="V65" s="42">
        <f t="shared" ca="1" si="340"/>
        <v>66.69116082932851</v>
      </c>
      <c r="W65" s="42">
        <f t="shared" ca="1" si="341"/>
        <v>0.36609128428761523</v>
      </c>
      <c r="X65" s="42">
        <f t="shared" ca="1" si="342"/>
        <v>9.5578337460449347</v>
      </c>
      <c r="Y65" s="42">
        <f t="shared" ca="1" si="19"/>
        <v>-0.65285365149870456</v>
      </c>
      <c r="Z65" s="42">
        <f t="shared" ca="1" si="20"/>
        <v>2.7709691734191643E-2</v>
      </c>
      <c r="AA65" s="42">
        <f t="shared" ca="1" si="21"/>
        <v>-1.1211621964001411E-2</v>
      </c>
      <c r="AB65" s="42">
        <f t="shared" ca="1" si="22"/>
        <v>0.16624850657836607</v>
      </c>
      <c r="AC65" s="42">
        <f t="shared" ca="1" si="23"/>
        <v>-0.24864009584574592</v>
      </c>
      <c r="AD65" s="42">
        <f t="shared" ca="1" si="24"/>
        <v>2978.9168730224674</v>
      </c>
      <c r="AF65" s="36">
        <f t="shared" si="118"/>
        <v>80</v>
      </c>
      <c r="AG65" s="35">
        <f t="shared" si="25"/>
        <v>0.28399999999999997</v>
      </c>
      <c r="AH65" s="197">
        <f t="shared" si="126"/>
        <v>169.23611111111677</v>
      </c>
      <c r="AI65" s="41">
        <f t="shared" si="26"/>
        <v>0.46366057838662128</v>
      </c>
      <c r="AJ65" s="40">
        <f t="shared" ca="1" si="343"/>
        <v>-0.16989903679539747</v>
      </c>
      <c r="AK65" s="40">
        <f t="shared" si="344"/>
        <v>2.5189751902588361E-2</v>
      </c>
      <c r="AL65" s="40">
        <f t="shared" si="345"/>
        <v>0.19338305926412305</v>
      </c>
      <c r="AM65" s="42">
        <f t="shared" ca="1" si="346"/>
        <v>-0.74830383511083465</v>
      </c>
      <c r="AN65" s="42">
        <f t="shared" ca="1" si="347"/>
        <v>-0.94168689437495767</v>
      </c>
      <c r="AO65" s="42">
        <f t="shared" ca="1" si="348"/>
        <v>0.22713845589562315</v>
      </c>
      <c r="AP65" s="42">
        <f t="shared" ca="1" si="349"/>
        <v>0.77286154410437691</v>
      </c>
      <c r="AQ65" s="42">
        <f t="shared" ca="1" si="350"/>
        <v>0.17317648339287056</v>
      </c>
      <c r="AR65" s="42">
        <f t="shared" ca="1" si="351"/>
        <v>0.82682351660712938</v>
      </c>
      <c r="AS65" s="42">
        <f t="shared" si="352"/>
        <v>0.98162450344672281</v>
      </c>
      <c r="AT65" s="42">
        <f t="shared" si="353"/>
        <v>78.529960275737821</v>
      </c>
      <c r="AU65" s="42">
        <f t="shared" si="354"/>
        <v>0.98801719747153338</v>
      </c>
      <c r="AV65" s="42">
        <f t="shared" ca="1" si="355"/>
        <v>66.69116082932851</v>
      </c>
      <c r="AW65" s="42">
        <f t="shared" ca="1" si="356"/>
        <v>0.30152032624415098</v>
      </c>
      <c r="AX65" s="42">
        <f t="shared" ca="1" si="357"/>
        <v>13.387384377535547</v>
      </c>
      <c r="AY65" s="42">
        <f t="shared" ca="1" si="42"/>
        <v>-0.76360049683952835</v>
      </c>
      <c r="AZ65" s="42">
        <f t="shared" ca="1" si="43"/>
        <v>2.2822273160849917E-2</v>
      </c>
      <c r="BA65" s="42">
        <f t="shared" ca="1" si="44"/>
        <v>-8.0448443426721986E-3</v>
      </c>
      <c r="BB65" s="42">
        <f t="shared" ca="1" si="45"/>
        <v>0.13692569611061789</v>
      </c>
      <c r="BC65" s="42">
        <f t="shared" ca="1" si="46"/>
        <v>-0.30105675124984738</v>
      </c>
      <c r="BD65" s="42">
        <f t="shared" ca="1" si="47"/>
        <v>-3868.6921887677731</v>
      </c>
      <c r="BE65" s="40"/>
      <c r="BF65" s="36">
        <f t="shared" si="119"/>
        <v>90</v>
      </c>
      <c r="BG65" s="35">
        <f t="shared" si="48"/>
        <v>0.28399999999999997</v>
      </c>
      <c r="BH65" s="197">
        <f t="shared" si="127"/>
        <v>169.23611111111677</v>
      </c>
      <c r="BI65" s="41">
        <f t="shared" si="49"/>
        <v>0.46366057838662128</v>
      </c>
      <c r="BJ65" s="40">
        <f t="shared" ca="1" si="358"/>
        <v>-0.2876820724517809</v>
      </c>
      <c r="BK65" s="40">
        <f t="shared" si="359"/>
        <v>2.5189751902588361E-2</v>
      </c>
      <c r="BL65" s="40">
        <f t="shared" si="360"/>
        <v>0.19338305926412305</v>
      </c>
      <c r="BM65" s="42">
        <f t="shared" ca="1" si="361"/>
        <v>-1.3573697796903703</v>
      </c>
      <c r="BN65" s="42">
        <f t="shared" ca="1" si="362"/>
        <v>-1.5507528389544933</v>
      </c>
      <c r="BO65" s="42">
        <f t="shared" ca="1" si="363"/>
        <v>8.733187274510737E-2</v>
      </c>
      <c r="BP65" s="42">
        <f t="shared" ca="1" si="364"/>
        <v>0.91266812725489266</v>
      </c>
      <c r="BQ65" s="42">
        <f t="shared" ca="1" si="365"/>
        <v>6.0480463252710837E-2</v>
      </c>
      <c r="BR65" s="42">
        <f t="shared" ca="1" si="366"/>
        <v>0.93951953674728916</v>
      </c>
      <c r="BS65" s="42">
        <f t="shared" si="367"/>
        <v>0.98162450344672281</v>
      </c>
      <c r="BT65" s="42">
        <f t="shared" si="368"/>
        <v>88.34620531020505</v>
      </c>
      <c r="BU65" s="42">
        <f t="shared" si="369"/>
        <v>0.98801719747153338</v>
      </c>
      <c r="BV65" s="42">
        <f t="shared" ca="1" si="370"/>
        <v>66.69116082932851</v>
      </c>
      <c r="BW65" s="42">
        <f t="shared" ca="1" si="371"/>
        <v>0.15879124044550802</v>
      </c>
      <c r="BX65" s="42">
        <f t="shared" ca="1" si="372"/>
        <v>0.48104454699010279</v>
      </c>
      <c r="BY65" s="42">
        <f t="shared" ca="1" si="65"/>
        <v>8.6285392159561575E-2</v>
      </c>
      <c r="BZ65" s="42">
        <f t="shared" ca="1" si="66"/>
        <v>1.2019014141232819E-2</v>
      </c>
      <c r="CA65" s="42">
        <f t="shared" ca="1" si="67"/>
        <v>-6.2211645387239113E-3</v>
      </c>
      <c r="CB65" s="42">
        <f t="shared" ca="1" si="68"/>
        <v>7.2109901860029108E-2</v>
      </c>
      <c r="CC65" s="42">
        <f t="shared" ca="1" si="69"/>
        <v>2.4774402084766049E-2</v>
      </c>
      <c r="CD65" s="42">
        <f t="shared" ca="1" si="70"/>
        <v>3159.4777265049484</v>
      </c>
      <c r="CE65" s="40"/>
      <c r="CF65" s="36">
        <f t="shared" si="120"/>
        <v>95</v>
      </c>
      <c r="CG65" s="35">
        <f t="shared" si="71"/>
        <v>0.28399999999999997</v>
      </c>
      <c r="CH65" s="197">
        <f t="shared" si="128"/>
        <v>169.23611111111677</v>
      </c>
      <c r="CI65" s="41">
        <f t="shared" si="72"/>
        <v>0.46366057838662128</v>
      </c>
      <c r="CJ65" s="40">
        <f t="shared" ca="1" si="373"/>
        <v>-0.3417492937220567</v>
      </c>
      <c r="CK65" s="40">
        <f t="shared" si="374"/>
        <v>2.5189751902588361E-2</v>
      </c>
      <c r="CL65" s="40">
        <f t="shared" si="375"/>
        <v>0.19338305926412305</v>
      </c>
      <c r="CM65" s="42">
        <f t="shared" ca="1" si="376"/>
        <v>-1.6369559103267186</v>
      </c>
      <c r="CN65" s="42">
        <f t="shared" ca="1" si="377"/>
        <v>-1.8303389695908416</v>
      </c>
      <c r="CO65" s="42">
        <f t="shared" ca="1" si="378"/>
        <v>5.0819841146390168E-2</v>
      </c>
      <c r="CP65" s="42">
        <f t="shared" ca="1" si="379"/>
        <v>0.94918015885360985</v>
      </c>
      <c r="CQ65" s="42">
        <f t="shared" ca="1" si="380"/>
        <v>3.3599633789579517E-2</v>
      </c>
      <c r="CR65" s="42">
        <f t="shared" ca="1" si="381"/>
        <v>0.96640036621042047</v>
      </c>
      <c r="CS65" s="42">
        <f t="shared" si="382"/>
        <v>0.98162450344672281</v>
      </c>
      <c r="CT65" s="42">
        <f t="shared" si="383"/>
        <v>93.254327827438672</v>
      </c>
      <c r="CU65" s="42">
        <f t="shared" si="384"/>
        <v>0.98801719747153338</v>
      </c>
      <c r="CV65" s="42">
        <f t="shared" ca="1" si="385"/>
        <v>66.69116082932851</v>
      </c>
      <c r="CW65" s="42">
        <f t="shared" ca="1" si="386"/>
        <v>0.10448091462950396</v>
      </c>
      <c r="CX65" s="42">
        <f t="shared" ca="1" si="387"/>
        <v>0.25592293491949913</v>
      </c>
      <c r="CY65" s="42">
        <f t="shared" ca="1" si="88"/>
        <v>5.0210877025404929E-2</v>
      </c>
      <c r="CZ65" s="42">
        <f t="shared" ca="1" si="89"/>
        <v>7.9082296158010171E-3</v>
      </c>
      <c r="DA65" s="42">
        <f t="shared" ca="1" si="90"/>
        <v>-4.0830292126610868E-3</v>
      </c>
      <c r="DB65" s="42">
        <f t="shared" ca="1" si="91"/>
        <v>4.7446625387154585E-2</v>
      </c>
      <c r="DC65" s="42">
        <f t="shared" ca="1" si="92"/>
        <v>1.4527929130684897E-2</v>
      </c>
      <c r="DD65" s="42">
        <f t="shared" ca="1" si="93"/>
        <v>-2447.0385325402508</v>
      </c>
      <c r="DE65" s="40"/>
      <c r="DF65" s="36">
        <f t="shared" si="121"/>
        <v>200</v>
      </c>
      <c r="DG65" s="35">
        <f t="shared" si="94"/>
        <v>0.28399999999999997</v>
      </c>
      <c r="DH65" s="197">
        <f t="shared" si="129"/>
        <v>169.23611111111677</v>
      </c>
      <c r="DI65" s="41">
        <f t="shared" si="95"/>
        <v>0.46366057838662128</v>
      </c>
      <c r="DJ65" s="40">
        <f t="shared" ca="1" si="388"/>
        <v>-1.0861897686695525</v>
      </c>
      <c r="DK65" s="40">
        <f t="shared" si="389"/>
        <v>2.5189751902588361E-2</v>
      </c>
      <c r="DL65" s="40">
        <f t="shared" si="390"/>
        <v>0.19338305926412305</v>
      </c>
      <c r="DM65" s="42">
        <f t="shared" ca="1" si="391"/>
        <v>-5.4865199713168664</v>
      </c>
      <c r="DN65" s="42">
        <f t="shared" ca="1" si="392"/>
        <v>-5.6799030305809897</v>
      </c>
      <c r="DO65" s="42">
        <f t="shared" ca="1" si="393"/>
        <v>2.0496454856528854E-8</v>
      </c>
      <c r="DP65" s="42">
        <f t="shared" ca="1" si="394"/>
        <v>0.99999997950354513</v>
      </c>
      <c r="DQ65" s="42">
        <f t="shared" ca="1" si="395"/>
        <v>6.7385563096284229E-9</v>
      </c>
      <c r="DR65" s="42">
        <f t="shared" ca="1" si="396"/>
        <v>0.99999999326144373</v>
      </c>
      <c r="DS65" s="42">
        <f t="shared" si="397"/>
        <v>0.98162450344672281</v>
      </c>
      <c r="DT65" s="42">
        <f t="shared" si="398"/>
        <v>196.32490068934456</v>
      </c>
      <c r="DU65" s="42">
        <f t="shared" si="399"/>
        <v>0.98801719747153338</v>
      </c>
      <c r="DV65" s="42">
        <f t="shared" ca="1" si="400"/>
        <v>66.69116082932851</v>
      </c>
      <c r="DW65" s="42">
        <f t="shared" ca="1" si="401"/>
        <v>1.1597522676318381E-7</v>
      </c>
      <c r="DX65" s="42">
        <f t="shared" si="402"/>
        <v>0</v>
      </c>
      <c r="DY65" s="92">
        <f t="shared" si="111"/>
        <v>0</v>
      </c>
      <c r="DZ65" s="42">
        <f t="shared" si="112"/>
        <v>0</v>
      </c>
      <c r="EA65" s="42">
        <f t="shared" si="113"/>
        <v>0</v>
      </c>
      <c r="EB65" s="42">
        <f t="shared" si="114"/>
        <v>0</v>
      </c>
      <c r="EC65" s="42">
        <f t="shared" si="115"/>
        <v>0</v>
      </c>
      <c r="ED65" s="42">
        <f t="shared" ca="1" si="116"/>
        <v>0</v>
      </c>
      <c r="EE65" s="40"/>
      <c r="EF65" s="120">
        <f t="shared" ca="1" si="130"/>
        <v>67.5</v>
      </c>
      <c r="EG65" s="42">
        <f t="shared" ca="1" si="403"/>
        <v>-177.33612178060821</v>
      </c>
      <c r="EH65" s="36">
        <f t="shared" ca="1" si="123"/>
        <v>-177.33612178060821</v>
      </c>
      <c r="EI65" s="36">
        <f t="shared" ca="1" si="124"/>
        <v>18.611999999999998</v>
      </c>
      <c r="EJ65" s="153">
        <f t="shared" ca="1" si="131"/>
        <v>1</v>
      </c>
      <c r="EK65" s="153" t="str">
        <f t="shared" ca="1" si="229"/>
        <v/>
      </c>
      <c r="EL65" s="153" t="str">
        <f t="shared" ca="1" si="132"/>
        <v/>
      </c>
      <c r="EM65" s="153">
        <f t="shared" ca="1" si="230"/>
        <v>0</v>
      </c>
      <c r="EN65" s="153">
        <f t="shared" ca="1" si="231"/>
        <v>0</v>
      </c>
    </row>
    <row r="66" spans="1:144" x14ac:dyDescent="0.3">
      <c r="A66" s="36">
        <f ca="1">IF($M$22=1,A65+'Auto X'!$E$6,A$48)</f>
        <v>68</v>
      </c>
      <c r="B66" s="35">
        <f>IF($M$22=2,B65+'Auto X'!$E$6,B$48)</f>
        <v>0.28399999999999997</v>
      </c>
      <c r="C66" s="39">
        <f>IF($M$22=3,C65+'Auto X'!$E$6,C$48)</f>
        <v>45295.440972222219</v>
      </c>
      <c r="D66" s="35">
        <f>IF($M$22=4,D65+'Auto X'!$E$6,D$48)</f>
        <v>2.5999999999999999E-2</v>
      </c>
      <c r="E66" s="35">
        <f>IF($M$22=5,E65+'Auto X'!$E$6,E$48)</f>
        <v>0.04</v>
      </c>
      <c r="F66" s="36">
        <f t="shared" si="117"/>
        <v>75</v>
      </c>
      <c r="G66" s="35">
        <f t="shared" si="7"/>
        <v>0.28399999999999997</v>
      </c>
      <c r="H66" s="197">
        <f t="shared" si="125"/>
        <v>169.23611111111677</v>
      </c>
      <c r="I66" s="41">
        <f t="shared" si="8"/>
        <v>0.46366057838662128</v>
      </c>
      <c r="J66" s="40">
        <f t="shared" ca="1" si="328"/>
        <v>-9.7980408360203788E-2</v>
      </c>
      <c r="K66" s="40">
        <f t="shared" si="329"/>
        <v>2.5189751902588361E-2</v>
      </c>
      <c r="L66" s="40">
        <f t="shared" si="330"/>
        <v>0.19338305926412305</v>
      </c>
      <c r="M66" s="42">
        <f t="shared" ca="1" si="331"/>
        <v>-0.37640658253419068</v>
      </c>
      <c r="N66" s="42">
        <f t="shared" ca="1" si="332"/>
        <v>-0.56978964179831371</v>
      </c>
      <c r="O66" s="42">
        <f t="shared" ca="1" si="333"/>
        <v>0.35330732653997826</v>
      </c>
      <c r="P66" s="42">
        <f t="shared" ca="1" si="334"/>
        <v>0.64669267346002179</v>
      </c>
      <c r="Q66" s="42">
        <f t="shared" ca="1" si="335"/>
        <v>0.28441019090347952</v>
      </c>
      <c r="R66" s="42">
        <f t="shared" ca="1" si="336"/>
        <v>0.71558980909652048</v>
      </c>
      <c r="S66" s="42">
        <f t="shared" si="337"/>
        <v>0.98162450344672281</v>
      </c>
      <c r="T66" s="42">
        <f t="shared" si="338"/>
        <v>73.621837758504213</v>
      </c>
      <c r="U66" s="42">
        <f t="shared" si="339"/>
        <v>0.98801719747153338</v>
      </c>
      <c r="V66" s="42">
        <f t="shared" ca="1" si="340"/>
        <v>67.18516942806427</v>
      </c>
      <c r="W66" s="42">
        <f t="shared" ca="1" si="341"/>
        <v>0.3716586361011458</v>
      </c>
      <c r="X66" s="42">
        <f t="shared" ca="1" si="342"/>
        <v>9.2348799926436271</v>
      </c>
      <c r="Y66" s="42">
        <f t="shared" ca="1" si="19"/>
        <v>-0.63894348285734426</v>
      </c>
      <c r="Z66" s="42">
        <f t="shared" ca="1" si="20"/>
        <v>2.7924242042319997E-2</v>
      </c>
      <c r="AA66" s="42">
        <f t="shared" ca="1" si="21"/>
        <v>-1.1587809119968163E-2</v>
      </c>
      <c r="AB66" s="42">
        <f t="shared" ca="1" si="22"/>
        <v>0.1700269372603441</v>
      </c>
      <c r="AC66" s="42">
        <f t="shared" ca="1" si="23"/>
        <v>-0.24427047326344073</v>
      </c>
      <c r="AD66" s="42">
        <f t="shared" ca="1" si="24"/>
        <v>2817.4399963218139</v>
      </c>
      <c r="AF66" s="36">
        <f t="shared" si="118"/>
        <v>80</v>
      </c>
      <c r="AG66" s="35">
        <f t="shared" si="25"/>
        <v>0.28399999999999997</v>
      </c>
      <c r="AH66" s="197">
        <f t="shared" si="126"/>
        <v>169.23611111111677</v>
      </c>
      <c r="AI66" s="41">
        <f t="shared" si="26"/>
        <v>0.46366057838662128</v>
      </c>
      <c r="AJ66" s="40">
        <f t="shared" ca="1" si="343"/>
        <v>-0.16251892949777494</v>
      </c>
      <c r="AK66" s="40">
        <f t="shared" si="344"/>
        <v>2.5189751902588361E-2</v>
      </c>
      <c r="AL66" s="40">
        <f t="shared" si="345"/>
        <v>0.19338305926412305</v>
      </c>
      <c r="AM66" s="42">
        <f t="shared" ca="1" si="346"/>
        <v>-0.71014068201094116</v>
      </c>
      <c r="AN66" s="42">
        <f t="shared" ca="1" si="347"/>
        <v>-0.90352374127506418</v>
      </c>
      <c r="AO66" s="42">
        <f t="shared" ca="1" si="348"/>
        <v>0.23880845036414491</v>
      </c>
      <c r="AP66" s="42">
        <f t="shared" ca="1" si="349"/>
        <v>0.76119154963585511</v>
      </c>
      <c r="AQ66" s="42">
        <f t="shared" ca="1" si="350"/>
        <v>0.18312399689592579</v>
      </c>
      <c r="AR66" s="42">
        <f t="shared" ca="1" si="351"/>
        <v>0.81687600310407427</v>
      </c>
      <c r="AS66" s="42">
        <f t="shared" si="352"/>
        <v>0.98162450344672281</v>
      </c>
      <c r="AT66" s="42">
        <f t="shared" si="353"/>
        <v>78.529960275737821</v>
      </c>
      <c r="AU66" s="42">
        <f t="shared" si="354"/>
        <v>0.98801719747153338</v>
      </c>
      <c r="AV66" s="42">
        <f t="shared" ca="1" si="355"/>
        <v>67.18516942806427</v>
      </c>
      <c r="AW66" s="42">
        <f t="shared" ca="1" si="356"/>
        <v>0.31002931318000487</v>
      </c>
      <c r="AX66" s="42">
        <f t="shared" ca="1" si="357"/>
        <v>13.008456844470722</v>
      </c>
      <c r="AY66" s="42">
        <f t="shared" ca="1" si="42"/>
        <v>-0.75207034161023112</v>
      </c>
      <c r="AZ66" s="42">
        <f t="shared" ca="1" si="43"/>
        <v>2.3293777516572002E-2</v>
      </c>
      <c r="BA66" s="42">
        <f t="shared" ca="1" si="44"/>
        <v>-8.5135256728958962E-3</v>
      </c>
      <c r="BB66" s="42">
        <f t="shared" ca="1" si="45"/>
        <v>0.1418326643338875</v>
      </c>
      <c r="BC66" s="42">
        <f t="shared" ca="1" si="46"/>
        <v>-0.29743473755757505</v>
      </c>
      <c r="BD66" s="42">
        <f t="shared" ca="1" si="47"/>
        <v>-3679.2284222353605</v>
      </c>
      <c r="BE66" s="40"/>
      <c r="BF66" s="36">
        <f t="shared" si="119"/>
        <v>90</v>
      </c>
      <c r="BG66" s="35">
        <f t="shared" si="48"/>
        <v>0.28399999999999997</v>
      </c>
      <c r="BH66" s="197">
        <f t="shared" si="127"/>
        <v>169.23611111111677</v>
      </c>
      <c r="BI66" s="41">
        <f t="shared" si="49"/>
        <v>0.46366057838662128</v>
      </c>
      <c r="BJ66" s="40">
        <f t="shared" ca="1" si="358"/>
        <v>-0.28030196515415839</v>
      </c>
      <c r="BK66" s="40">
        <f t="shared" si="359"/>
        <v>2.5189751902588361E-2</v>
      </c>
      <c r="BL66" s="40">
        <f t="shared" si="360"/>
        <v>0.19338305926412305</v>
      </c>
      <c r="BM66" s="42">
        <f t="shared" ca="1" si="361"/>
        <v>-1.3192066265904767</v>
      </c>
      <c r="BN66" s="42">
        <f t="shared" ca="1" si="362"/>
        <v>-1.5125896858545997</v>
      </c>
      <c r="BO66" s="42">
        <f t="shared" ca="1" si="363"/>
        <v>9.3550021764637267E-2</v>
      </c>
      <c r="BP66" s="42">
        <f t="shared" ca="1" si="364"/>
        <v>0.90644997823536277</v>
      </c>
      <c r="BQ66" s="42">
        <f t="shared" ca="1" si="365"/>
        <v>6.5191957855379137E-2</v>
      </c>
      <c r="BR66" s="42">
        <f t="shared" ca="1" si="366"/>
        <v>0.93480804214462088</v>
      </c>
      <c r="BS66" s="42">
        <f t="shared" si="367"/>
        <v>0.98162450344672281</v>
      </c>
      <c r="BT66" s="42">
        <f t="shared" si="368"/>
        <v>88.34620531020505</v>
      </c>
      <c r="BU66" s="42">
        <f t="shared" si="369"/>
        <v>0.98801719747153338</v>
      </c>
      <c r="BV66" s="42">
        <f t="shared" ca="1" si="370"/>
        <v>67.18516942806427</v>
      </c>
      <c r="BW66" s="42">
        <f t="shared" ca="1" si="371"/>
        <v>0.16711190602442549</v>
      </c>
      <c r="BX66" s="42">
        <f t="shared" ca="1" si="372"/>
        <v>0.52571196899069506</v>
      </c>
      <c r="BY66" s="42">
        <f t="shared" ca="1" si="65"/>
        <v>9.2429030327297865E-2</v>
      </c>
      <c r="BZ66" s="42">
        <f t="shared" ca="1" si="66"/>
        <v>1.2555804866887376E-2</v>
      </c>
      <c r="CA66" s="42">
        <f t="shared" ca="1" si="67"/>
        <v>-6.5981607232069054E-3</v>
      </c>
      <c r="CB66" s="42">
        <f t="shared" ca="1" si="68"/>
        <v>7.6450599558619853E-2</v>
      </c>
      <c r="CC66" s="42">
        <f t="shared" ca="1" si="69"/>
        <v>2.6704355253593305E-2</v>
      </c>
      <c r="CD66" s="42">
        <f t="shared" ca="1" si="70"/>
        <v>3137.1440155046525</v>
      </c>
      <c r="CE66" s="40"/>
      <c r="CF66" s="36">
        <f t="shared" si="120"/>
        <v>95</v>
      </c>
      <c r="CG66" s="35">
        <f t="shared" si="71"/>
        <v>0.28399999999999997</v>
      </c>
      <c r="CH66" s="197">
        <f t="shared" si="128"/>
        <v>169.23611111111677</v>
      </c>
      <c r="CI66" s="41">
        <f t="shared" si="72"/>
        <v>0.46366057838662128</v>
      </c>
      <c r="CJ66" s="40">
        <f t="shared" ca="1" si="373"/>
        <v>-0.33436918642443414</v>
      </c>
      <c r="CK66" s="40">
        <f t="shared" si="374"/>
        <v>2.5189751902588361E-2</v>
      </c>
      <c r="CL66" s="40">
        <f t="shared" si="375"/>
        <v>0.19338305926412305</v>
      </c>
      <c r="CM66" s="42">
        <f t="shared" ca="1" si="376"/>
        <v>-1.5987927572268248</v>
      </c>
      <c r="CN66" s="42">
        <f t="shared" ca="1" si="377"/>
        <v>-1.7921758164909478</v>
      </c>
      <c r="CO66" s="42">
        <f t="shared" ca="1" si="378"/>
        <v>5.4933329454290136E-2</v>
      </c>
      <c r="CP66" s="42">
        <f t="shared" ca="1" si="379"/>
        <v>0.94506667054570981</v>
      </c>
      <c r="CQ66" s="42">
        <f t="shared" ca="1" si="380"/>
        <v>3.6552403605427844E-2</v>
      </c>
      <c r="CR66" s="42">
        <f t="shared" ca="1" si="381"/>
        <v>0.96344759639457211</v>
      </c>
      <c r="CS66" s="42">
        <f t="shared" si="382"/>
        <v>0.98162450344672281</v>
      </c>
      <c r="CT66" s="42">
        <f t="shared" si="383"/>
        <v>93.254327827438672</v>
      </c>
      <c r="CU66" s="42">
        <f t="shared" si="384"/>
        <v>0.98801719747153338</v>
      </c>
      <c r="CV66" s="42">
        <f t="shared" ca="1" si="385"/>
        <v>67.18516942806427</v>
      </c>
      <c r="CW66" s="42">
        <f t="shared" ca="1" si="386"/>
        <v>0.11113521415293463</v>
      </c>
      <c r="CX66" s="42">
        <f t="shared" ca="1" si="387"/>
        <v>0.28203521793273634</v>
      </c>
      <c r="CY66" s="42">
        <f t="shared" ca="1" si="88"/>
        <v>5.4275074215208177E-2</v>
      </c>
      <c r="CZ66" s="42">
        <f t="shared" ca="1" si="89"/>
        <v>8.3500457623889076E-3</v>
      </c>
      <c r="DA66" s="42">
        <f t="shared" ca="1" si="90"/>
        <v>-4.3766498815165887E-3</v>
      </c>
      <c r="DB66" s="42">
        <f t="shared" ca="1" si="91"/>
        <v>5.0842300564901813E-2</v>
      </c>
      <c r="DC66" s="42">
        <f t="shared" ca="1" si="92"/>
        <v>1.5804658243047255E-2</v>
      </c>
      <c r="DD66" s="42">
        <f t="shared" ca="1" si="93"/>
        <v>-2433.9823910336322</v>
      </c>
      <c r="DE66" s="40"/>
      <c r="DF66" s="36">
        <f t="shared" si="121"/>
        <v>200</v>
      </c>
      <c r="DG66" s="35">
        <f t="shared" si="94"/>
        <v>0.28399999999999997</v>
      </c>
      <c r="DH66" s="197">
        <f t="shared" si="129"/>
        <v>169.23611111111677</v>
      </c>
      <c r="DI66" s="41">
        <f t="shared" si="95"/>
        <v>0.46366057838662128</v>
      </c>
      <c r="DJ66" s="40">
        <f t="shared" ca="1" si="388"/>
        <v>-1.0788096613719298</v>
      </c>
      <c r="DK66" s="40">
        <f t="shared" si="389"/>
        <v>2.5189751902588361E-2</v>
      </c>
      <c r="DL66" s="40">
        <f t="shared" si="390"/>
        <v>0.19338305926412305</v>
      </c>
      <c r="DM66" s="42">
        <f t="shared" ca="1" si="391"/>
        <v>-5.448356818216971</v>
      </c>
      <c r="DN66" s="42">
        <f t="shared" ca="1" si="392"/>
        <v>-5.6417398774810943</v>
      </c>
      <c r="DO66" s="42">
        <f t="shared" ca="1" si="393"/>
        <v>2.5418646069700141E-8</v>
      </c>
      <c r="DP66" s="42">
        <f t="shared" ca="1" si="394"/>
        <v>0.99999997458135392</v>
      </c>
      <c r="DQ66" s="42">
        <f t="shared" ca="1" si="395"/>
        <v>8.4170148260959965E-9</v>
      </c>
      <c r="DR66" s="42">
        <f t="shared" ca="1" si="396"/>
        <v>0.99999999158298514</v>
      </c>
      <c r="DS66" s="42">
        <f t="shared" si="397"/>
        <v>0.98162450344672281</v>
      </c>
      <c r="DT66" s="42">
        <f t="shared" si="398"/>
        <v>196.32490068934456</v>
      </c>
      <c r="DU66" s="42">
        <f t="shared" si="399"/>
        <v>0.98801719747153338</v>
      </c>
      <c r="DV66" s="42">
        <f t="shared" ca="1" si="400"/>
        <v>67.18516942806427</v>
      </c>
      <c r="DW66" s="42">
        <f t="shared" ca="1" si="401"/>
        <v>1.4288374026270333E-7</v>
      </c>
      <c r="DX66" s="42">
        <f t="shared" si="402"/>
        <v>0</v>
      </c>
      <c r="DY66" s="92">
        <f t="shared" si="111"/>
        <v>0</v>
      </c>
      <c r="DZ66" s="42">
        <f t="shared" si="112"/>
        <v>0</v>
      </c>
      <c r="EA66" s="42">
        <f t="shared" si="113"/>
        <v>0</v>
      </c>
      <c r="EB66" s="42">
        <f t="shared" si="114"/>
        <v>0</v>
      </c>
      <c r="EC66" s="42">
        <f t="shared" si="115"/>
        <v>0</v>
      </c>
      <c r="ED66" s="42">
        <f t="shared" ca="1" si="116"/>
        <v>0</v>
      </c>
      <c r="EE66" s="40"/>
      <c r="EF66" s="120">
        <f t="shared" ca="1" si="130"/>
        <v>68</v>
      </c>
      <c r="EG66" s="42">
        <f t="shared" ca="1" si="403"/>
        <v>-158.62680144252636</v>
      </c>
      <c r="EH66" s="36">
        <f t="shared" ca="1" si="123"/>
        <v>-158.62680144252636</v>
      </c>
      <c r="EI66" s="36">
        <f t="shared" ca="1" si="124"/>
        <v>18.709</v>
      </c>
      <c r="EJ66" s="153">
        <f t="shared" ca="1" si="131"/>
        <v>1</v>
      </c>
      <c r="EK66" s="153" t="str">
        <f t="shared" ca="1" si="229"/>
        <v/>
      </c>
      <c r="EL66" s="153" t="str">
        <f t="shared" ca="1" si="132"/>
        <v/>
      </c>
      <c r="EM66" s="153">
        <f t="shared" ca="1" si="230"/>
        <v>0</v>
      </c>
      <c r="EN66" s="153">
        <f t="shared" ca="1" si="231"/>
        <v>0</v>
      </c>
    </row>
    <row r="67" spans="1:144" x14ac:dyDescent="0.3">
      <c r="A67" s="36">
        <f ca="1">IF($M$22=1,A66+'Auto X'!$E$6,A$48)</f>
        <v>68.5</v>
      </c>
      <c r="B67" s="35">
        <f>IF($M$22=2,B66+'Auto X'!$E$6,B$48)</f>
        <v>0.28399999999999997</v>
      </c>
      <c r="C67" s="39">
        <f>IF($M$22=3,C66+'Auto X'!$E$6,C$48)</f>
        <v>45295.440972222219</v>
      </c>
      <c r="D67" s="35">
        <f>IF($M$22=4,D66+'Auto X'!$E$6,D$48)</f>
        <v>2.5999999999999999E-2</v>
      </c>
      <c r="E67" s="35">
        <f>IF($M$22=5,E66+'Auto X'!$E$6,E$48)</f>
        <v>0.04</v>
      </c>
      <c r="F67" s="36">
        <f t="shared" si="117"/>
        <v>75</v>
      </c>
      <c r="G67" s="35">
        <f t="shared" si="7"/>
        <v>0.28399999999999997</v>
      </c>
      <c r="H67" s="197">
        <f t="shared" si="125"/>
        <v>169.23611111111677</v>
      </c>
      <c r="I67" s="41">
        <f t="shared" si="8"/>
        <v>0.46366057838662128</v>
      </c>
      <c r="J67" s="40">
        <f t="shared" ca="1" si="328"/>
        <v>-9.0654368268130836E-2</v>
      </c>
      <c r="K67" s="40">
        <f t="shared" si="329"/>
        <v>2.5189751902588361E-2</v>
      </c>
      <c r="L67" s="40">
        <f t="shared" si="330"/>
        <v>0.19338305926412305</v>
      </c>
      <c r="M67" s="42">
        <f t="shared" ca="1" si="331"/>
        <v>-0.33852301548364039</v>
      </c>
      <c r="N67" s="42">
        <f t="shared" ca="1" si="332"/>
        <v>-0.53190607474776341</v>
      </c>
      <c r="O67" s="42">
        <f t="shared" ca="1" si="333"/>
        <v>0.36748454298255118</v>
      </c>
      <c r="P67" s="42">
        <f t="shared" ca="1" si="334"/>
        <v>0.63251545701744882</v>
      </c>
      <c r="Q67" s="42">
        <f t="shared" ca="1" si="335"/>
        <v>0.29739552485654563</v>
      </c>
      <c r="R67" s="42">
        <f t="shared" ca="1" si="336"/>
        <v>0.70260447514345437</v>
      </c>
      <c r="S67" s="42">
        <f t="shared" si="337"/>
        <v>0.98162450344672281</v>
      </c>
      <c r="T67" s="42">
        <f t="shared" si="338"/>
        <v>73.621837758504213</v>
      </c>
      <c r="U67" s="42">
        <f t="shared" si="339"/>
        <v>0.98801719747153338</v>
      </c>
      <c r="V67" s="42">
        <f t="shared" ca="1" si="340"/>
        <v>67.679178026800031</v>
      </c>
      <c r="W67" s="42">
        <f t="shared" ca="1" si="341"/>
        <v>0.3767258858575141</v>
      </c>
      <c r="X67" s="42">
        <f t="shared" ca="1" si="342"/>
        <v>8.9189064572237058</v>
      </c>
      <c r="Y67" s="42">
        <f t="shared" ca="1" si="19"/>
        <v>-0.62493614919980589</v>
      </c>
      <c r="Z67" s="42">
        <f t="shared" ca="1" si="20"/>
        <v>2.8098359772642342E-2</v>
      </c>
      <c r="AA67" s="42">
        <f t="shared" ca="1" si="21"/>
        <v>-1.1947825002056557E-2</v>
      </c>
      <c r="AB67" s="42">
        <f t="shared" ca="1" si="22"/>
        <v>0.17361235355817695</v>
      </c>
      <c r="AC67" s="42">
        <f t="shared" ca="1" si="23"/>
        <v>-0.23983785889431763</v>
      </c>
      <c r="AD67" s="42">
        <f t="shared" ca="1" si="24"/>
        <v>2659.4532286118529</v>
      </c>
      <c r="AF67" s="36">
        <f t="shared" si="118"/>
        <v>80</v>
      </c>
      <c r="AG67" s="35">
        <f t="shared" si="25"/>
        <v>0.28399999999999997</v>
      </c>
      <c r="AH67" s="197">
        <f t="shared" si="126"/>
        <v>169.23611111111677</v>
      </c>
      <c r="AI67" s="41">
        <f t="shared" si="26"/>
        <v>0.46366057838662128</v>
      </c>
      <c r="AJ67" s="40">
        <f t="shared" ca="1" si="343"/>
        <v>-0.15519288940570206</v>
      </c>
      <c r="AK67" s="40">
        <f t="shared" si="344"/>
        <v>2.5189751902588361E-2</v>
      </c>
      <c r="AL67" s="40">
        <f t="shared" si="345"/>
        <v>0.19338305926412305</v>
      </c>
      <c r="AM67" s="42">
        <f t="shared" ca="1" si="346"/>
        <v>-0.6722571149603912</v>
      </c>
      <c r="AN67" s="42">
        <f t="shared" ca="1" si="347"/>
        <v>-0.86564017422451423</v>
      </c>
      <c r="AO67" s="42">
        <f t="shared" ca="1" si="348"/>
        <v>0.25071001305006413</v>
      </c>
      <c r="AP67" s="42">
        <f t="shared" ca="1" si="349"/>
        <v>0.74928998694993587</v>
      </c>
      <c r="AQ67" s="42">
        <f t="shared" ca="1" si="350"/>
        <v>0.19334375861663344</v>
      </c>
      <c r="AR67" s="42">
        <f t="shared" ca="1" si="351"/>
        <v>0.80665624138336656</v>
      </c>
      <c r="AS67" s="42">
        <f t="shared" si="352"/>
        <v>0.98162450344672281</v>
      </c>
      <c r="AT67" s="42">
        <f t="shared" si="353"/>
        <v>78.529960275737821</v>
      </c>
      <c r="AU67" s="42">
        <f t="shared" si="354"/>
        <v>0.98801719747153338</v>
      </c>
      <c r="AV67" s="42">
        <f t="shared" ca="1" si="355"/>
        <v>67.679178026800031</v>
      </c>
      <c r="AW67" s="42">
        <f t="shared" ca="1" si="356"/>
        <v>0.31825467641020522</v>
      </c>
      <c r="AX67" s="42">
        <f t="shared" ca="1" si="357"/>
        <v>12.635352171528368</v>
      </c>
      <c r="AY67" s="42">
        <f t="shared" ca="1" si="42"/>
        <v>-0.74031139299975746</v>
      </c>
      <c r="AZ67" s="42">
        <f t="shared" ca="1" si="43"/>
        <v>2.3737244327516262E-2</v>
      </c>
      <c r="BA67" s="42">
        <f t="shared" ca="1" si="44"/>
        <v>-8.976448413325594E-3</v>
      </c>
      <c r="BB67" s="42">
        <f t="shared" ca="1" si="45"/>
        <v>0.14666617154991468</v>
      </c>
      <c r="BC67" s="42">
        <f t="shared" ca="1" si="46"/>
        <v>-0.29371359489485888</v>
      </c>
      <c r="BD67" s="42">
        <f t="shared" ca="1" si="47"/>
        <v>-3492.6760857641834</v>
      </c>
      <c r="BE67" s="40"/>
      <c r="BF67" s="36">
        <f t="shared" si="119"/>
        <v>90</v>
      </c>
      <c r="BG67" s="35">
        <f t="shared" si="48"/>
        <v>0.28399999999999997</v>
      </c>
      <c r="BH67" s="197">
        <f t="shared" si="127"/>
        <v>169.23611111111677</v>
      </c>
      <c r="BI67" s="41">
        <f t="shared" si="49"/>
        <v>0.46366057838662128</v>
      </c>
      <c r="BJ67" s="40">
        <f t="shared" ca="1" si="358"/>
        <v>-0.27297592506208551</v>
      </c>
      <c r="BK67" s="40">
        <f t="shared" si="359"/>
        <v>2.5189751902588361E-2</v>
      </c>
      <c r="BL67" s="40">
        <f t="shared" si="360"/>
        <v>0.19338305926412305</v>
      </c>
      <c r="BM67" s="42">
        <f t="shared" ca="1" si="361"/>
        <v>-1.2813230595399268</v>
      </c>
      <c r="BN67" s="42">
        <f t="shared" ca="1" si="362"/>
        <v>-1.4747061188040498</v>
      </c>
      <c r="BO67" s="42">
        <f t="shared" ca="1" si="363"/>
        <v>0.10004010829472233</v>
      </c>
      <c r="BP67" s="42">
        <f t="shared" ca="1" si="364"/>
        <v>0.89995989170527768</v>
      </c>
      <c r="BQ67" s="42">
        <f t="shared" ca="1" si="365"/>
        <v>7.0145785167845476E-2</v>
      </c>
      <c r="BR67" s="42">
        <f t="shared" ca="1" si="366"/>
        <v>0.92985421483215447</v>
      </c>
      <c r="BS67" s="42">
        <f t="shared" si="367"/>
        <v>0.98162450344672281</v>
      </c>
      <c r="BT67" s="42">
        <f t="shared" si="368"/>
        <v>88.34620531020505</v>
      </c>
      <c r="BU67" s="42">
        <f t="shared" si="369"/>
        <v>0.98801719747153338</v>
      </c>
      <c r="BV67" s="42">
        <f t="shared" ca="1" si="370"/>
        <v>67.679178026800031</v>
      </c>
      <c r="BW67" s="42">
        <f t="shared" ca="1" si="371"/>
        <v>0.17554972819766285</v>
      </c>
      <c r="BX67" s="42">
        <f t="shared" ca="1" si="372"/>
        <v>0.57351836101485443</v>
      </c>
      <c r="BY67" s="42">
        <f t="shared" ca="1" si="65"/>
        <v>9.8841347432100254E-2</v>
      </c>
      <c r="BZ67" s="42">
        <f t="shared" ca="1" si="66"/>
        <v>1.3093497436895392E-2</v>
      </c>
      <c r="CA67" s="42">
        <f t="shared" ca="1" si="67"/>
        <v>-6.9849816538518315E-3</v>
      </c>
      <c r="CB67" s="42">
        <f t="shared" ca="1" si="68"/>
        <v>8.0901267003515118E-2</v>
      </c>
      <c r="CC67" s="42">
        <f t="shared" ca="1" si="69"/>
        <v>2.8733574328598254E-2</v>
      </c>
      <c r="CD67" s="42">
        <f t="shared" ca="1" si="70"/>
        <v>3113.2408194925729</v>
      </c>
      <c r="CE67" s="40"/>
      <c r="CF67" s="36">
        <f t="shared" si="120"/>
        <v>95</v>
      </c>
      <c r="CG67" s="35">
        <f t="shared" si="71"/>
        <v>0.28399999999999997</v>
      </c>
      <c r="CH67" s="197">
        <f t="shared" si="128"/>
        <v>169.23611111111677</v>
      </c>
      <c r="CI67" s="41">
        <f t="shared" si="72"/>
        <v>0.46366057838662128</v>
      </c>
      <c r="CJ67" s="40">
        <f t="shared" ca="1" si="373"/>
        <v>-0.3270431463323612</v>
      </c>
      <c r="CK67" s="40">
        <f t="shared" si="374"/>
        <v>2.5189751902588361E-2</v>
      </c>
      <c r="CL67" s="40">
        <f t="shared" si="375"/>
        <v>0.19338305926412305</v>
      </c>
      <c r="CM67" s="42">
        <f t="shared" ca="1" si="376"/>
        <v>-1.5609091901762746</v>
      </c>
      <c r="CN67" s="42">
        <f t="shared" ca="1" si="377"/>
        <v>-1.7542922494403976</v>
      </c>
      <c r="CO67" s="42">
        <f t="shared" ca="1" si="378"/>
        <v>5.9272589305796312E-2</v>
      </c>
      <c r="CP67" s="42">
        <f t="shared" ca="1" si="379"/>
        <v>0.94072741069420374</v>
      </c>
      <c r="CQ67" s="42">
        <f t="shared" ca="1" si="380"/>
        <v>3.9690221576985561E-2</v>
      </c>
      <c r="CR67" s="42">
        <f t="shared" ca="1" si="381"/>
        <v>0.96030977842301446</v>
      </c>
      <c r="CS67" s="42">
        <f t="shared" si="382"/>
        <v>0.98162450344672281</v>
      </c>
      <c r="CT67" s="42">
        <f t="shared" si="383"/>
        <v>93.254327827438672</v>
      </c>
      <c r="CU67" s="42">
        <f t="shared" si="384"/>
        <v>0.98801719747153338</v>
      </c>
      <c r="CV67" s="42">
        <f t="shared" ca="1" si="385"/>
        <v>67.679178026800031</v>
      </c>
      <c r="CW67" s="42">
        <f t="shared" ca="1" si="386"/>
        <v>0.11798977825891825</v>
      </c>
      <c r="CX67" s="42">
        <f t="shared" ca="1" si="387"/>
        <v>0.31023518925250126</v>
      </c>
      <c r="CY67" s="42">
        <f t="shared" ca="1" si="88"/>
        <v>5.8562337572794054E-2</v>
      </c>
      <c r="CZ67" s="42">
        <f t="shared" ca="1" si="89"/>
        <v>8.8003489101019829E-3</v>
      </c>
      <c r="DA67" s="42">
        <f t="shared" ca="1" si="90"/>
        <v>-4.6822838588825603E-3</v>
      </c>
      <c r="DB67" s="42">
        <f t="shared" ca="1" si="91"/>
        <v>5.437503465606261E-2</v>
      </c>
      <c r="DC67" s="42">
        <f t="shared" ca="1" si="92"/>
        <v>1.7161399134964887E-2</v>
      </c>
      <c r="DD67" s="42">
        <f t="shared" ca="1" si="93"/>
        <v>-2419.8824053737494</v>
      </c>
      <c r="DE67" s="40"/>
      <c r="DF67" s="36">
        <f t="shared" si="121"/>
        <v>200</v>
      </c>
      <c r="DG67" s="35">
        <f t="shared" si="94"/>
        <v>0.28399999999999997</v>
      </c>
      <c r="DH67" s="197">
        <f t="shared" si="129"/>
        <v>169.23611111111677</v>
      </c>
      <c r="DI67" s="41">
        <f t="shared" si="95"/>
        <v>0.46366057838662128</v>
      </c>
      <c r="DJ67" s="40">
        <f t="shared" ca="1" si="388"/>
        <v>-1.0714836212798571</v>
      </c>
      <c r="DK67" s="40">
        <f t="shared" si="389"/>
        <v>2.5189751902588361E-2</v>
      </c>
      <c r="DL67" s="40">
        <f t="shared" si="390"/>
        <v>0.19338305926412305</v>
      </c>
      <c r="DM67" s="42">
        <f t="shared" ca="1" si="391"/>
        <v>-5.4104732511664224</v>
      </c>
      <c r="DN67" s="42">
        <f t="shared" ca="1" si="392"/>
        <v>-5.6038563104305457</v>
      </c>
      <c r="DO67" s="42">
        <f t="shared" ca="1" si="393"/>
        <v>3.1429206041982516E-8</v>
      </c>
      <c r="DP67" s="42">
        <f t="shared" ca="1" si="394"/>
        <v>0.99999996857079398</v>
      </c>
      <c r="DQ67" s="42">
        <f t="shared" ca="1" si="395"/>
        <v>1.0481725760036667E-8</v>
      </c>
      <c r="DR67" s="42">
        <f t="shared" ca="1" si="396"/>
        <v>0.99999998951827429</v>
      </c>
      <c r="DS67" s="42">
        <f t="shared" si="397"/>
        <v>0.98162450344672281</v>
      </c>
      <c r="DT67" s="42">
        <f t="shared" si="398"/>
        <v>196.32490068934456</v>
      </c>
      <c r="DU67" s="42">
        <f t="shared" si="399"/>
        <v>0.98801719747153338</v>
      </c>
      <c r="DV67" s="42">
        <f t="shared" ca="1" si="400"/>
        <v>67.679178026800031</v>
      </c>
      <c r="DW67" s="42">
        <f t="shared" ca="1" si="401"/>
        <v>1.7551366496936615E-7</v>
      </c>
      <c r="DX67" s="42">
        <f t="shared" si="402"/>
        <v>0</v>
      </c>
      <c r="DY67" s="92">
        <f t="shared" si="111"/>
        <v>0</v>
      </c>
      <c r="DZ67" s="42">
        <f t="shared" si="112"/>
        <v>0</v>
      </c>
      <c r="EA67" s="42">
        <f t="shared" si="113"/>
        <v>0</v>
      </c>
      <c r="EB67" s="42">
        <f t="shared" si="114"/>
        <v>0</v>
      </c>
      <c r="EC67" s="42">
        <f t="shared" si="115"/>
        <v>0</v>
      </c>
      <c r="ED67" s="42">
        <f t="shared" ca="1" si="116"/>
        <v>0</v>
      </c>
      <c r="EE67" s="40"/>
      <c r="EF67" s="120">
        <f t="shared" ca="1" si="130"/>
        <v>68.5</v>
      </c>
      <c r="EG67" s="42">
        <f t="shared" ca="1" si="403"/>
        <v>-139.86444303350709</v>
      </c>
      <c r="EH67" s="36">
        <f t="shared" ca="1" si="123"/>
        <v>-139.86444303350709</v>
      </c>
      <c r="EI67" s="36">
        <f t="shared" ca="1" si="124"/>
        <v>18.762</v>
      </c>
      <c r="EJ67" s="153">
        <f t="shared" ca="1" si="131"/>
        <v>1</v>
      </c>
      <c r="EK67" s="153" t="str">
        <f t="shared" ca="1" si="229"/>
        <v/>
      </c>
      <c r="EL67" s="153" t="str">
        <f t="shared" ca="1" si="132"/>
        <v/>
      </c>
      <c r="EM67" s="153">
        <f t="shared" ca="1" si="230"/>
        <v>0</v>
      </c>
      <c r="EN67" s="153">
        <f t="shared" ca="1" si="231"/>
        <v>0</v>
      </c>
    </row>
    <row r="68" spans="1:144" x14ac:dyDescent="0.3">
      <c r="A68" s="36">
        <f ca="1">IF($M$22=1,A67+'Auto X'!$E$6,A$48)</f>
        <v>69</v>
      </c>
      <c r="B68" s="35">
        <f>IF($M$22=2,B67+'Auto X'!$E$6,B$48)</f>
        <v>0.28399999999999997</v>
      </c>
      <c r="C68" s="39">
        <f>IF($M$22=3,C67+'Auto X'!$E$6,C$48)</f>
        <v>45295.440972222219</v>
      </c>
      <c r="D68" s="35">
        <f>IF($M$22=4,D67+'Auto X'!$E$6,D$48)</f>
        <v>2.5999999999999999E-2</v>
      </c>
      <c r="E68" s="35">
        <f>IF($M$22=5,E67+'Auto X'!$E$6,E$48)</f>
        <v>0.04</v>
      </c>
      <c r="F68" s="36">
        <f t="shared" si="117"/>
        <v>75</v>
      </c>
      <c r="G68" s="35">
        <f t="shared" si="7"/>
        <v>0.28399999999999997</v>
      </c>
      <c r="H68" s="197">
        <f t="shared" si="125"/>
        <v>169.23611111111677</v>
      </c>
      <c r="I68" s="41">
        <f t="shared" si="8"/>
        <v>0.46366057838662128</v>
      </c>
      <c r="J68" s="40">
        <f t="shared" ca="1" si="328"/>
        <v>-8.3381608939051013E-2</v>
      </c>
      <c r="K68" s="40">
        <f t="shared" si="329"/>
        <v>2.5189751902588361E-2</v>
      </c>
      <c r="L68" s="40">
        <f t="shared" si="330"/>
        <v>0.19338305926412305</v>
      </c>
      <c r="M68" s="42">
        <f t="shared" ca="1" si="331"/>
        <v>-0.30091496772209025</v>
      </c>
      <c r="N68" s="42">
        <f t="shared" ca="1" si="332"/>
        <v>-0.49429802698621328</v>
      </c>
      <c r="O68" s="42">
        <f t="shared" ca="1" si="333"/>
        <v>0.38173966820733285</v>
      </c>
      <c r="P68" s="42">
        <f t="shared" ca="1" si="334"/>
        <v>0.61826033179266715</v>
      </c>
      <c r="Q68" s="42">
        <f t="shared" ca="1" si="335"/>
        <v>0.31054785916917693</v>
      </c>
      <c r="R68" s="42">
        <f t="shared" ca="1" si="336"/>
        <v>0.68945214083082307</v>
      </c>
      <c r="S68" s="42">
        <f t="shared" si="337"/>
        <v>0.98162450344672281</v>
      </c>
      <c r="T68" s="42">
        <f t="shared" si="338"/>
        <v>73.621837758504213</v>
      </c>
      <c r="U68" s="42">
        <f t="shared" si="339"/>
        <v>0.98801719747153338</v>
      </c>
      <c r="V68" s="42">
        <f t="shared" ca="1" si="340"/>
        <v>68.173186625535806</v>
      </c>
      <c r="W68" s="42">
        <f t="shared" ca="1" si="341"/>
        <v>0.38128298296621066</v>
      </c>
      <c r="X68" s="42">
        <f t="shared" ca="1" si="342"/>
        <v>8.6099566720330714</v>
      </c>
      <c r="Y68" s="42">
        <f t="shared" ca="1" si="19"/>
        <v>-0.61085184032561135</v>
      </c>
      <c r="Z68" s="42">
        <f t="shared" ca="1" si="20"/>
        <v>2.8232179696126132E-2</v>
      </c>
      <c r="AA68" s="42">
        <f t="shared" ca="1" si="21"/>
        <v>-1.2290802066754258E-2</v>
      </c>
      <c r="AB68" s="42">
        <f t="shared" ca="1" si="22"/>
        <v>0.17699504311459324</v>
      </c>
      <c r="AC68" s="42">
        <f t="shared" ca="1" si="23"/>
        <v>-0.23534823804418045</v>
      </c>
      <c r="AD68" s="42">
        <f t="shared" ca="1" si="24"/>
        <v>2504.9783360165356</v>
      </c>
      <c r="AF68" s="36">
        <f t="shared" si="118"/>
        <v>80</v>
      </c>
      <c r="AG68" s="35">
        <f t="shared" si="25"/>
        <v>0.28399999999999997</v>
      </c>
      <c r="AH68" s="197">
        <f t="shared" si="126"/>
        <v>169.23611111111677</v>
      </c>
      <c r="AI68" s="41">
        <f t="shared" si="26"/>
        <v>0.46366057838662128</v>
      </c>
      <c r="AJ68" s="40">
        <f t="shared" ca="1" si="343"/>
        <v>-0.14792013007662219</v>
      </c>
      <c r="AK68" s="40">
        <f t="shared" si="344"/>
        <v>2.5189751902588361E-2</v>
      </c>
      <c r="AL68" s="40">
        <f t="shared" si="345"/>
        <v>0.19338305926412305</v>
      </c>
      <c r="AM68" s="42">
        <f t="shared" ca="1" si="346"/>
        <v>-0.63464906719884073</v>
      </c>
      <c r="AN68" s="42">
        <f t="shared" ca="1" si="347"/>
        <v>-0.82803212646296376</v>
      </c>
      <c r="AO68" s="42">
        <f t="shared" ca="1" si="348"/>
        <v>0.26282865945375772</v>
      </c>
      <c r="AP68" s="42">
        <f t="shared" ca="1" si="349"/>
        <v>0.73717134054624234</v>
      </c>
      <c r="AQ68" s="42">
        <f t="shared" ca="1" si="350"/>
        <v>0.20382615302417867</v>
      </c>
      <c r="AR68" s="42">
        <f t="shared" ca="1" si="351"/>
        <v>0.79617384697582128</v>
      </c>
      <c r="AS68" s="42">
        <f t="shared" si="352"/>
        <v>0.98162450344672281</v>
      </c>
      <c r="AT68" s="42">
        <f t="shared" si="353"/>
        <v>78.529960275737821</v>
      </c>
      <c r="AU68" s="42">
        <f t="shared" si="354"/>
        <v>0.98801719747153338</v>
      </c>
      <c r="AV68" s="42">
        <f t="shared" ca="1" si="355"/>
        <v>68.173186625535806</v>
      </c>
      <c r="AW68" s="42">
        <f t="shared" ca="1" si="356"/>
        <v>0.32617271005648579</v>
      </c>
      <c r="AX68" s="42">
        <f t="shared" ca="1" si="357"/>
        <v>12.268181201537217</v>
      </c>
      <c r="AY68" s="42">
        <f t="shared" ca="1" si="42"/>
        <v>-0.72833796194283174</v>
      </c>
      <c r="AZ68" s="42">
        <f t="shared" ca="1" si="43"/>
        <v>2.4151527798719565E-2</v>
      </c>
      <c r="BA68" s="42">
        <f t="shared" ca="1" si="44"/>
        <v>-9.4324122019523032E-3</v>
      </c>
      <c r="BB68" s="42">
        <f t="shared" ca="1" si="45"/>
        <v>0.15141235108404391</v>
      </c>
      <c r="BC68" s="42">
        <f t="shared" ca="1" si="46"/>
        <v>-0.28989682439635517</v>
      </c>
      <c r="BD68" s="42">
        <f t="shared" ca="1" si="47"/>
        <v>-3309.0906007686085</v>
      </c>
      <c r="BE68" s="40"/>
      <c r="BF68" s="36">
        <f t="shared" si="119"/>
        <v>90</v>
      </c>
      <c r="BG68" s="35">
        <f t="shared" si="48"/>
        <v>0.28399999999999997</v>
      </c>
      <c r="BH68" s="197">
        <f t="shared" si="127"/>
        <v>169.23611111111677</v>
      </c>
      <c r="BI68" s="41">
        <f t="shared" si="49"/>
        <v>0.46366057838662128</v>
      </c>
      <c r="BJ68" s="40">
        <f t="shared" ca="1" si="358"/>
        <v>-0.26570316573300562</v>
      </c>
      <c r="BK68" s="40">
        <f t="shared" si="359"/>
        <v>2.5189751902588361E-2</v>
      </c>
      <c r="BL68" s="40">
        <f t="shared" si="360"/>
        <v>0.19338305926412305</v>
      </c>
      <c r="BM68" s="42">
        <f t="shared" ca="1" si="361"/>
        <v>-1.2437150117783764</v>
      </c>
      <c r="BN68" s="42">
        <f t="shared" ca="1" si="362"/>
        <v>-1.4370980710424994</v>
      </c>
      <c r="BO68" s="42">
        <f t="shared" ca="1" si="363"/>
        <v>0.10680223451916289</v>
      </c>
      <c r="BP68" s="42">
        <f t="shared" ca="1" si="364"/>
        <v>0.89319776548083707</v>
      </c>
      <c r="BQ68" s="42">
        <f t="shared" ca="1" si="365"/>
        <v>7.5345064630012434E-2</v>
      </c>
      <c r="BR68" s="42">
        <f t="shared" ca="1" si="366"/>
        <v>0.92465493536998755</v>
      </c>
      <c r="BS68" s="42">
        <f t="shared" si="367"/>
        <v>0.98162450344672281</v>
      </c>
      <c r="BT68" s="42">
        <f t="shared" si="368"/>
        <v>88.34620531020505</v>
      </c>
      <c r="BU68" s="42">
        <f t="shared" si="369"/>
        <v>0.98801719747153338</v>
      </c>
      <c r="BV68" s="42">
        <f t="shared" ca="1" si="370"/>
        <v>68.173186625535806</v>
      </c>
      <c r="BW68" s="42">
        <f t="shared" ca="1" si="371"/>
        <v>0.18408603512287222</v>
      </c>
      <c r="BX68" s="42">
        <f t="shared" ca="1" si="372"/>
        <v>0.62459811698538736</v>
      </c>
      <c r="BY68" s="42">
        <f t="shared" ca="1" si="65"/>
        <v>0.10552244443332078</v>
      </c>
      <c r="BZ68" s="42">
        <f t="shared" ca="1" si="66"/>
        <v>1.363068968540064E-2</v>
      </c>
      <c r="CA68" s="42">
        <f t="shared" ca="1" si="67"/>
        <v>-7.3810002586002987E-3</v>
      </c>
      <c r="CB68" s="42">
        <f t="shared" ca="1" si="68"/>
        <v>8.5454418841070454E-2</v>
      </c>
      <c r="CC68" s="42">
        <f t="shared" ca="1" si="69"/>
        <v>3.086333711511291E-2</v>
      </c>
      <c r="CD68" s="42">
        <f t="shared" ca="1" si="70"/>
        <v>3087.7009415073062</v>
      </c>
      <c r="CE68" s="40"/>
      <c r="CF68" s="36">
        <f t="shared" si="120"/>
        <v>95</v>
      </c>
      <c r="CG68" s="35">
        <f t="shared" si="71"/>
        <v>0.28399999999999997</v>
      </c>
      <c r="CH68" s="197">
        <f t="shared" si="128"/>
        <v>169.23611111111677</v>
      </c>
      <c r="CI68" s="41">
        <f t="shared" si="72"/>
        <v>0.46366057838662128</v>
      </c>
      <c r="CJ68" s="40">
        <f t="shared" ca="1" si="373"/>
        <v>-0.31977038700328142</v>
      </c>
      <c r="CK68" s="40">
        <f t="shared" si="374"/>
        <v>2.5189751902588361E-2</v>
      </c>
      <c r="CL68" s="40">
        <f t="shared" si="375"/>
        <v>0.19338305926412305</v>
      </c>
      <c r="CM68" s="42">
        <f t="shared" ca="1" si="376"/>
        <v>-1.5233011424147247</v>
      </c>
      <c r="CN68" s="42">
        <f t="shared" ca="1" si="377"/>
        <v>-1.7166842016788477</v>
      </c>
      <c r="CO68" s="42">
        <f t="shared" ca="1" si="378"/>
        <v>6.3841690739456808E-2</v>
      </c>
      <c r="CP68" s="42">
        <f t="shared" ca="1" si="379"/>
        <v>0.93615830926054322</v>
      </c>
      <c r="CQ68" s="42">
        <f t="shared" ca="1" si="380"/>
        <v>4.3018444127577896E-2</v>
      </c>
      <c r="CR68" s="42">
        <f t="shared" ca="1" si="381"/>
        <v>0.95698155587242206</v>
      </c>
      <c r="CS68" s="42">
        <f t="shared" si="382"/>
        <v>0.98162450344672281</v>
      </c>
      <c r="CT68" s="42">
        <f t="shared" si="383"/>
        <v>93.254327827438672</v>
      </c>
      <c r="CU68" s="42">
        <f t="shared" si="384"/>
        <v>0.98801719747153338</v>
      </c>
      <c r="CV68" s="42">
        <f t="shared" ca="1" si="385"/>
        <v>68.173186625535806</v>
      </c>
      <c r="CW68" s="42">
        <f t="shared" ca="1" si="386"/>
        <v>0.12503498279854172</v>
      </c>
      <c r="CX68" s="42">
        <f t="shared" ca="1" si="387"/>
        <v>0.34063540597122621</v>
      </c>
      <c r="CY68" s="42">
        <f t="shared" ca="1" si="88"/>
        <v>6.3076688366242459E-2</v>
      </c>
      <c r="CZ68" s="42">
        <f t="shared" ca="1" si="89"/>
        <v>9.2582419367593441E-3</v>
      </c>
      <c r="DA68" s="42">
        <f t="shared" ca="1" si="90"/>
        <v>-4.9997369968048464E-3</v>
      </c>
      <c r="DB68" s="42">
        <f t="shared" ca="1" si="91"/>
        <v>5.8042381013425744E-2</v>
      </c>
      <c r="DC68" s="42">
        <f t="shared" ca="1" si="92"/>
        <v>1.8600467835801399E-2</v>
      </c>
      <c r="DD68" s="42">
        <f t="shared" ca="1" si="93"/>
        <v>-2404.6822970143871</v>
      </c>
      <c r="DE68" s="40"/>
      <c r="DF68" s="36">
        <f t="shared" si="121"/>
        <v>200</v>
      </c>
      <c r="DG68" s="35">
        <f t="shared" si="94"/>
        <v>0.28399999999999997</v>
      </c>
      <c r="DH68" s="197">
        <f t="shared" si="129"/>
        <v>169.23611111111677</v>
      </c>
      <c r="DI68" s="41">
        <f t="shared" si="95"/>
        <v>0.46366057838662128</v>
      </c>
      <c r="DJ68" s="40">
        <f t="shared" ca="1" si="388"/>
        <v>-1.0642108619507773</v>
      </c>
      <c r="DK68" s="40">
        <f t="shared" si="389"/>
        <v>2.5189751902588361E-2</v>
      </c>
      <c r="DL68" s="40">
        <f t="shared" si="390"/>
        <v>0.19338305926412305</v>
      </c>
      <c r="DM68" s="42">
        <f t="shared" ca="1" si="391"/>
        <v>-5.3728652034048725</v>
      </c>
      <c r="DN68" s="42">
        <f t="shared" ca="1" si="392"/>
        <v>-5.5662482626689957</v>
      </c>
      <c r="DO68" s="42">
        <f t="shared" ca="1" si="393"/>
        <v>3.874763087513953E-8</v>
      </c>
      <c r="DP68" s="42">
        <f t="shared" ca="1" si="394"/>
        <v>0.99999996125236912</v>
      </c>
      <c r="DQ68" s="42">
        <f t="shared" ca="1" si="395"/>
        <v>1.3014117290834066E-8</v>
      </c>
      <c r="DR68" s="42">
        <f t="shared" ca="1" si="396"/>
        <v>0.99999998698588266</v>
      </c>
      <c r="DS68" s="42">
        <f t="shared" si="397"/>
        <v>0.98162450344672281</v>
      </c>
      <c r="DT68" s="42">
        <f t="shared" si="398"/>
        <v>196.32490068934456</v>
      </c>
      <c r="DU68" s="42">
        <f t="shared" si="399"/>
        <v>0.98801719747153338</v>
      </c>
      <c r="DV68" s="42">
        <f t="shared" ca="1" si="400"/>
        <v>68.173186625535806</v>
      </c>
      <c r="DW68" s="42">
        <f t="shared" ca="1" si="401"/>
        <v>2.1496754360650106E-7</v>
      </c>
      <c r="DX68" s="42">
        <f t="shared" si="402"/>
        <v>0</v>
      </c>
      <c r="DY68" s="92">
        <f t="shared" si="111"/>
        <v>0</v>
      </c>
      <c r="DZ68" s="42">
        <f t="shared" si="112"/>
        <v>0</v>
      </c>
      <c r="EA68" s="42">
        <f t="shared" si="113"/>
        <v>0</v>
      </c>
      <c r="EB68" s="42">
        <f t="shared" si="114"/>
        <v>0</v>
      </c>
      <c r="EC68" s="42">
        <f t="shared" si="115"/>
        <v>0</v>
      </c>
      <c r="ED68" s="42">
        <f t="shared" ca="1" si="116"/>
        <v>0</v>
      </c>
      <c r="EE68" s="40"/>
      <c r="EF68" s="120">
        <f t="shared" ca="1" si="130"/>
        <v>69</v>
      </c>
      <c r="EG68" s="42">
        <f t="shared" ca="1" si="403"/>
        <v>-121.09362025915379</v>
      </c>
      <c r="EH68" s="36">
        <f t="shared" ca="1" si="123"/>
        <v>-121.09362025915379</v>
      </c>
      <c r="EI68" s="36">
        <f t="shared" ca="1" si="124"/>
        <v>18.771000000000001</v>
      </c>
      <c r="EJ68" s="153">
        <f t="shared" ca="1" si="131"/>
        <v>1</v>
      </c>
      <c r="EK68" s="153" t="str">
        <f t="shared" ca="1" si="229"/>
        <v/>
      </c>
      <c r="EL68" s="153" t="str">
        <f t="shared" ca="1" si="132"/>
        <v/>
      </c>
      <c r="EM68" s="153">
        <f t="shared" ca="1" si="230"/>
        <v>0</v>
      </c>
      <c r="EN68" s="153">
        <f t="shared" ca="1" si="231"/>
        <v>0</v>
      </c>
    </row>
    <row r="69" spans="1:144" x14ac:dyDescent="0.3">
      <c r="A69" s="36">
        <f ca="1">IF($M$22=1,A68+'Auto X'!$E$6,A$48)</f>
        <v>69.5</v>
      </c>
      <c r="B69" s="35">
        <f>IF($M$22=2,B68+'Auto X'!$E$6,B$48)</f>
        <v>0.28399999999999997</v>
      </c>
      <c r="C69" s="39">
        <f>IF($M$22=3,C68+'Auto X'!$E$6,C$48)</f>
        <v>45295.440972222219</v>
      </c>
      <c r="D69" s="35">
        <f>IF($M$22=4,D68+'Auto X'!$E$6,D$48)</f>
        <v>2.5999999999999999E-2</v>
      </c>
      <c r="E69" s="35">
        <f>IF($M$22=5,E68+'Auto X'!$E$6,E$48)</f>
        <v>0.04</v>
      </c>
      <c r="F69" s="36">
        <f t="shared" si="117"/>
        <v>75</v>
      </c>
      <c r="G69" s="35">
        <f t="shared" si="7"/>
        <v>0.28399999999999997</v>
      </c>
      <c r="H69" s="197">
        <f t="shared" si="125"/>
        <v>169.23611111111677</v>
      </c>
      <c r="I69" s="41">
        <f t="shared" si="8"/>
        <v>0.46366057838662128</v>
      </c>
      <c r="J69" s="40">
        <f t="shared" ca="1" si="328"/>
        <v>-7.6161360965564029E-2</v>
      </c>
      <c r="K69" s="40">
        <f t="shared" si="329"/>
        <v>2.5189751902588361E-2</v>
      </c>
      <c r="L69" s="40">
        <f t="shared" si="330"/>
        <v>0.19338305926412305</v>
      </c>
      <c r="M69" s="42">
        <f t="shared" ca="1" si="331"/>
        <v>-0.26357846057941675</v>
      </c>
      <c r="N69" s="42">
        <f t="shared" ca="1" si="332"/>
        <v>-0.45696151984353983</v>
      </c>
      <c r="O69" s="42">
        <f t="shared" ca="1" si="333"/>
        <v>0.39605237885675848</v>
      </c>
      <c r="P69" s="42">
        <f t="shared" ca="1" si="334"/>
        <v>0.60394762114324152</v>
      </c>
      <c r="Q69" s="42">
        <f t="shared" ca="1" si="335"/>
        <v>0.32384935203660964</v>
      </c>
      <c r="R69" s="42">
        <f t="shared" ca="1" si="336"/>
        <v>0.67615064796339031</v>
      </c>
      <c r="S69" s="42">
        <f t="shared" si="337"/>
        <v>0.98162450344672281</v>
      </c>
      <c r="T69" s="42">
        <f t="shared" si="338"/>
        <v>73.621837758504213</v>
      </c>
      <c r="U69" s="42">
        <f t="shared" si="339"/>
        <v>0.98801719747153338</v>
      </c>
      <c r="V69" s="42">
        <f t="shared" ca="1" si="340"/>
        <v>68.667195224271566</v>
      </c>
      <c r="W69" s="42">
        <f t="shared" ca="1" si="341"/>
        <v>0.3853222292550153</v>
      </c>
      <c r="X69" s="42">
        <f t="shared" ca="1" si="342"/>
        <v>8.3080640983908509</v>
      </c>
      <c r="Y69" s="42">
        <f t="shared" ca="1" si="19"/>
        <v>-0.59671063606154484</v>
      </c>
      <c r="Z69" s="42">
        <f t="shared" ca="1" si="20"/>
        <v>2.8326005637619191E-2</v>
      </c>
      <c r="AA69" s="42">
        <f t="shared" ca="1" si="21"/>
        <v>-1.2615953562533398E-2</v>
      </c>
      <c r="AB69" s="42">
        <f t="shared" ca="1" si="22"/>
        <v>0.18016625826543819</v>
      </c>
      <c r="AC69" s="42">
        <f t="shared" ca="1" si="23"/>
        <v>-0.23080770111012272</v>
      </c>
      <c r="AD69" s="42">
        <f t="shared" ca="1" si="24"/>
        <v>2354.0320491954258</v>
      </c>
      <c r="AF69" s="36">
        <f t="shared" si="118"/>
        <v>80</v>
      </c>
      <c r="AG69" s="35">
        <f t="shared" si="25"/>
        <v>0.28399999999999997</v>
      </c>
      <c r="AH69" s="197">
        <f t="shared" si="126"/>
        <v>169.23611111111677</v>
      </c>
      <c r="AI69" s="41">
        <f t="shared" si="26"/>
        <v>0.46366057838662128</v>
      </c>
      <c r="AJ69" s="40">
        <f t="shared" ca="1" si="343"/>
        <v>-0.14069988210313514</v>
      </c>
      <c r="AK69" s="40">
        <f t="shared" si="344"/>
        <v>2.5189751902588361E-2</v>
      </c>
      <c r="AL69" s="40">
        <f t="shared" si="345"/>
        <v>0.19338305926412305</v>
      </c>
      <c r="AM69" s="42">
        <f t="shared" ca="1" si="346"/>
        <v>-0.59731256005616684</v>
      </c>
      <c r="AN69" s="42">
        <f t="shared" ca="1" si="347"/>
        <v>-0.79069561932028987</v>
      </c>
      <c r="AO69" s="42">
        <f t="shared" ca="1" si="348"/>
        <v>0.27514936016487151</v>
      </c>
      <c r="AP69" s="42">
        <f t="shared" ca="1" si="349"/>
        <v>0.72485063983512843</v>
      </c>
      <c r="AQ69" s="42">
        <f t="shared" ca="1" si="350"/>
        <v>0.21456081651131256</v>
      </c>
      <c r="AR69" s="42">
        <f t="shared" ca="1" si="351"/>
        <v>0.78543918348868746</v>
      </c>
      <c r="AS69" s="42">
        <f t="shared" si="352"/>
        <v>0.98162450344672281</v>
      </c>
      <c r="AT69" s="42">
        <f t="shared" si="353"/>
        <v>78.529960275737821</v>
      </c>
      <c r="AU69" s="42">
        <f t="shared" si="354"/>
        <v>0.98801719747153338</v>
      </c>
      <c r="AV69" s="42">
        <f t="shared" ca="1" si="355"/>
        <v>68.667195224271566</v>
      </c>
      <c r="AW69" s="42">
        <f t="shared" ca="1" si="356"/>
        <v>0.33376114371892279</v>
      </c>
      <c r="AX69" s="42">
        <f t="shared" ca="1" si="357"/>
        <v>11.907047484377657</v>
      </c>
      <c r="AY69" s="42">
        <f t="shared" ca="1" si="42"/>
        <v>-0.71616489775535142</v>
      </c>
      <c r="AZ69" s="42">
        <f t="shared" ca="1" si="43"/>
        <v>2.4535620633356917E-2</v>
      </c>
      <c r="BA69" s="42">
        <f t="shared" ca="1" si="44"/>
        <v>-9.8802444965285126E-3</v>
      </c>
      <c r="BB69" s="42">
        <f t="shared" ca="1" si="45"/>
        <v>0.15605768848190274</v>
      </c>
      <c r="BC69" s="42">
        <f t="shared" ca="1" si="46"/>
        <v>-0.28598819958067712</v>
      </c>
      <c r="BD69" s="42">
        <f t="shared" ca="1" si="47"/>
        <v>-3128.5237421888282</v>
      </c>
      <c r="BE69" s="40"/>
      <c r="BF69" s="36">
        <f t="shared" si="119"/>
        <v>90</v>
      </c>
      <c r="BG69" s="35">
        <f t="shared" si="48"/>
        <v>0.28399999999999997</v>
      </c>
      <c r="BH69" s="197">
        <f t="shared" si="127"/>
        <v>169.23611111111677</v>
      </c>
      <c r="BI69" s="41">
        <f t="shared" si="49"/>
        <v>0.46366057838662128</v>
      </c>
      <c r="BJ69" s="40">
        <f t="shared" ca="1" si="358"/>
        <v>-0.25848291775951859</v>
      </c>
      <c r="BK69" s="40">
        <f t="shared" si="359"/>
        <v>2.5189751902588361E-2</v>
      </c>
      <c r="BL69" s="40">
        <f t="shared" si="360"/>
        <v>0.19338305926412305</v>
      </c>
      <c r="BM69" s="42">
        <f t="shared" ca="1" si="361"/>
        <v>-1.2063785046357025</v>
      </c>
      <c r="BN69" s="42">
        <f t="shared" ca="1" si="362"/>
        <v>-1.3997615638998255</v>
      </c>
      <c r="BO69" s="42">
        <f t="shared" ca="1" si="363"/>
        <v>0.11383579016250714</v>
      </c>
      <c r="BP69" s="42">
        <f t="shared" ca="1" si="364"/>
        <v>0.88616420983749289</v>
      </c>
      <c r="BQ69" s="42">
        <f t="shared" ca="1" si="365"/>
        <v>8.0792365625681359E-2</v>
      </c>
      <c r="BR69" s="42">
        <f t="shared" ca="1" si="366"/>
        <v>0.91920763437431863</v>
      </c>
      <c r="BS69" s="42">
        <f t="shared" si="367"/>
        <v>0.98162450344672281</v>
      </c>
      <c r="BT69" s="42">
        <f t="shared" si="368"/>
        <v>88.34620531020505</v>
      </c>
      <c r="BU69" s="42">
        <f t="shared" si="369"/>
        <v>0.98801719747153338</v>
      </c>
      <c r="BV69" s="42">
        <f t="shared" ca="1" si="370"/>
        <v>68.667195224271566</v>
      </c>
      <c r="BW69" s="42">
        <f t="shared" ca="1" si="371"/>
        <v>0.19270146879074371</v>
      </c>
      <c r="BX69" s="42">
        <f t="shared" ca="1" si="372"/>
        <v>0.67908550553449221</v>
      </c>
      <c r="BY69" s="42">
        <f t="shared" ca="1" si="65"/>
        <v>0.11247171836831785</v>
      </c>
      <c r="BZ69" s="42">
        <f t="shared" ca="1" si="66"/>
        <v>1.4165969354785306E-2</v>
      </c>
      <c r="CA69" s="42">
        <f t="shared" ca="1" si="67"/>
        <v>-7.7855396101073285E-3</v>
      </c>
      <c r="CB69" s="42">
        <f t="shared" ca="1" si="68"/>
        <v>9.010199764858369E-2</v>
      </c>
      <c r="CC69" s="42">
        <f t="shared" ca="1" si="69"/>
        <v>3.3094696100899108E-2</v>
      </c>
      <c r="CD69" s="42">
        <f t="shared" ca="1" si="70"/>
        <v>3060.4572472327536</v>
      </c>
      <c r="CE69" s="40"/>
      <c r="CF69" s="36">
        <f t="shared" si="120"/>
        <v>95</v>
      </c>
      <c r="CG69" s="35">
        <f t="shared" si="71"/>
        <v>0.28399999999999997</v>
      </c>
      <c r="CH69" s="197">
        <f t="shared" si="128"/>
        <v>169.23611111111677</v>
      </c>
      <c r="CI69" s="41">
        <f t="shared" si="72"/>
        <v>0.46366057838662128</v>
      </c>
      <c r="CJ69" s="40">
        <f t="shared" ca="1" si="373"/>
        <v>-0.31255013902979434</v>
      </c>
      <c r="CK69" s="40">
        <f t="shared" si="374"/>
        <v>2.5189751902588361E-2</v>
      </c>
      <c r="CL69" s="40">
        <f t="shared" si="375"/>
        <v>0.19338305926412305</v>
      </c>
      <c r="CM69" s="42">
        <f t="shared" ca="1" si="376"/>
        <v>-1.4859646352720506</v>
      </c>
      <c r="CN69" s="42">
        <f t="shared" ca="1" si="377"/>
        <v>-1.6793476945361736</v>
      </c>
      <c r="CO69" s="42">
        <f t="shared" ca="1" si="378"/>
        <v>6.8644237722819718E-2</v>
      </c>
      <c r="CP69" s="42">
        <f t="shared" ca="1" si="379"/>
        <v>0.93135576227718031</v>
      </c>
      <c r="CQ69" s="42">
        <f t="shared" ca="1" si="380"/>
        <v>4.6542150398565692E-2</v>
      </c>
      <c r="CR69" s="42">
        <f t="shared" ca="1" si="381"/>
        <v>0.95345784960143432</v>
      </c>
      <c r="CS69" s="42">
        <f t="shared" si="382"/>
        <v>0.98162450344672281</v>
      </c>
      <c r="CT69" s="42">
        <f t="shared" si="383"/>
        <v>93.254327827438672</v>
      </c>
      <c r="CU69" s="42">
        <f t="shared" si="384"/>
        <v>0.98801719747153338</v>
      </c>
      <c r="CV69" s="42">
        <f t="shared" ca="1" si="385"/>
        <v>68.667195224271566</v>
      </c>
      <c r="CW69" s="42">
        <f t="shared" ca="1" si="386"/>
        <v>0.13226021358570225</v>
      </c>
      <c r="CX69" s="42">
        <f t="shared" ca="1" si="387"/>
        <v>0.37335032167236815</v>
      </c>
      <c r="CY69" s="42">
        <f t="shared" ca="1" si="88"/>
        <v>6.7821687377470047E-2</v>
      </c>
      <c r="CZ69" s="42">
        <f t="shared" ca="1" si="89"/>
        <v>9.7227807565232957E-3</v>
      </c>
      <c r="DA69" s="42">
        <f t="shared" ca="1" si="90"/>
        <v>-5.3287643133506464E-3</v>
      </c>
      <c r="DB69" s="42">
        <f t="shared" ca="1" si="91"/>
        <v>6.1841300578984175E-2</v>
      </c>
      <c r="DC69" s="42">
        <f t="shared" ca="1" si="92"/>
        <v>2.0124060482758676E-2</v>
      </c>
      <c r="DD69" s="42">
        <f t="shared" ca="1" si="93"/>
        <v>-2388.3248391638163</v>
      </c>
      <c r="DE69" s="40"/>
      <c r="DF69" s="36">
        <f t="shared" si="121"/>
        <v>200</v>
      </c>
      <c r="DG69" s="35">
        <f t="shared" si="94"/>
        <v>0.28399999999999997</v>
      </c>
      <c r="DH69" s="197">
        <f t="shared" si="129"/>
        <v>169.23611111111677</v>
      </c>
      <c r="DI69" s="41">
        <f t="shared" si="95"/>
        <v>0.46366057838662128</v>
      </c>
      <c r="DJ69" s="40">
        <f t="shared" ca="1" si="388"/>
        <v>-1.0569906139772902</v>
      </c>
      <c r="DK69" s="40">
        <f t="shared" si="389"/>
        <v>2.5189751902588361E-2</v>
      </c>
      <c r="DL69" s="40">
        <f t="shared" si="390"/>
        <v>0.19338305926412305</v>
      </c>
      <c r="DM69" s="42">
        <f t="shared" ca="1" si="391"/>
        <v>-5.3355286962621982</v>
      </c>
      <c r="DN69" s="42">
        <f t="shared" ca="1" si="392"/>
        <v>-5.5289117555263214</v>
      </c>
      <c r="DO69" s="42">
        <f t="shared" ca="1" si="393"/>
        <v>4.7633280119431987E-8</v>
      </c>
      <c r="DP69" s="42">
        <f t="shared" ca="1" si="394"/>
        <v>0.9999999523667199</v>
      </c>
      <c r="DQ69" s="42">
        <f t="shared" ca="1" si="395"/>
        <v>1.6111168402780209E-8</v>
      </c>
      <c r="DR69" s="42">
        <f t="shared" ca="1" si="396"/>
        <v>0.9999999838888316</v>
      </c>
      <c r="DS69" s="42">
        <f t="shared" si="397"/>
        <v>0.98162450344672281</v>
      </c>
      <c r="DT69" s="42">
        <f t="shared" si="398"/>
        <v>196.32490068934456</v>
      </c>
      <c r="DU69" s="42">
        <f t="shared" si="399"/>
        <v>0.98801719747153338</v>
      </c>
      <c r="DV69" s="42">
        <f t="shared" ca="1" si="400"/>
        <v>68.667195224271566</v>
      </c>
      <c r="DW69" s="42">
        <f t="shared" ca="1" si="401"/>
        <v>2.6253753687381886E-7</v>
      </c>
      <c r="DX69" s="42">
        <f t="shared" si="402"/>
        <v>0</v>
      </c>
      <c r="DY69" s="92">
        <f t="shared" si="111"/>
        <v>0</v>
      </c>
      <c r="DZ69" s="42">
        <f t="shared" si="112"/>
        <v>0</v>
      </c>
      <c r="EA69" s="42">
        <f t="shared" si="113"/>
        <v>0</v>
      </c>
      <c r="EB69" s="42">
        <f t="shared" si="114"/>
        <v>0</v>
      </c>
      <c r="EC69" s="42">
        <f t="shared" si="115"/>
        <v>0</v>
      </c>
      <c r="ED69" s="42">
        <f t="shared" ca="1" si="116"/>
        <v>0</v>
      </c>
      <c r="EE69" s="40"/>
      <c r="EF69" s="120">
        <f t="shared" ca="1" si="130"/>
        <v>69.5</v>
      </c>
      <c r="EG69" s="42">
        <f t="shared" ca="1" si="403"/>
        <v>-102.3592849244651</v>
      </c>
      <c r="EH69" s="36">
        <f t="shared" ca="1" si="123"/>
        <v>-102.3592849244651</v>
      </c>
      <c r="EI69" s="36">
        <f t="shared" ca="1" si="124"/>
        <v>18.734000000000002</v>
      </c>
      <c r="EJ69" s="153">
        <f t="shared" ca="1" si="131"/>
        <v>1</v>
      </c>
      <c r="EK69" s="153" t="str">
        <f t="shared" ca="1" si="229"/>
        <v/>
      </c>
      <c r="EL69" s="153" t="str">
        <f t="shared" ca="1" si="132"/>
        <v/>
      </c>
      <c r="EM69" s="153">
        <f t="shared" ca="1" si="230"/>
        <v>0</v>
      </c>
      <c r="EN69" s="153">
        <f t="shared" ca="1" si="231"/>
        <v>0</v>
      </c>
    </row>
    <row r="70" spans="1:144" x14ac:dyDescent="0.3">
      <c r="A70" s="36">
        <f ca="1">IF($M$22=1,A69+'Auto X'!$E$6,A$48)</f>
        <v>70</v>
      </c>
      <c r="B70" s="35">
        <f>IF($M$22=2,B69+'Auto X'!$E$6,B$48)</f>
        <v>0.28399999999999997</v>
      </c>
      <c r="C70" s="39">
        <f>IF($M$22=3,C69+'Auto X'!$E$6,C$48)</f>
        <v>45295.440972222219</v>
      </c>
      <c r="D70" s="35">
        <f>IF($M$22=4,D69+'Auto X'!$E$6,D$48)</f>
        <v>2.5999999999999999E-2</v>
      </c>
      <c r="E70" s="35">
        <f>IF($M$22=5,E69+'Auto X'!$E$6,E$48)</f>
        <v>0.04</v>
      </c>
      <c r="F70" s="36">
        <f t="shared" si="117"/>
        <v>75</v>
      </c>
      <c r="G70" s="35">
        <f t="shared" si="7"/>
        <v>0.28399999999999997</v>
      </c>
      <c r="H70" s="197">
        <f t="shared" si="125"/>
        <v>169.23611111111677</v>
      </c>
      <c r="I70" s="41">
        <f t="shared" si="8"/>
        <v>0.46366057838662128</v>
      </c>
      <c r="J70" s="40">
        <f t="shared" ca="1" si="328"/>
        <v>-6.8992871486951435E-2</v>
      </c>
      <c r="K70" s="40">
        <f t="shared" si="329"/>
        <v>2.5189751902588361E-2</v>
      </c>
      <c r="L70" s="40">
        <f t="shared" si="330"/>
        <v>0.19338305926412305</v>
      </c>
      <c r="M70" s="42">
        <f t="shared" ca="1" si="331"/>
        <v>-0.22650960094977432</v>
      </c>
      <c r="N70" s="42">
        <f t="shared" ca="1" si="332"/>
        <v>-0.41989266021389737</v>
      </c>
      <c r="O70" s="42">
        <f t="shared" ca="1" si="333"/>
        <v>0.41040254639454782</v>
      </c>
      <c r="P70" s="42">
        <f t="shared" ca="1" si="334"/>
        <v>0.58959745360545224</v>
      </c>
      <c r="Q70" s="42">
        <f t="shared" ca="1" si="335"/>
        <v>0.33728193494912184</v>
      </c>
      <c r="R70" s="42">
        <f t="shared" ca="1" si="336"/>
        <v>0.66271806505087816</v>
      </c>
      <c r="S70" s="42">
        <f t="shared" si="337"/>
        <v>0.98162450344672281</v>
      </c>
      <c r="T70" s="42">
        <f t="shared" si="338"/>
        <v>73.621837758504213</v>
      </c>
      <c r="U70" s="42">
        <f t="shared" si="339"/>
        <v>0.98801719747153338</v>
      </c>
      <c r="V70" s="42">
        <f t="shared" ca="1" si="340"/>
        <v>69.161203823007341</v>
      </c>
      <c r="W70" s="42">
        <f t="shared" ca="1" si="341"/>
        <v>0.38883824950979012</v>
      </c>
      <c r="X70" s="42">
        <f t="shared" ca="1" si="342"/>
        <v>8.0132522024727919</v>
      </c>
      <c r="Y70" s="42">
        <f t="shared" ca="1" si="19"/>
        <v>-0.58253242374761138</v>
      </c>
      <c r="Z70" s="42">
        <f t="shared" ca="1" si="20"/>
        <v>2.838030228798652E-2</v>
      </c>
      <c r="AA70" s="42">
        <f t="shared" ca="1" si="21"/>
        <v>-1.292257590934531E-2</v>
      </c>
      <c r="AB70" s="42">
        <f t="shared" ca="1" si="22"/>
        <v>0.1831182417315044</v>
      </c>
      <c r="AC70" s="42">
        <f t="shared" ca="1" si="23"/>
        <v>-0.22622241587620853</v>
      </c>
      <c r="AD70" s="42">
        <f t="shared" ca="1" si="24"/>
        <v>2206.6261012363962</v>
      </c>
      <c r="AF70" s="36">
        <f t="shared" si="118"/>
        <v>80</v>
      </c>
      <c r="AG70" s="35">
        <f t="shared" si="25"/>
        <v>0.28399999999999997</v>
      </c>
      <c r="AH70" s="197">
        <f t="shared" si="126"/>
        <v>169.23611111111677</v>
      </c>
      <c r="AI70" s="41">
        <f t="shared" si="26"/>
        <v>0.46366057838662128</v>
      </c>
      <c r="AJ70" s="40">
        <f t="shared" ca="1" si="343"/>
        <v>-0.13353139262452263</v>
      </c>
      <c r="AK70" s="40">
        <f t="shared" si="344"/>
        <v>2.5189751902588361E-2</v>
      </c>
      <c r="AL70" s="40">
        <f t="shared" si="345"/>
        <v>0.19338305926412305</v>
      </c>
      <c r="AM70" s="42">
        <f t="shared" ca="1" si="346"/>
        <v>-0.56024370042652494</v>
      </c>
      <c r="AN70" s="42">
        <f t="shared" ca="1" si="347"/>
        <v>-0.75362675969064796</v>
      </c>
      <c r="AO70" s="42">
        <f t="shared" ca="1" si="348"/>
        <v>0.28765661151674671</v>
      </c>
      <c r="AP70" s="42">
        <f t="shared" ca="1" si="349"/>
        <v>0.71234338848325329</v>
      </c>
      <c r="AQ70" s="42">
        <f t="shared" ca="1" si="350"/>
        <v>0.22553668568641566</v>
      </c>
      <c r="AR70" s="42">
        <f t="shared" ca="1" si="351"/>
        <v>0.77446331431358439</v>
      </c>
      <c r="AS70" s="42">
        <f t="shared" si="352"/>
        <v>0.98162450344672281</v>
      </c>
      <c r="AT70" s="42">
        <f t="shared" si="353"/>
        <v>78.529960275737821</v>
      </c>
      <c r="AU70" s="42">
        <f t="shared" si="354"/>
        <v>0.98801719747153338</v>
      </c>
      <c r="AV70" s="42">
        <f t="shared" ca="1" si="355"/>
        <v>69.161203823007341</v>
      </c>
      <c r="AW70" s="42">
        <f t="shared" ca="1" si="356"/>
        <v>0.34099923839785984</v>
      </c>
      <c r="AX70" s="42">
        <f t="shared" ca="1" si="357"/>
        <v>11.552047025200054</v>
      </c>
      <c r="AY70" s="42">
        <f t="shared" ca="1" si="42"/>
        <v>-0.70380751832659971</v>
      </c>
      <c r="AZ70" s="42">
        <f t="shared" ca="1" si="43"/>
        <v>2.4888656087473666E-2</v>
      </c>
      <c r="BA70" s="42">
        <f t="shared" ca="1" si="44"/>
        <v>-1.0318806554083711E-2</v>
      </c>
      <c r="BB70" s="42">
        <f t="shared" ca="1" si="45"/>
        <v>0.16058909082612258</v>
      </c>
      <c r="BC70" s="42">
        <f t="shared" ca="1" si="46"/>
        <v>-0.28199174876665173</v>
      </c>
      <c r="BD70" s="42">
        <f t="shared" ca="1" si="47"/>
        <v>-2951.0235126000266</v>
      </c>
      <c r="BE70" s="40"/>
      <c r="BF70" s="36">
        <f t="shared" si="119"/>
        <v>90</v>
      </c>
      <c r="BG70" s="35">
        <f t="shared" si="48"/>
        <v>0.28399999999999997</v>
      </c>
      <c r="BH70" s="197">
        <f t="shared" si="127"/>
        <v>169.23611111111677</v>
      </c>
      <c r="BI70" s="41">
        <f t="shared" si="49"/>
        <v>0.46366057838662128</v>
      </c>
      <c r="BJ70" s="40">
        <f t="shared" ca="1" si="358"/>
        <v>-0.25131442828090605</v>
      </c>
      <c r="BK70" s="40">
        <f t="shared" si="359"/>
        <v>2.5189751902588361E-2</v>
      </c>
      <c r="BL70" s="40">
        <f t="shared" si="360"/>
        <v>0.19338305926412305</v>
      </c>
      <c r="BM70" s="42">
        <f t="shared" ca="1" si="361"/>
        <v>-1.1693096450060605</v>
      </c>
      <c r="BN70" s="42">
        <f t="shared" ca="1" si="362"/>
        <v>-1.3626927042701835</v>
      </c>
      <c r="BO70" s="42">
        <f t="shared" ca="1" si="363"/>
        <v>0.12113944929853446</v>
      </c>
      <c r="BP70" s="42">
        <f t="shared" ca="1" si="364"/>
        <v>0.87886055070146551</v>
      </c>
      <c r="BQ70" s="42">
        <f t="shared" ca="1" si="365"/>
        <v>8.6489689059267516E-2</v>
      </c>
      <c r="BR70" s="42">
        <f t="shared" ca="1" si="366"/>
        <v>0.91351031094073254</v>
      </c>
      <c r="BS70" s="42">
        <f t="shared" si="367"/>
        <v>0.98162450344672281</v>
      </c>
      <c r="BT70" s="42">
        <f t="shared" si="368"/>
        <v>88.34620531020505</v>
      </c>
      <c r="BU70" s="42">
        <f t="shared" si="369"/>
        <v>0.98801719747153338</v>
      </c>
      <c r="BV70" s="42">
        <f t="shared" ca="1" si="370"/>
        <v>69.161203823007341</v>
      </c>
      <c r="BW70" s="42">
        <f t="shared" ca="1" si="371"/>
        <v>0.20137608366788734</v>
      </c>
      <c r="BX70" s="42">
        <f t="shared" ca="1" si="372"/>
        <v>0.73711431709696207</v>
      </c>
      <c r="BY70" s="42">
        <f t="shared" ca="1" si="65"/>
        <v>0.11968785919918293</v>
      </c>
      <c r="BZ70" s="42">
        <f t="shared" ca="1" si="66"/>
        <v>1.469792165577994E-2</v>
      </c>
      <c r="CA70" s="42">
        <f t="shared" ca="1" si="67"/>
        <v>-8.1978758179434476E-3</v>
      </c>
      <c r="CB70" s="42">
        <f t="shared" ca="1" si="68"/>
        <v>9.4835408848098407E-2</v>
      </c>
      <c r="CC70" s="42">
        <f t="shared" ca="1" si="69"/>
        <v>3.5428470909482389E-2</v>
      </c>
      <c r="CD70" s="42">
        <f t="shared" ca="1" si="70"/>
        <v>3031.4428414515187</v>
      </c>
      <c r="CE70" s="40"/>
      <c r="CF70" s="36">
        <f t="shared" si="120"/>
        <v>95</v>
      </c>
      <c r="CG70" s="35">
        <f t="shared" si="71"/>
        <v>0.28399999999999997</v>
      </c>
      <c r="CH70" s="197">
        <f t="shared" si="128"/>
        <v>169.23611111111677</v>
      </c>
      <c r="CI70" s="41">
        <f t="shared" si="72"/>
        <v>0.46366057838662128</v>
      </c>
      <c r="CJ70" s="40">
        <f t="shared" ca="1" si="373"/>
        <v>-0.30538164955118191</v>
      </c>
      <c r="CK70" s="40">
        <f t="shared" si="374"/>
        <v>2.5189751902588361E-2</v>
      </c>
      <c r="CL70" s="40">
        <f t="shared" si="375"/>
        <v>0.19338305926412305</v>
      </c>
      <c r="CM70" s="42">
        <f t="shared" ca="1" si="376"/>
        <v>-1.448895775642409</v>
      </c>
      <c r="CN70" s="42">
        <f t="shared" ca="1" si="377"/>
        <v>-1.642278834906532</v>
      </c>
      <c r="CO70" s="42">
        <f t="shared" ca="1" si="378"/>
        <v>7.3683345528524458E-2</v>
      </c>
      <c r="CP70" s="42">
        <f t="shared" ca="1" si="379"/>
        <v>0.9263166544714756</v>
      </c>
      <c r="CQ70" s="42">
        <f t="shared" ca="1" si="380"/>
        <v>5.0266115655557754E-2</v>
      </c>
      <c r="CR70" s="42">
        <f t="shared" ca="1" si="381"/>
        <v>0.94973388434444228</v>
      </c>
      <c r="CS70" s="42">
        <f t="shared" si="382"/>
        <v>0.98162450344672281</v>
      </c>
      <c r="CT70" s="42">
        <f t="shared" si="383"/>
        <v>93.254327827438672</v>
      </c>
      <c r="CU70" s="42">
        <f t="shared" si="384"/>
        <v>0.98801719747153338</v>
      </c>
      <c r="CV70" s="42">
        <f t="shared" ca="1" si="385"/>
        <v>69.161203823007341</v>
      </c>
      <c r="CW70" s="42">
        <f t="shared" ca="1" si="386"/>
        <v>0.13965390593232491</v>
      </c>
      <c r="CX70" s="42">
        <f t="shared" ca="1" si="387"/>
        <v>0.40849605050402626</v>
      </c>
      <c r="CY70" s="42">
        <f t="shared" ca="1" si="88"/>
        <v>7.280041254941938E-2</v>
      </c>
      <c r="CZ70" s="42">
        <f t="shared" ca="1" si="89"/>
        <v>1.0192978882746525E-2</v>
      </c>
      <c r="DA70" s="42">
        <f t="shared" ca="1" si="90"/>
        <v>-5.6690700793340792E-3</v>
      </c>
      <c r="DB70" s="42">
        <f t="shared" ca="1" si="91"/>
        <v>6.5768163850918618E-2</v>
      </c>
      <c r="DC70" s="42">
        <f t="shared" ca="1" si="92"/>
        <v>2.1734241822160428E-2</v>
      </c>
      <c r="DD70" s="42">
        <f t="shared" ca="1" si="93"/>
        <v>-2370.7519747479869</v>
      </c>
      <c r="DE70" s="40"/>
      <c r="DF70" s="36">
        <f t="shared" si="121"/>
        <v>200</v>
      </c>
      <c r="DG70" s="35">
        <f t="shared" si="94"/>
        <v>0.28399999999999997</v>
      </c>
      <c r="DH70" s="197">
        <f t="shared" si="129"/>
        <v>169.23611111111677</v>
      </c>
      <c r="DI70" s="41">
        <f t="shared" si="95"/>
        <v>0.46366057838662128</v>
      </c>
      <c r="DJ70" s="40">
        <f t="shared" ca="1" si="388"/>
        <v>-1.0498221244986778</v>
      </c>
      <c r="DK70" s="40">
        <f t="shared" si="389"/>
        <v>2.5189751902588361E-2</v>
      </c>
      <c r="DL70" s="40">
        <f t="shared" si="390"/>
        <v>0.19338305926412305</v>
      </c>
      <c r="DM70" s="42">
        <f t="shared" ca="1" si="391"/>
        <v>-5.2984598366325573</v>
      </c>
      <c r="DN70" s="42">
        <f t="shared" ca="1" si="392"/>
        <v>-5.4918428958966805</v>
      </c>
      <c r="DO70" s="42">
        <f t="shared" ca="1" si="393"/>
        <v>5.8391778763072494E-8</v>
      </c>
      <c r="DP70" s="42">
        <f t="shared" ca="1" si="394"/>
        <v>0.99999994160822125</v>
      </c>
      <c r="DQ70" s="42">
        <f t="shared" ca="1" si="395"/>
        <v>1.988805752494819E-8</v>
      </c>
      <c r="DR70" s="42">
        <f t="shared" ca="1" si="396"/>
        <v>0.99999998011194247</v>
      </c>
      <c r="DS70" s="42">
        <f t="shared" si="397"/>
        <v>0.98162450344672281</v>
      </c>
      <c r="DT70" s="42">
        <f t="shared" si="398"/>
        <v>196.32490068934456</v>
      </c>
      <c r="DU70" s="42">
        <f t="shared" si="399"/>
        <v>0.98801719747153338</v>
      </c>
      <c r="DV70" s="42">
        <f t="shared" ca="1" si="400"/>
        <v>69.161203823007341</v>
      </c>
      <c r="DW70" s="42">
        <f t="shared" ca="1" si="401"/>
        <v>3.1973386680641228E-7</v>
      </c>
      <c r="DX70" s="42">
        <f t="shared" si="402"/>
        <v>0</v>
      </c>
      <c r="DY70" s="92">
        <f t="shared" si="111"/>
        <v>0</v>
      </c>
      <c r="DZ70" s="42">
        <f t="shared" si="112"/>
        <v>0</v>
      </c>
      <c r="EA70" s="42">
        <f t="shared" si="113"/>
        <v>0</v>
      </c>
      <c r="EB70" s="42">
        <f t="shared" si="114"/>
        <v>0</v>
      </c>
      <c r="EC70" s="42">
        <f t="shared" si="115"/>
        <v>0</v>
      </c>
      <c r="ED70" s="42">
        <f t="shared" ca="1" si="116"/>
        <v>0</v>
      </c>
      <c r="EE70" s="40"/>
      <c r="EF70" s="120">
        <f t="shared" ca="1" si="130"/>
        <v>70</v>
      </c>
      <c r="EG70" s="42">
        <f t="shared" ca="1" si="403"/>
        <v>-83.706544660098643</v>
      </c>
      <c r="EH70" s="36">
        <f t="shared" ca="1" si="123"/>
        <v>-83.706544660098643</v>
      </c>
      <c r="EI70" s="36">
        <f t="shared" ca="1" si="124"/>
        <v>18.652999999999999</v>
      </c>
      <c r="EJ70" s="153">
        <f t="shared" ca="1" si="131"/>
        <v>1</v>
      </c>
      <c r="EK70" s="153" t="str">
        <f t="shared" ca="1" si="229"/>
        <v/>
      </c>
      <c r="EL70" s="153" t="str">
        <f t="shared" ca="1" si="132"/>
        <v/>
      </c>
      <c r="EM70" s="153">
        <f t="shared" ca="1" si="230"/>
        <v>0</v>
      </c>
      <c r="EN70" s="153">
        <f t="shared" ca="1" si="231"/>
        <v>0</v>
      </c>
    </row>
    <row r="71" spans="1:144" x14ac:dyDescent="0.3">
      <c r="A71" s="36">
        <f ca="1">IF($M$22=1,A70+'Auto X'!$E$6,A$48)</f>
        <v>70.5</v>
      </c>
      <c r="B71" s="35">
        <f>IF($M$22=2,B70+'Auto X'!$E$6,B$48)</f>
        <v>0.28399999999999997</v>
      </c>
      <c r="C71" s="39">
        <f>IF($M$22=3,C70+'Auto X'!$E$6,C$48)</f>
        <v>45295.440972222219</v>
      </c>
      <c r="D71" s="35">
        <f>IF($M$22=4,D70+'Auto X'!$E$6,D$48)</f>
        <v>2.5999999999999999E-2</v>
      </c>
      <c r="E71" s="35">
        <f>IF($M$22=5,E70+'Auto X'!$E$6,E$48)</f>
        <v>0.04</v>
      </c>
      <c r="F71" s="36">
        <f t="shared" si="117"/>
        <v>75</v>
      </c>
      <c r="G71" s="35">
        <f t="shared" si="7"/>
        <v>0.28399999999999997</v>
      </c>
      <c r="H71" s="197">
        <f t="shared" si="125"/>
        <v>169.23611111111677</v>
      </c>
      <c r="I71" s="41">
        <f t="shared" si="8"/>
        <v>0.46366057838662128</v>
      </c>
      <c r="J71" s="40">
        <f t="shared" ca="1" si="328"/>
        <v>-6.1875403718087529E-2</v>
      </c>
      <c r="K71" s="40">
        <f t="shared" si="329"/>
        <v>2.5189751902588361E-2</v>
      </c>
      <c r="L71" s="40">
        <f t="shared" si="330"/>
        <v>0.19338305926412305</v>
      </c>
      <c r="M71" s="42">
        <f t="shared" ca="1" si="331"/>
        <v>-0.18970457885555433</v>
      </c>
      <c r="N71" s="42">
        <f t="shared" ca="1" si="332"/>
        <v>-0.38308763811967739</v>
      </c>
      <c r="O71" s="42">
        <f t="shared" ca="1" si="333"/>
        <v>0.42477031628045103</v>
      </c>
      <c r="P71" s="42">
        <f t="shared" ca="1" si="334"/>
        <v>0.57522968371954897</v>
      </c>
      <c r="Q71" s="42">
        <f t="shared" ca="1" si="335"/>
        <v>0.35082739256187334</v>
      </c>
      <c r="R71" s="42">
        <f t="shared" ca="1" si="336"/>
        <v>0.64917260743812666</v>
      </c>
      <c r="S71" s="42">
        <f t="shared" si="337"/>
        <v>0.98162450344672281</v>
      </c>
      <c r="T71" s="42">
        <f t="shared" si="338"/>
        <v>73.621837758504213</v>
      </c>
      <c r="U71" s="42">
        <f t="shared" si="339"/>
        <v>0.98801719747153338</v>
      </c>
      <c r="V71" s="42">
        <f t="shared" ca="1" si="340"/>
        <v>69.655212421743101</v>
      </c>
      <c r="W71" s="42">
        <f t="shared" ca="1" si="341"/>
        <v>0.39182794677720945</v>
      </c>
      <c r="X71" s="42">
        <f t="shared" ca="1" si="342"/>
        <v>7.7255345712976222</v>
      </c>
      <c r="Y71" s="42">
        <f t="shared" ca="1" si="19"/>
        <v>-0.56833682001102526</v>
      </c>
      <c r="Z71" s="42">
        <f t="shared" ca="1" si="20"/>
        <v>2.8395686260440121E-2</v>
      </c>
      <c r="AA71" s="42">
        <f t="shared" ca="1" si="21"/>
        <v>-1.3210050415331246E-2</v>
      </c>
      <c r="AB71" s="42">
        <f t="shared" ca="1" si="22"/>
        <v>0.1858442444888187</v>
      </c>
      <c r="AC71" s="42">
        <f t="shared" ca="1" si="23"/>
        <v>-0.22159860024946809</v>
      </c>
      <c r="AD71" s="42">
        <f t="shared" ca="1" si="24"/>
        <v>2062.7672856488111</v>
      </c>
      <c r="AF71" s="36">
        <f t="shared" si="118"/>
        <v>80</v>
      </c>
      <c r="AG71" s="35">
        <f t="shared" si="25"/>
        <v>0.28399999999999997</v>
      </c>
      <c r="AH71" s="197">
        <f t="shared" si="126"/>
        <v>169.23611111111677</v>
      </c>
      <c r="AI71" s="41">
        <f t="shared" si="26"/>
        <v>0.46366057838662128</v>
      </c>
      <c r="AJ71" s="40">
        <f t="shared" ca="1" si="343"/>
        <v>-0.12641392485565867</v>
      </c>
      <c r="AK71" s="40">
        <f t="shared" si="344"/>
        <v>2.5189751902588361E-2</v>
      </c>
      <c r="AL71" s="40">
        <f t="shared" si="345"/>
        <v>0.19338305926412305</v>
      </c>
      <c r="AM71" s="42">
        <f t="shared" ca="1" si="346"/>
        <v>-0.52343867833230462</v>
      </c>
      <c r="AN71" s="42">
        <f t="shared" ca="1" si="347"/>
        <v>-0.71682173759642764</v>
      </c>
      <c r="AO71" s="42">
        <f t="shared" ca="1" si="348"/>
        <v>0.30033450701026515</v>
      </c>
      <c r="AP71" s="42">
        <f t="shared" ca="1" si="349"/>
        <v>0.69966549298973479</v>
      </c>
      <c r="AQ71" s="42">
        <f t="shared" ca="1" si="350"/>
        <v>0.23674204856765188</v>
      </c>
      <c r="AR71" s="42">
        <f t="shared" ca="1" si="351"/>
        <v>0.76325795143234809</v>
      </c>
      <c r="AS71" s="42">
        <f t="shared" si="352"/>
        <v>0.98162450344672281</v>
      </c>
      <c r="AT71" s="42">
        <f t="shared" si="353"/>
        <v>78.529960275737821</v>
      </c>
      <c r="AU71" s="42">
        <f t="shared" si="354"/>
        <v>0.98801719747153338</v>
      </c>
      <c r="AV71" s="42">
        <f t="shared" ca="1" si="355"/>
        <v>69.655212421743101</v>
      </c>
      <c r="AW71" s="42">
        <f t="shared" ca="1" si="356"/>
        <v>0.34786786896407956</v>
      </c>
      <c r="AX71" s="42">
        <f t="shared" ca="1" si="357"/>
        <v>11.203268067759737</v>
      </c>
      <c r="AY71" s="42">
        <f t="shared" ca="1" si="42"/>
        <v>-0.6912815395512566</v>
      </c>
      <c r="AZ71" s="42">
        <f t="shared" ca="1" si="43"/>
        <v>2.5209908962436585E-2</v>
      </c>
      <c r="BA71" s="42">
        <f t="shared" ca="1" si="44"/>
        <v>-1.0746999043784322E-2</v>
      </c>
      <c r="BB71" s="42">
        <f t="shared" ca="1" si="45"/>
        <v>0.16499395160887753</v>
      </c>
      <c r="BC71" s="42">
        <f t="shared" ca="1" si="46"/>
        <v>-0.27791173643289085</v>
      </c>
      <c r="BD71" s="42">
        <f t="shared" ca="1" si="47"/>
        <v>-2776.6340338798682</v>
      </c>
      <c r="BE71" s="40"/>
      <c r="BF71" s="36">
        <f t="shared" si="119"/>
        <v>90</v>
      </c>
      <c r="BG71" s="35">
        <f t="shared" si="48"/>
        <v>0.28399999999999997</v>
      </c>
      <c r="BH71" s="197">
        <f t="shared" si="127"/>
        <v>169.23611111111677</v>
      </c>
      <c r="BI71" s="41">
        <f t="shared" si="49"/>
        <v>0.46366057838662128</v>
      </c>
      <c r="BJ71" s="40">
        <f t="shared" ca="1" si="358"/>
        <v>-0.24419696051204209</v>
      </c>
      <c r="BK71" s="40">
        <f t="shared" si="359"/>
        <v>2.5189751902588361E-2</v>
      </c>
      <c r="BL71" s="40">
        <f t="shared" si="360"/>
        <v>0.19338305926412305</v>
      </c>
      <c r="BM71" s="42">
        <f t="shared" ca="1" si="361"/>
        <v>-1.1325046229118401</v>
      </c>
      <c r="BN71" s="42">
        <f t="shared" ca="1" si="362"/>
        <v>-1.3258876821759631</v>
      </c>
      <c r="BO71" s="42">
        <f t="shared" ca="1" si="363"/>
        <v>0.1287111709638997</v>
      </c>
      <c r="BP71" s="42">
        <f t="shared" ca="1" si="364"/>
        <v>0.87128882903610028</v>
      </c>
      <c r="BQ71" s="42">
        <f t="shared" ca="1" si="365"/>
        <v>9.2438451832745711E-2</v>
      </c>
      <c r="BR71" s="42">
        <f t="shared" ca="1" si="366"/>
        <v>0.90756154816725432</v>
      </c>
      <c r="BS71" s="42">
        <f t="shared" si="367"/>
        <v>0.98162450344672281</v>
      </c>
      <c r="BT71" s="42">
        <f t="shared" si="368"/>
        <v>88.34620531020505</v>
      </c>
      <c r="BU71" s="42">
        <f t="shared" si="369"/>
        <v>0.98801719747153338</v>
      </c>
      <c r="BV71" s="42">
        <f t="shared" ca="1" si="370"/>
        <v>69.655212421743101</v>
      </c>
      <c r="BW71" s="42">
        <f t="shared" ca="1" si="371"/>
        <v>0.21008944851102496</v>
      </c>
      <c r="BX71" s="42">
        <f t="shared" ca="1" si="372"/>
        <v>0.79881751036847248</v>
      </c>
      <c r="BY71" s="42">
        <f t="shared" ca="1" si="65"/>
        <v>0.12716885041903159</v>
      </c>
      <c r="BZ71" s="42">
        <f t="shared" ca="1" si="66"/>
        <v>1.5225136735690703E-2</v>
      </c>
      <c r="CA71" s="42">
        <f t="shared" ca="1" si="67"/>
        <v>-8.6172412239281654E-3</v>
      </c>
      <c r="CB71" s="42">
        <f t="shared" ca="1" si="68"/>
        <v>9.9645559115271815E-2</v>
      </c>
      <c r="CC71" s="42">
        <f t="shared" ca="1" si="69"/>
        <v>3.7865241941497117E-2</v>
      </c>
      <c r="CD71" s="42">
        <f t="shared" ca="1" si="70"/>
        <v>3000.5912448157637</v>
      </c>
      <c r="CE71" s="40"/>
      <c r="CF71" s="36">
        <f t="shared" si="120"/>
        <v>95</v>
      </c>
      <c r="CG71" s="35">
        <f t="shared" si="71"/>
        <v>0.28399999999999997</v>
      </c>
      <c r="CH71" s="197">
        <f t="shared" si="128"/>
        <v>169.23611111111677</v>
      </c>
      <c r="CI71" s="41">
        <f t="shared" si="72"/>
        <v>0.46366057838662128</v>
      </c>
      <c r="CJ71" s="40">
        <f t="shared" ca="1" si="373"/>
        <v>-0.29826418178231789</v>
      </c>
      <c r="CK71" s="40">
        <f t="shared" si="374"/>
        <v>2.5189751902588361E-2</v>
      </c>
      <c r="CL71" s="40">
        <f t="shared" si="375"/>
        <v>0.19338305926412305</v>
      </c>
      <c r="CM71" s="42">
        <f t="shared" ca="1" si="376"/>
        <v>-1.4120907535481886</v>
      </c>
      <c r="CN71" s="42">
        <f t="shared" ca="1" si="377"/>
        <v>-1.6054738128123116</v>
      </c>
      <c r="CO71" s="42">
        <f t="shared" ca="1" si="378"/>
        <v>7.8961620487033493E-2</v>
      </c>
      <c r="CP71" s="42">
        <f t="shared" ca="1" si="379"/>
        <v>0.92103837951296652</v>
      </c>
      <c r="CQ71" s="42">
        <f t="shared" ca="1" si="380"/>
        <v>5.4194785864345868E-2</v>
      </c>
      <c r="CR71" s="42">
        <f t="shared" ca="1" si="381"/>
        <v>0.9458052141356541</v>
      </c>
      <c r="CS71" s="42">
        <f t="shared" si="382"/>
        <v>0.98162450344672281</v>
      </c>
      <c r="CT71" s="42">
        <f t="shared" si="383"/>
        <v>93.254327827438672</v>
      </c>
      <c r="CU71" s="42">
        <f t="shared" si="384"/>
        <v>0.98801719747153338</v>
      </c>
      <c r="CV71" s="42">
        <f t="shared" ca="1" si="385"/>
        <v>69.655212421743101</v>
      </c>
      <c r="CW71" s="42">
        <f t="shared" ca="1" si="386"/>
        <v>0.14720359045117654</v>
      </c>
      <c r="CX71" s="42">
        <f t="shared" ca="1" si="387"/>
        <v>0.44619012065783092</v>
      </c>
      <c r="CY71" s="42">
        <f t="shared" ca="1" si="88"/>
        <v>7.8015438981409641E-2</v>
      </c>
      <c r="CZ71" s="42">
        <f t="shared" ca="1" si="89"/>
        <v>1.0667812250866873E-2</v>
      </c>
      <c r="DA71" s="42">
        <f t="shared" ca="1" si="90"/>
        <v>-6.0203082263634465E-3</v>
      </c>
      <c r="DB71" s="42">
        <f t="shared" ca="1" si="91"/>
        <v>6.9818756621245662E-2</v>
      </c>
      <c r="DC71" s="42">
        <f t="shared" ca="1" si="92"/>
        <v>2.3432934216504556E-2</v>
      </c>
      <c r="DD71" s="42">
        <f t="shared" ca="1" si="93"/>
        <v>-2351.9049396710848</v>
      </c>
      <c r="DE71" s="40"/>
      <c r="DF71" s="36">
        <f t="shared" si="121"/>
        <v>200</v>
      </c>
      <c r="DG71" s="35">
        <f t="shared" si="94"/>
        <v>0.28399999999999997</v>
      </c>
      <c r="DH71" s="197">
        <f t="shared" si="129"/>
        <v>169.23611111111677</v>
      </c>
      <c r="DI71" s="41">
        <f t="shared" si="95"/>
        <v>0.46366057838662128</v>
      </c>
      <c r="DJ71" s="40">
        <f t="shared" ca="1" si="388"/>
        <v>-1.0427046567298137</v>
      </c>
      <c r="DK71" s="40">
        <f t="shared" si="389"/>
        <v>2.5189751902588361E-2</v>
      </c>
      <c r="DL71" s="40">
        <f t="shared" si="390"/>
        <v>0.19338305926412305</v>
      </c>
      <c r="DM71" s="42">
        <f t="shared" ca="1" si="391"/>
        <v>-5.2616548145383355</v>
      </c>
      <c r="DN71" s="42">
        <f t="shared" ca="1" si="392"/>
        <v>-5.4550378738024587</v>
      </c>
      <c r="DO71" s="42">
        <f t="shared" ca="1" si="393"/>
        <v>7.1382303065661356E-8</v>
      </c>
      <c r="DP71" s="42">
        <f t="shared" ca="1" si="394"/>
        <v>0.99999992861769693</v>
      </c>
      <c r="DQ71" s="42">
        <f t="shared" ca="1" si="395"/>
        <v>2.4481204209127377E-8</v>
      </c>
      <c r="DR71" s="42">
        <f t="shared" ca="1" si="396"/>
        <v>0.99999997551879583</v>
      </c>
      <c r="DS71" s="42">
        <f t="shared" si="397"/>
        <v>0.98162450344672281</v>
      </c>
      <c r="DT71" s="42">
        <f t="shared" si="398"/>
        <v>196.32490068934456</v>
      </c>
      <c r="DU71" s="42">
        <f t="shared" si="399"/>
        <v>0.98801719747153338</v>
      </c>
      <c r="DV71" s="42">
        <f t="shared" ca="1" si="400"/>
        <v>69.655212421743101</v>
      </c>
      <c r="DW71" s="42">
        <f t="shared" ca="1" si="401"/>
        <v>3.8831684222808189E-7</v>
      </c>
      <c r="DX71" s="42">
        <f t="shared" si="402"/>
        <v>0</v>
      </c>
      <c r="DY71" s="92">
        <f t="shared" si="111"/>
        <v>0</v>
      </c>
      <c r="DZ71" s="42">
        <f t="shared" si="112"/>
        <v>0</v>
      </c>
      <c r="EA71" s="42">
        <f t="shared" si="113"/>
        <v>0</v>
      </c>
      <c r="EB71" s="42">
        <f t="shared" si="114"/>
        <v>0</v>
      </c>
      <c r="EC71" s="42">
        <f t="shared" si="115"/>
        <v>0</v>
      </c>
      <c r="ED71" s="42">
        <f t="shared" ca="1" si="116"/>
        <v>0</v>
      </c>
      <c r="EE71" s="40"/>
      <c r="EF71" s="120">
        <f t="shared" ca="1" si="130"/>
        <v>70.5</v>
      </c>
      <c r="EG71" s="42">
        <f t="shared" ca="1" si="403"/>
        <v>-65.180443086378091</v>
      </c>
      <c r="EH71" s="36">
        <f t="shared" ca="1" si="123"/>
        <v>-65.180443086378091</v>
      </c>
      <c r="EI71" s="36">
        <f t="shared" ca="1" si="124"/>
        <v>18.526</v>
      </c>
      <c r="EJ71" s="153">
        <f t="shared" ca="1" si="131"/>
        <v>1</v>
      </c>
      <c r="EK71" s="153" t="str">
        <f t="shared" ca="1" si="229"/>
        <v/>
      </c>
      <c r="EL71" s="153" t="str">
        <f t="shared" ca="1" si="132"/>
        <v/>
      </c>
      <c r="EM71" s="153">
        <f t="shared" ca="1" si="230"/>
        <v>0</v>
      </c>
      <c r="EN71" s="153">
        <f t="shared" ca="1" si="231"/>
        <v>0</v>
      </c>
    </row>
    <row r="72" spans="1:144" x14ac:dyDescent="0.3">
      <c r="A72" s="36">
        <f ca="1">IF($M$22=1,A71+'Auto X'!$E$6,A$48)</f>
        <v>71</v>
      </c>
      <c r="B72" s="35">
        <f>IF($M$22=2,B71+'Auto X'!$E$6,B$48)</f>
        <v>0.28399999999999997</v>
      </c>
      <c r="C72" s="39">
        <f>IF($M$22=3,C71+'Auto X'!$E$6,C$48)</f>
        <v>45295.440972222219</v>
      </c>
      <c r="D72" s="35">
        <f>IF($M$22=4,D71+'Auto X'!$E$6,D$48)</f>
        <v>2.5999999999999999E-2</v>
      </c>
      <c r="E72" s="35">
        <f>IF($M$22=5,E71+'Auto X'!$E$6,E$48)</f>
        <v>0.04</v>
      </c>
      <c r="F72" s="36">
        <f t="shared" si="117"/>
        <v>75</v>
      </c>
      <c r="G72" s="35">
        <f t="shared" si="7"/>
        <v>0.28399999999999997</v>
      </c>
      <c r="H72" s="197">
        <f t="shared" si="125"/>
        <v>169.23611111111677</v>
      </c>
      <c r="I72" s="41">
        <f t="shared" si="8"/>
        <v>0.46366057838662128</v>
      </c>
      <c r="J72" s="40">
        <f t="shared" ca="1" si="328"/>
        <v>-5.4808236494995027E-2</v>
      </c>
      <c r="K72" s="40">
        <f t="shared" si="329"/>
        <v>2.5189751902588361E-2</v>
      </c>
      <c r="L72" s="40">
        <f t="shared" si="330"/>
        <v>0.19338305926412305</v>
      </c>
      <c r="M72" s="42">
        <f t="shared" ca="1" si="331"/>
        <v>-0.1531596650974151</v>
      </c>
      <c r="N72" s="42">
        <f t="shared" ca="1" si="332"/>
        <v>-0.34654272436153816</v>
      </c>
      <c r="O72" s="42">
        <f t="shared" ca="1" si="333"/>
        <v>0.43913618245362041</v>
      </c>
      <c r="P72" s="42">
        <f t="shared" ca="1" si="334"/>
        <v>0.56086381754637959</v>
      </c>
      <c r="Q72" s="42">
        <f t="shared" ca="1" si="335"/>
        <v>0.36446744076656246</v>
      </c>
      <c r="R72" s="42">
        <f t="shared" ca="1" si="336"/>
        <v>0.63553255923343754</v>
      </c>
      <c r="S72" s="42">
        <f t="shared" si="337"/>
        <v>0.98162450344672281</v>
      </c>
      <c r="T72" s="42">
        <f t="shared" si="338"/>
        <v>73.621837758504213</v>
      </c>
      <c r="U72" s="42">
        <f t="shared" si="339"/>
        <v>0.98801719747153338</v>
      </c>
      <c r="V72" s="42">
        <f t="shared" ca="1" si="340"/>
        <v>70.149221020478876</v>
      </c>
      <c r="W72" s="42">
        <f t="shared" ca="1" si="341"/>
        <v>0.3942904436195015</v>
      </c>
      <c r="X72" s="42">
        <f t="shared" ca="1" si="342"/>
        <v>7.4449150666805863</v>
      </c>
      <c r="Y72" s="42">
        <f t="shared" ca="1" si="19"/>
        <v>-0.55414309717535937</v>
      </c>
      <c r="Z72" s="42">
        <f t="shared" ca="1" si="20"/>
        <v>2.8372916513885158E-2</v>
      </c>
      <c r="AA72" s="42">
        <f t="shared" ca="1" si="21"/>
        <v>-1.3477844347025539E-2</v>
      </c>
      <c r="AB72" s="42">
        <f t="shared" ca="1" si="22"/>
        <v>0.18833853602657866</v>
      </c>
      <c r="AC72" s="42">
        <f t="shared" ca="1" si="23"/>
        <v>-0.21694249560971332</v>
      </c>
      <c r="AD72" s="42">
        <f t="shared" ca="1" si="24"/>
        <v>1922.4575333402931</v>
      </c>
      <c r="AF72" s="36">
        <f t="shared" si="118"/>
        <v>80</v>
      </c>
      <c r="AG72" s="35">
        <f t="shared" si="25"/>
        <v>0.28399999999999997</v>
      </c>
      <c r="AH72" s="197">
        <f t="shared" si="126"/>
        <v>169.23611111111677</v>
      </c>
      <c r="AI72" s="41">
        <f t="shared" si="26"/>
        <v>0.46366057838662128</v>
      </c>
      <c r="AJ72" s="40">
        <f t="shared" ca="1" si="343"/>
        <v>-0.11934675763256625</v>
      </c>
      <c r="AK72" s="40">
        <f t="shared" si="344"/>
        <v>2.5189751902588361E-2</v>
      </c>
      <c r="AL72" s="40">
        <f t="shared" si="345"/>
        <v>0.19338305926412305</v>
      </c>
      <c r="AM72" s="42">
        <f t="shared" ca="1" si="346"/>
        <v>-0.48689376457416583</v>
      </c>
      <c r="AN72" s="42">
        <f t="shared" ca="1" si="347"/>
        <v>-0.68027682383828891</v>
      </c>
      <c r="AO72" s="42">
        <f t="shared" ca="1" si="348"/>
        <v>0.31316680897993748</v>
      </c>
      <c r="AP72" s="42">
        <f t="shared" ca="1" si="349"/>
        <v>0.68683319102006246</v>
      </c>
      <c r="AQ72" s="42">
        <f t="shared" ca="1" si="350"/>
        <v>0.24816459823901416</v>
      </c>
      <c r="AR72" s="42">
        <f t="shared" ca="1" si="351"/>
        <v>0.75183540176098584</v>
      </c>
      <c r="AS72" s="42">
        <f t="shared" si="352"/>
        <v>0.98162450344672281</v>
      </c>
      <c r="AT72" s="42">
        <f t="shared" si="353"/>
        <v>78.529960275737821</v>
      </c>
      <c r="AU72" s="42">
        <f t="shared" si="354"/>
        <v>0.98801719747153338</v>
      </c>
      <c r="AV72" s="42">
        <f t="shared" ca="1" si="355"/>
        <v>70.149221020478876</v>
      </c>
      <c r="AW72" s="42">
        <f t="shared" ca="1" si="356"/>
        <v>0.354349593040101</v>
      </c>
      <c r="AX72" s="42">
        <f t="shared" ca="1" si="357"/>
        <v>10.860790913116453</v>
      </c>
      <c r="AY72" s="42">
        <f t="shared" ca="1" si="42"/>
        <v>-0.67860300452207245</v>
      </c>
      <c r="AZ72" s="42">
        <f t="shared" ca="1" si="43"/>
        <v>2.5498795577602741E-2</v>
      </c>
      <c r="BA72" s="42">
        <f t="shared" ca="1" si="44"/>
        <v>-1.116376725972168E-2</v>
      </c>
      <c r="BB72" s="42">
        <f t="shared" ca="1" si="45"/>
        <v>0.16926021077799644</v>
      </c>
      <c r="BC72" s="42">
        <f t="shared" ca="1" si="46"/>
        <v>-0.27375264368095559</v>
      </c>
      <c r="BD72" s="42">
        <f t="shared" ca="1" si="47"/>
        <v>-2605.3954565582267</v>
      </c>
      <c r="BE72" s="40"/>
      <c r="BF72" s="36">
        <f t="shared" si="119"/>
        <v>90</v>
      </c>
      <c r="BG72" s="35">
        <f t="shared" si="48"/>
        <v>0.28399999999999997</v>
      </c>
      <c r="BH72" s="197">
        <f t="shared" si="127"/>
        <v>169.23611111111677</v>
      </c>
      <c r="BI72" s="41">
        <f t="shared" si="49"/>
        <v>0.46366057838662128</v>
      </c>
      <c r="BJ72" s="40">
        <f t="shared" ca="1" si="358"/>
        <v>-0.23712979328894968</v>
      </c>
      <c r="BK72" s="40">
        <f t="shared" si="359"/>
        <v>2.5189751902588361E-2</v>
      </c>
      <c r="BL72" s="40">
        <f t="shared" si="360"/>
        <v>0.19338305926412305</v>
      </c>
      <c r="BM72" s="42">
        <f t="shared" ca="1" si="361"/>
        <v>-1.0959597091537014</v>
      </c>
      <c r="BN72" s="42">
        <f t="shared" ca="1" si="362"/>
        <v>-1.2893427684178245</v>
      </c>
      <c r="BO72" s="42">
        <f t="shared" ca="1" si="363"/>
        <v>0.136548203515649</v>
      </c>
      <c r="BP72" s="42">
        <f t="shared" ca="1" si="364"/>
        <v>0.863451796484351</v>
      </c>
      <c r="BQ72" s="42">
        <f t="shared" ca="1" si="365"/>
        <v>9.8639474301982222E-2</v>
      </c>
      <c r="BR72" s="42">
        <f t="shared" ca="1" si="366"/>
        <v>0.90136052569801772</v>
      </c>
      <c r="BS72" s="42">
        <f t="shared" si="367"/>
        <v>0.98162450344672281</v>
      </c>
      <c r="BT72" s="42">
        <f t="shared" si="368"/>
        <v>88.34620531020505</v>
      </c>
      <c r="BU72" s="42">
        <f t="shared" si="369"/>
        <v>0.98801719747153338</v>
      </c>
      <c r="BV72" s="42">
        <f t="shared" ca="1" si="370"/>
        <v>70.149221020478876</v>
      </c>
      <c r="BW72" s="42">
        <f t="shared" ca="1" si="371"/>
        <v>0.21882075048489033</v>
      </c>
      <c r="BX72" s="42">
        <f t="shared" ca="1" si="372"/>
        <v>0.86432685999497494</v>
      </c>
      <c r="BY72" s="42">
        <f t="shared" ca="1" si="65"/>
        <v>0.13491197335730412</v>
      </c>
      <c r="BZ72" s="42">
        <f t="shared" ca="1" si="66"/>
        <v>1.5746216996841294E-2</v>
      </c>
      <c r="CA72" s="42">
        <f t="shared" ca="1" si="67"/>
        <v>-9.0428278722231061E-3</v>
      </c>
      <c r="CB72" s="42">
        <f t="shared" ca="1" si="68"/>
        <v>0.10452289794355833</v>
      </c>
      <c r="CC72" s="42">
        <f t="shared" ca="1" si="69"/>
        <v>4.0405345236467306E-2</v>
      </c>
      <c r="CD72" s="42">
        <f t="shared" ca="1" si="70"/>
        <v>2967.8365700025124</v>
      </c>
      <c r="CE72" s="40"/>
      <c r="CF72" s="36">
        <f t="shared" si="120"/>
        <v>95</v>
      </c>
      <c r="CG72" s="35">
        <f t="shared" si="71"/>
        <v>0.28399999999999997</v>
      </c>
      <c r="CH72" s="197">
        <f t="shared" si="128"/>
        <v>169.23611111111677</v>
      </c>
      <c r="CI72" s="41">
        <f t="shared" si="72"/>
        <v>0.46366057838662128</v>
      </c>
      <c r="CJ72" s="40">
        <f t="shared" ca="1" si="373"/>
        <v>-0.29119701455922542</v>
      </c>
      <c r="CK72" s="40">
        <f t="shared" si="374"/>
        <v>2.5189751902588361E-2</v>
      </c>
      <c r="CL72" s="40">
        <f t="shared" si="375"/>
        <v>0.19338305926412305</v>
      </c>
      <c r="CM72" s="42">
        <f t="shared" ca="1" si="376"/>
        <v>-1.3755458397900495</v>
      </c>
      <c r="CN72" s="42">
        <f t="shared" ca="1" si="377"/>
        <v>-1.5689288990541725</v>
      </c>
      <c r="CO72" s="42">
        <f t="shared" ca="1" si="378"/>
        <v>8.4481142237018289E-2</v>
      </c>
      <c r="CP72" s="42">
        <f t="shared" ca="1" si="379"/>
        <v>0.9155188577629817</v>
      </c>
      <c r="CQ72" s="42">
        <f t="shared" ca="1" si="380"/>
        <v>5.8332253602805105E-2</v>
      </c>
      <c r="CR72" s="42">
        <f t="shared" ca="1" si="381"/>
        <v>0.94166774639719486</v>
      </c>
      <c r="CS72" s="42">
        <f t="shared" si="382"/>
        <v>0.98162450344672281</v>
      </c>
      <c r="CT72" s="42">
        <f t="shared" si="383"/>
        <v>93.254327827438672</v>
      </c>
      <c r="CU72" s="42">
        <f t="shared" si="384"/>
        <v>0.98801719747153338</v>
      </c>
      <c r="CV72" s="42">
        <f t="shared" ca="1" si="385"/>
        <v>70.149221020478876</v>
      </c>
      <c r="CW72" s="42">
        <f t="shared" ca="1" si="386"/>
        <v>0.15489594472039891</v>
      </c>
      <c r="CX72" s="42">
        <f t="shared" ca="1" si="387"/>
        <v>0.48655121845783089</v>
      </c>
      <c r="CY72" s="42">
        <f t="shared" ca="1" si="88"/>
        <v>8.3468821392212803E-2</v>
      </c>
      <c r="CZ72" s="42">
        <f t="shared" ca="1" si="89"/>
        <v>1.1146224259323845E-2</v>
      </c>
      <c r="DA72" s="42">
        <f t="shared" ca="1" si="90"/>
        <v>-6.3820830728348963E-3</v>
      </c>
      <c r="DB72" s="42">
        <f t="shared" ca="1" si="91"/>
        <v>7.398828943783943E-2</v>
      </c>
      <c r="DC72" s="42">
        <f t="shared" ca="1" si="92"/>
        <v>2.522190722916498E-2</v>
      </c>
      <c r="DD72" s="42">
        <f t="shared" ca="1" si="93"/>
        <v>-2331.7243907710849</v>
      </c>
      <c r="DE72" s="40"/>
      <c r="DF72" s="36">
        <f t="shared" si="121"/>
        <v>200</v>
      </c>
      <c r="DG72" s="35">
        <f t="shared" si="94"/>
        <v>0.28399999999999997</v>
      </c>
      <c r="DH72" s="197">
        <f t="shared" si="129"/>
        <v>169.23611111111677</v>
      </c>
      <c r="DI72" s="41">
        <f t="shared" si="95"/>
        <v>0.46366057838662128</v>
      </c>
      <c r="DJ72" s="40">
        <f t="shared" ca="1" si="388"/>
        <v>-1.0356374895067213</v>
      </c>
      <c r="DK72" s="40">
        <f t="shared" si="389"/>
        <v>2.5189751902588361E-2</v>
      </c>
      <c r="DL72" s="40">
        <f t="shared" si="390"/>
        <v>0.19338305926412305</v>
      </c>
      <c r="DM72" s="42">
        <f t="shared" ca="1" si="391"/>
        <v>-5.2251099007801969</v>
      </c>
      <c r="DN72" s="42">
        <f t="shared" ca="1" si="392"/>
        <v>-5.4184929600443201</v>
      </c>
      <c r="DO72" s="42">
        <f t="shared" ca="1" si="393"/>
        <v>8.7025850009170177E-8</v>
      </c>
      <c r="DP72" s="42">
        <f t="shared" ca="1" si="394"/>
        <v>0.99999991297415003</v>
      </c>
      <c r="DQ72" s="42">
        <f t="shared" ca="1" si="395"/>
        <v>3.0051752716262605E-8</v>
      </c>
      <c r="DR72" s="42">
        <f t="shared" ca="1" si="396"/>
        <v>0.99999996994824725</v>
      </c>
      <c r="DS72" s="42">
        <f t="shared" si="397"/>
        <v>0.98162450344672281</v>
      </c>
      <c r="DT72" s="42">
        <f t="shared" si="398"/>
        <v>196.32490068934456</v>
      </c>
      <c r="DU72" s="42">
        <f t="shared" si="399"/>
        <v>0.98801719747153338</v>
      </c>
      <c r="DV72" s="42">
        <f t="shared" ca="1" si="400"/>
        <v>70.149221020478876</v>
      </c>
      <c r="DW72" s="42">
        <f t="shared" ca="1" si="401"/>
        <v>4.7033281735039482E-7</v>
      </c>
      <c r="DX72" s="42">
        <f t="shared" si="402"/>
        <v>0</v>
      </c>
      <c r="DY72" s="92">
        <f t="shared" si="111"/>
        <v>0</v>
      </c>
      <c r="DZ72" s="42">
        <f t="shared" si="112"/>
        <v>0</v>
      </c>
      <c r="EA72" s="42">
        <f t="shared" si="113"/>
        <v>0</v>
      </c>
      <c r="EB72" s="42">
        <f t="shared" si="114"/>
        <v>0</v>
      </c>
      <c r="EC72" s="42">
        <f t="shared" si="115"/>
        <v>0</v>
      </c>
      <c r="ED72" s="42">
        <f t="shared" ca="1" si="116"/>
        <v>0</v>
      </c>
      <c r="EE72" s="40"/>
      <c r="EF72" s="120">
        <f t="shared" ca="1" si="130"/>
        <v>71</v>
      </c>
      <c r="EG72" s="42">
        <f t="shared" ca="1" si="403"/>
        <v>-46.825743986506041</v>
      </c>
      <c r="EH72" s="36">
        <f t="shared" ca="1" si="123"/>
        <v>-46.825743986506041</v>
      </c>
      <c r="EI72" s="36">
        <f t="shared" ca="1" si="124"/>
        <v>18.355</v>
      </c>
      <c r="EJ72" s="153">
        <f t="shared" ca="1" si="131"/>
        <v>1</v>
      </c>
      <c r="EK72" s="153" t="str">
        <f t="shared" ca="1" si="229"/>
        <v/>
      </c>
      <c r="EL72" s="153" t="str">
        <f t="shared" ca="1" si="132"/>
        <v/>
      </c>
      <c r="EM72" s="153">
        <f t="shared" ca="1" si="230"/>
        <v>0</v>
      </c>
      <c r="EN72" s="153">
        <f t="shared" ca="1" si="231"/>
        <v>0</v>
      </c>
    </row>
    <row r="73" spans="1:144" x14ac:dyDescent="0.3">
      <c r="A73" s="36">
        <f ca="1">IF($M$22=1,A72+'Auto X'!$E$6,A$48)</f>
        <v>71.5</v>
      </c>
      <c r="B73" s="35">
        <f>IF($M$22=2,B72+'Auto X'!$E$6,B$48)</f>
        <v>0.28399999999999997</v>
      </c>
      <c r="C73" s="39">
        <f>IF($M$22=3,C72+'Auto X'!$E$6,C$48)</f>
        <v>45295.440972222219</v>
      </c>
      <c r="D73" s="35">
        <f>IF($M$22=4,D72+'Auto X'!$E$6,D$48)</f>
        <v>2.5999999999999999E-2</v>
      </c>
      <c r="E73" s="35">
        <f>IF($M$22=5,E72+'Auto X'!$E$6,E$48)</f>
        <v>0.04</v>
      </c>
      <c r="F73" s="36">
        <f t="shared" si="117"/>
        <v>75</v>
      </c>
      <c r="G73" s="35">
        <f t="shared" si="7"/>
        <v>0.28399999999999997</v>
      </c>
      <c r="H73" s="197">
        <f t="shared" si="125"/>
        <v>169.23611111111677</v>
      </c>
      <c r="I73" s="41">
        <f t="shared" si="8"/>
        <v>0.46366057838662128</v>
      </c>
      <c r="J73" s="40">
        <f t="shared" ca="1" si="328"/>
        <v>-4.7790663836348439E-2</v>
      </c>
      <c r="K73" s="40">
        <f t="shared" si="329"/>
        <v>2.5189751902588361E-2</v>
      </c>
      <c r="L73" s="40">
        <f t="shared" si="330"/>
        <v>0.19338305926412305</v>
      </c>
      <c r="M73" s="42">
        <f t="shared" ca="1" si="331"/>
        <v>-0.11687120898677943</v>
      </c>
      <c r="N73" s="42">
        <f t="shared" ca="1" si="332"/>
        <v>-0.31025426825090247</v>
      </c>
      <c r="O73" s="42">
        <f t="shared" ca="1" si="333"/>
        <v>0.45348105683490375</v>
      </c>
      <c r="P73" s="42">
        <f t="shared" ca="1" si="334"/>
        <v>0.5465189431650963</v>
      </c>
      <c r="Q73" s="42">
        <f t="shared" ca="1" si="335"/>
        <v>0.37818380249904404</v>
      </c>
      <c r="R73" s="42">
        <f t="shared" ca="1" si="336"/>
        <v>0.62181619750095596</v>
      </c>
      <c r="S73" s="42">
        <f t="shared" si="337"/>
        <v>0.98162450344672281</v>
      </c>
      <c r="T73" s="42">
        <f t="shared" si="338"/>
        <v>73.621837758504213</v>
      </c>
      <c r="U73" s="42">
        <f t="shared" si="339"/>
        <v>0.98801719747153338</v>
      </c>
      <c r="V73" s="42">
        <f t="shared" ca="1" si="340"/>
        <v>70.643229619214637</v>
      </c>
      <c r="W73" s="42">
        <f t="shared" ca="1" si="341"/>
        <v>0.3962270105751497</v>
      </c>
      <c r="X73" s="42">
        <f t="shared" ca="1" si="342"/>
        <v>7.1713880147629823</v>
      </c>
      <c r="Y73" s="42">
        <f t="shared" ca="1" si="19"/>
        <v>-0.53997011459108268</v>
      </c>
      <c r="Z73" s="42">
        <f t="shared" ca="1" si="20"/>
        <v>2.8312884263869971E-2</v>
      </c>
      <c r="AA73" s="42">
        <f t="shared" ca="1" si="21"/>
        <v>-1.3725511374762056E-2</v>
      </c>
      <c r="AB73" s="42">
        <f t="shared" ca="1" si="22"/>
        <v>0.19059640726513793</v>
      </c>
      <c r="AC73" s="42">
        <f t="shared" ca="1" si="23"/>
        <v>-0.21226034093219481</v>
      </c>
      <c r="AD73" s="42">
        <f t="shared" ca="1" si="24"/>
        <v>1785.694007381491</v>
      </c>
      <c r="AF73" s="36">
        <f t="shared" si="118"/>
        <v>80</v>
      </c>
      <c r="AG73" s="35">
        <f t="shared" si="25"/>
        <v>0.28399999999999997</v>
      </c>
      <c r="AH73" s="197">
        <f t="shared" si="126"/>
        <v>169.23611111111677</v>
      </c>
      <c r="AI73" s="41">
        <f t="shared" si="26"/>
        <v>0.46366057838662128</v>
      </c>
      <c r="AJ73" s="40">
        <f t="shared" ca="1" si="343"/>
        <v>-0.1123291849739196</v>
      </c>
      <c r="AK73" s="40">
        <f t="shared" si="344"/>
        <v>2.5189751902588361E-2</v>
      </c>
      <c r="AL73" s="40">
        <f t="shared" si="345"/>
        <v>0.19338305926412305</v>
      </c>
      <c r="AM73" s="42">
        <f t="shared" ca="1" si="346"/>
        <v>-0.45060530846352981</v>
      </c>
      <c r="AN73" s="42">
        <f t="shared" ca="1" si="347"/>
        <v>-0.64398836772765289</v>
      </c>
      <c r="AO73" s="42">
        <f t="shared" ca="1" si="348"/>
        <v>0.32613701999854439</v>
      </c>
      <c r="AP73" s="42">
        <f t="shared" ca="1" si="349"/>
        <v>0.67386298000145561</v>
      </c>
      <c r="AQ73" s="42">
        <f t="shared" ca="1" si="350"/>
        <v>0.25979148852589401</v>
      </c>
      <c r="AR73" s="42">
        <f t="shared" ca="1" si="351"/>
        <v>0.74020851147410593</v>
      </c>
      <c r="AS73" s="42">
        <f t="shared" si="352"/>
        <v>0.98162450344672281</v>
      </c>
      <c r="AT73" s="42">
        <f t="shared" si="353"/>
        <v>78.529960275737821</v>
      </c>
      <c r="AU73" s="42">
        <f t="shared" si="354"/>
        <v>0.98801719747153338</v>
      </c>
      <c r="AV73" s="42">
        <f t="shared" ca="1" si="355"/>
        <v>70.643229619214637</v>
      </c>
      <c r="AW73" s="42">
        <f t="shared" ca="1" si="356"/>
        <v>0.36042870629518808</v>
      </c>
      <c r="AX73" s="42">
        <f t="shared" ca="1" si="357"/>
        <v>10.524687773693493</v>
      </c>
      <c r="AY73" s="42">
        <f t="shared" ca="1" si="42"/>
        <v>-0.66578821298085411</v>
      </c>
      <c r="AZ73" s="42">
        <f t="shared" ca="1" si="43"/>
        <v>2.5754872773310268E-2</v>
      </c>
      <c r="BA73" s="42">
        <f t="shared" ca="1" si="44"/>
        <v>-1.1568105905552436E-2</v>
      </c>
      <c r="BB73" s="42">
        <f t="shared" ca="1" si="45"/>
        <v>0.17337640963791709</v>
      </c>
      <c r="BC73" s="42">
        <f t="shared" ca="1" si="46"/>
        <v>-0.26951914796318716</v>
      </c>
      <c r="BD73" s="42">
        <f t="shared" ca="1" si="47"/>
        <v>-2437.3438868467465</v>
      </c>
      <c r="BE73" s="40"/>
      <c r="BF73" s="36">
        <f t="shared" si="119"/>
        <v>90</v>
      </c>
      <c r="BG73" s="35">
        <f t="shared" si="48"/>
        <v>0.28399999999999997</v>
      </c>
      <c r="BH73" s="197">
        <f t="shared" si="127"/>
        <v>169.23611111111677</v>
      </c>
      <c r="BI73" s="41">
        <f t="shared" si="49"/>
        <v>0.46366057838662128</v>
      </c>
      <c r="BJ73" s="40">
        <f t="shared" ca="1" si="358"/>
        <v>-0.23011222063030315</v>
      </c>
      <c r="BK73" s="40">
        <f t="shared" si="359"/>
        <v>2.5189751902588361E-2</v>
      </c>
      <c r="BL73" s="40">
        <f t="shared" si="360"/>
        <v>0.19338305926412305</v>
      </c>
      <c r="BM73" s="42">
        <f t="shared" ca="1" si="361"/>
        <v>-1.0596712530430661</v>
      </c>
      <c r="BN73" s="42">
        <f t="shared" ca="1" si="362"/>
        <v>-1.2530543123071891</v>
      </c>
      <c r="BO73" s="42">
        <f t="shared" ca="1" si="363"/>
        <v>0.14464709264289191</v>
      </c>
      <c r="BP73" s="42">
        <f t="shared" ca="1" si="364"/>
        <v>0.85535290735710812</v>
      </c>
      <c r="BQ73" s="42">
        <f t="shared" ca="1" si="365"/>
        <v>0.10509297076656256</v>
      </c>
      <c r="BR73" s="42">
        <f t="shared" ca="1" si="366"/>
        <v>0.89490702923343746</v>
      </c>
      <c r="BS73" s="42">
        <f t="shared" si="367"/>
        <v>0.98162450344672281</v>
      </c>
      <c r="BT73" s="42">
        <f t="shared" si="368"/>
        <v>88.34620531020505</v>
      </c>
      <c r="BU73" s="42">
        <f t="shared" si="369"/>
        <v>0.98801719747153338</v>
      </c>
      <c r="BV73" s="42">
        <f t="shared" ca="1" si="370"/>
        <v>70.643229619214637</v>
      </c>
      <c r="BW73" s="42">
        <f t="shared" ca="1" si="371"/>
        <v>0.22754890072041115</v>
      </c>
      <c r="BX73" s="42">
        <f t="shared" ca="1" si="372"/>
        <v>0.93377260732151335</v>
      </c>
      <c r="BY73" s="42">
        <f t="shared" ca="1" si="65"/>
        <v>0.14291381509543533</v>
      </c>
      <c r="BZ73" s="42">
        <f t="shared" ca="1" si="66"/>
        <v>1.6259784210864447E-2</v>
      </c>
      <c r="CA73" s="42">
        <f t="shared" ca="1" si="67"/>
        <v>-9.4737912239403668E-3</v>
      </c>
      <c r="CB73" s="42">
        <f t="shared" ca="1" si="68"/>
        <v>0.10945746200262194</v>
      </c>
      <c r="CC73" s="42">
        <f t="shared" ca="1" si="69"/>
        <v>4.3048868577187795E-2</v>
      </c>
      <c r="CD73" s="42">
        <f t="shared" ca="1" si="70"/>
        <v>2933.1136963392432</v>
      </c>
      <c r="CE73" s="40"/>
      <c r="CF73" s="36">
        <f t="shared" si="120"/>
        <v>95</v>
      </c>
      <c r="CG73" s="35">
        <f t="shared" si="71"/>
        <v>0.28399999999999997</v>
      </c>
      <c r="CH73" s="197">
        <f t="shared" si="128"/>
        <v>169.23611111111677</v>
      </c>
      <c r="CI73" s="41">
        <f t="shared" si="72"/>
        <v>0.46366057838662128</v>
      </c>
      <c r="CJ73" s="40">
        <f t="shared" ca="1" si="373"/>
        <v>-0.28417944190057887</v>
      </c>
      <c r="CK73" s="40">
        <f t="shared" si="374"/>
        <v>2.5189751902588361E-2</v>
      </c>
      <c r="CL73" s="40">
        <f t="shared" si="375"/>
        <v>0.19338305926412305</v>
      </c>
      <c r="CM73" s="42">
        <f t="shared" ca="1" si="376"/>
        <v>-1.3392573836794139</v>
      </c>
      <c r="CN73" s="42">
        <f t="shared" ca="1" si="377"/>
        <v>-1.532640442943537</v>
      </c>
      <c r="CO73" s="42">
        <f t="shared" ca="1" si="378"/>
        <v>9.0243448572899371E-2</v>
      </c>
      <c r="CP73" s="42">
        <f t="shared" ca="1" si="379"/>
        <v>0.90975655142710066</v>
      </c>
      <c r="CQ73" s="42">
        <f t="shared" ca="1" si="380"/>
        <v>6.2682235463246222E-2</v>
      </c>
      <c r="CR73" s="42">
        <f t="shared" ca="1" si="381"/>
        <v>0.93731776453675375</v>
      </c>
      <c r="CS73" s="42">
        <f t="shared" si="382"/>
        <v>0.98162450344672281</v>
      </c>
      <c r="CT73" s="42">
        <f t="shared" si="383"/>
        <v>93.254327827438672</v>
      </c>
      <c r="CU73" s="42">
        <f t="shared" si="384"/>
        <v>0.98801719747153338</v>
      </c>
      <c r="CV73" s="42">
        <f t="shared" ca="1" si="385"/>
        <v>70.643229619214637</v>
      </c>
      <c r="CW73" s="42">
        <f t="shared" ca="1" si="386"/>
        <v>0.16271685035826283</v>
      </c>
      <c r="CX73" s="42">
        <f t="shared" ca="1" si="387"/>
        <v>0.52969892431885235</v>
      </c>
      <c r="CY73" s="42">
        <f t="shared" ca="1" si="88"/>
        <v>8.9162079149162479E-2</v>
      </c>
      <c r="CZ73" s="42">
        <f t="shared" ca="1" si="89"/>
        <v>1.162713098556205E-2</v>
      </c>
      <c r="DA73" s="42">
        <f t="shared" ca="1" si="90"/>
        <v>-6.7539503616933947E-3</v>
      </c>
      <c r="DB73" s="42">
        <f t="shared" ca="1" si="91"/>
        <v>7.827141071166803E-2</v>
      </c>
      <c r="DC73" s="42">
        <f t="shared" ca="1" si="92"/>
        <v>2.7102767853540381E-2</v>
      </c>
      <c r="DD73" s="42">
        <f t="shared" ca="1" si="93"/>
        <v>-2310.1505378405741</v>
      </c>
      <c r="DE73" s="40"/>
      <c r="DF73" s="36">
        <f t="shared" si="121"/>
        <v>200</v>
      </c>
      <c r="DG73" s="35">
        <f t="shared" si="94"/>
        <v>0.28399999999999997</v>
      </c>
      <c r="DH73" s="197">
        <f t="shared" si="129"/>
        <v>169.23611111111677</v>
      </c>
      <c r="DI73" s="41">
        <f t="shared" si="95"/>
        <v>0.46366057838662128</v>
      </c>
      <c r="DJ73" s="40">
        <f t="shared" ca="1" si="388"/>
        <v>-1.0286199168480747</v>
      </c>
      <c r="DK73" s="40">
        <f t="shared" si="389"/>
        <v>2.5189751902588361E-2</v>
      </c>
      <c r="DL73" s="40">
        <f t="shared" si="390"/>
        <v>0.19338305926412305</v>
      </c>
      <c r="DM73" s="42">
        <f t="shared" ca="1" si="391"/>
        <v>-5.1888214446695615</v>
      </c>
      <c r="DN73" s="42">
        <f t="shared" ca="1" si="392"/>
        <v>-5.3822045039336848</v>
      </c>
      <c r="DO73" s="42">
        <f t="shared" ca="1" si="393"/>
        <v>1.0581459836774654E-7</v>
      </c>
      <c r="DP73" s="42">
        <f t="shared" ca="1" si="394"/>
        <v>0.99999989418540158</v>
      </c>
      <c r="DQ73" s="42">
        <f t="shared" ca="1" si="395"/>
        <v>3.6789551089523805E-8</v>
      </c>
      <c r="DR73" s="42">
        <f t="shared" ca="1" si="396"/>
        <v>0.99999996321044893</v>
      </c>
      <c r="DS73" s="42">
        <f t="shared" si="397"/>
        <v>0.98162450344672281</v>
      </c>
      <c r="DT73" s="42">
        <f t="shared" si="398"/>
        <v>196.32490068934456</v>
      </c>
      <c r="DU73" s="42">
        <f t="shared" si="399"/>
        <v>0.98801719747153338</v>
      </c>
      <c r="DV73" s="42">
        <f t="shared" ca="1" si="400"/>
        <v>70.643229619214637</v>
      </c>
      <c r="DW73" s="42">
        <f t="shared" ca="1" si="401"/>
        <v>5.6815445604426497E-7</v>
      </c>
      <c r="DX73" s="42">
        <f t="shared" si="402"/>
        <v>0</v>
      </c>
      <c r="DY73" s="92">
        <f t="shared" si="111"/>
        <v>0</v>
      </c>
      <c r="DZ73" s="42">
        <f t="shared" si="112"/>
        <v>0</v>
      </c>
      <c r="EA73" s="42">
        <f t="shared" si="113"/>
        <v>0</v>
      </c>
      <c r="EB73" s="42">
        <f t="shared" si="114"/>
        <v>0</v>
      </c>
      <c r="EC73" s="42">
        <f t="shared" si="115"/>
        <v>0</v>
      </c>
      <c r="ED73" s="42">
        <f t="shared" ca="1" si="116"/>
        <v>0</v>
      </c>
      <c r="EE73" s="40"/>
      <c r="EF73" s="120">
        <f t="shared" ca="1" si="130"/>
        <v>71.5</v>
      </c>
      <c r="EG73" s="42">
        <f t="shared" ca="1" si="403"/>
        <v>-28.686720966586563</v>
      </c>
      <c r="EH73" s="36">
        <f t="shared" ca="1" si="123"/>
        <v>-28.686720966586563</v>
      </c>
      <c r="EI73" s="36">
        <f t="shared" ca="1" si="124"/>
        <v>18.138999999999999</v>
      </c>
      <c r="EJ73" s="153">
        <f t="shared" ca="1" si="131"/>
        <v>1</v>
      </c>
      <c r="EK73" s="153" t="str">
        <f t="shared" ca="1" si="229"/>
        <v/>
      </c>
      <c r="EL73" s="153" t="str">
        <f t="shared" ca="1" si="132"/>
        <v/>
      </c>
      <c r="EM73" s="153">
        <f t="shared" ca="1" si="230"/>
        <v>0</v>
      </c>
      <c r="EN73" s="153">
        <f t="shared" ca="1" si="231"/>
        <v>0</v>
      </c>
    </row>
    <row r="74" spans="1:144" x14ac:dyDescent="0.3">
      <c r="A74" s="36">
        <f ca="1">IF($M$22=1,A73+'Auto X'!$E$6,A$48)</f>
        <v>72</v>
      </c>
      <c r="B74" s="35">
        <f>IF($M$22=2,B73+'Auto X'!$E$6,B$48)</f>
        <v>0.28399999999999997</v>
      </c>
      <c r="C74" s="39">
        <f>IF($M$22=3,C73+'Auto X'!$E$6,C$48)</f>
        <v>45295.440972222219</v>
      </c>
      <c r="D74" s="35">
        <f>IF($M$22=4,D73+'Auto X'!$E$6,D$48)</f>
        <v>2.5999999999999999E-2</v>
      </c>
      <c r="E74" s="35">
        <f>IF($M$22=5,E73+'Auto X'!$E$6,E$48)</f>
        <v>0.04</v>
      </c>
      <c r="F74" s="36">
        <f t="shared" si="117"/>
        <v>75</v>
      </c>
      <c r="G74" s="35">
        <f t="shared" si="7"/>
        <v>0.28399999999999997</v>
      </c>
      <c r="H74" s="197">
        <f t="shared" si="125"/>
        <v>169.23611111111677</v>
      </c>
      <c r="I74" s="41">
        <f t="shared" si="8"/>
        <v>0.46366057838662128</v>
      </c>
      <c r="J74" s="40">
        <f t="shared" ca="1" si="328"/>
        <v>-4.0821994520255166E-2</v>
      </c>
      <c r="K74" s="40">
        <f t="shared" si="329"/>
        <v>2.5189751902588361E-2</v>
      </c>
      <c r="L74" s="40">
        <f t="shared" si="330"/>
        <v>0.19338305926412305</v>
      </c>
      <c r="M74" s="42">
        <f t="shared" ca="1" si="331"/>
        <v>-8.0835636157333968E-2</v>
      </c>
      <c r="N74" s="42">
        <f t="shared" ca="1" si="332"/>
        <v>-0.27421869542145705</v>
      </c>
      <c r="O74" s="42">
        <f t="shared" ca="1" si="333"/>
        <v>0.46778633361856786</v>
      </c>
      <c r="P74" s="42">
        <f t="shared" ca="1" si="334"/>
        <v>0.53221366638143208</v>
      </c>
      <c r="Q74" s="42">
        <f t="shared" ca="1" si="335"/>
        <v>0.3919582808614247</v>
      </c>
      <c r="R74" s="42">
        <f t="shared" ca="1" si="336"/>
        <v>0.6080417191385753</v>
      </c>
      <c r="S74" s="42">
        <f t="shared" si="337"/>
        <v>0.98162450344672281</v>
      </c>
      <c r="T74" s="42">
        <f t="shared" si="338"/>
        <v>73.621837758504213</v>
      </c>
      <c r="U74" s="42">
        <f t="shared" si="339"/>
        <v>0.98801719747153338</v>
      </c>
      <c r="V74" s="42">
        <f t="shared" ca="1" si="340"/>
        <v>71.137238217950397</v>
      </c>
      <c r="W74" s="42">
        <f t="shared" ca="1" si="341"/>
        <v>0.39764098312517415</v>
      </c>
      <c r="X74" s="42">
        <f t="shared" ca="1" si="342"/>
        <v>6.9049384285974611</v>
      </c>
      <c r="Y74" s="42">
        <f t="shared" ca="1" si="19"/>
        <v>-0.52583625511423215</v>
      </c>
      <c r="Z74" s="42">
        <f t="shared" ca="1" si="20"/>
        <v>2.8216602498269214E-2</v>
      </c>
      <c r="AA74" s="42">
        <f t="shared" ca="1" si="21"/>
        <v>-1.3952691419816974E-2</v>
      </c>
      <c r="AB74" s="42">
        <f t="shared" ca="1" si="22"/>
        <v>0.19261416646230672</v>
      </c>
      <c r="AC74" s="42">
        <f t="shared" ca="1" si="23"/>
        <v>-0.20755834782697732</v>
      </c>
      <c r="AD74" s="42">
        <f t="shared" ca="1" si="24"/>
        <v>1652.4692142987305</v>
      </c>
      <c r="AF74" s="36">
        <f t="shared" si="118"/>
        <v>80</v>
      </c>
      <c r="AG74" s="35">
        <f t="shared" si="25"/>
        <v>0.28399999999999997</v>
      </c>
      <c r="AH74" s="197">
        <f t="shared" si="126"/>
        <v>169.23611111111677</v>
      </c>
      <c r="AI74" s="41">
        <f t="shared" si="26"/>
        <v>0.46366057838662128</v>
      </c>
      <c r="AJ74" s="40">
        <f t="shared" ca="1" si="343"/>
        <v>-0.10536051565782628</v>
      </c>
      <c r="AK74" s="40">
        <f t="shared" si="344"/>
        <v>2.5189751902588361E-2</v>
      </c>
      <c r="AL74" s="40">
        <f t="shared" si="345"/>
        <v>0.19338305926412305</v>
      </c>
      <c r="AM74" s="42">
        <f t="shared" ca="1" si="346"/>
        <v>-0.41456973563408411</v>
      </c>
      <c r="AN74" s="42">
        <f t="shared" ca="1" si="347"/>
        <v>-0.60795279489820719</v>
      </c>
      <c r="AO74" s="42">
        <f t="shared" ca="1" si="348"/>
        <v>0.33922845354367981</v>
      </c>
      <c r="AP74" s="42">
        <f t="shared" ca="1" si="349"/>
        <v>0.66077154645632019</v>
      </c>
      <c r="AQ74" s="42">
        <f t="shared" ca="1" si="350"/>
        <v>0.27160939125004235</v>
      </c>
      <c r="AR74" s="42">
        <f t="shared" ca="1" si="351"/>
        <v>0.72839060874995765</v>
      </c>
      <c r="AS74" s="42">
        <f t="shared" si="352"/>
        <v>0.98162450344672281</v>
      </c>
      <c r="AT74" s="42">
        <f t="shared" si="353"/>
        <v>78.529960275737821</v>
      </c>
      <c r="AU74" s="42">
        <f t="shared" si="354"/>
        <v>0.98801719747153338</v>
      </c>
      <c r="AV74" s="42">
        <f t="shared" ca="1" si="355"/>
        <v>71.137238217950397</v>
      </c>
      <c r="AW74" s="42">
        <f t="shared" ca="1" si="356"/>
        <v>0.36609128428761523</v>
      </c>
      <c r="AX74" s="42">
        <f t="shared" ca="1" si="357"/>
        <v>10.19502266244794</v>
      </c>
      <c r="AY74" s="42">
        <f t="shared" ca="1" si="42"/>
        <v>-0.65285365149870456</v>
      </c>
      <c r="AZ74" s="42">
        <f t="shared" ca="1" si="43"/>
        <v>2.5977836000804666E-2</v>
      </c>
      <c r="BA74" s="42">
        <f t="shared" ca="1" si="44"/>
        <v>-1.1959063428268173E-2</v>
      </c>
      <c r="BB74" s="42">
        <f t="shared" ca="1" si="45"/>
        <v>0.17733174035025714</v>
      </c>
      <c r="BC74" s="42">
        <f t="shared" ca="1" si="46"/>
        <v>-0.26521610223546227</v>
      </c>
      <c r="BD74" s="42">
        <f t="shared" ca="1" si="47"/>
        <v>-2272.5113312239696</v>
      </c>
      <c r="BE74" s="40"/>
      <c r="BF74" s="36">
        <f t="shared" si="119"/>
        <v>90</v>
      </c>
      <c r="BG74" s="35">
        <f t="shared" si="48"/>
        <v>0.28399999999999997</v>
      </c>
      <c r="BH74" s="197">
        <f t="shared" si="127"/>
        <v>169.23611111111677</v>
      </c>
      <c r="BI74" s="41">
        <f t="shared" si="49"/>
        <v>0.46366057838662128</v>
      </c>
      <c r="BJ74" s="40">
        <f t="shared" ca="1" si="358"/>
        <v>-0.22314355131420971</v>
      </c>
      <c r="BK74" s="40">
        <f t="shared" si="359"/>
        <v>2.5189751902588361E-2</v>
      </c>
      <c r="BL74" s="40">
        <f t="shared" si="360"/>
        <v>0.19338305926412305</v>
      </c>
      <c r="BM74" s="42">
        <f t="shared" ca="1" si="361"/>
        <v>-1.0236356802136197</v>
      </c>
      <c r="BN74" s="42">
        <f t="shared" ca="1" si="362"/>
        <v>-1.2170187394777428</v>
      </c>
      <c r="BO74" s="42">
        <f t="shared" ca="1" si="363"/>
        <v>0.1530036929163871</v>
      </c>
      <c r="BP74" s="42">
        <f t="shared" ca="1" si="364"/>
        <v>0.84699630708361284</v>
      </c>
      <c r="BQ74" s="42">
        <f t="shared" ca="1" si="365"/>
        <v>0.11179854302242623</v>
      </c>
      <c r="BR74" s="42">
        <f t="shared" ca="1" si="366"/>
        <v>0.8882014569775738</v>
      </c>
      <c r="BS74" s="42">
        <f t="shared" si="367"/>
        <v>0.98162450344672281</v>
      </c>
      <c r="BT74" s="42">
        <f t="shared" si="368"/>
        <v>88.34620531020505</v>
      </c>
      <c r="BU74" s="42">
        <f t="shared" si="369"/>
        <v>0.98801719747153338</v>
      </c>
      <c r="BV74" s="42">
        <f t="shared" ca="1" si="370"/>
        <v>71.137238217950397</v>
      </c>
      <c r="BW74" s="42">
        <f t="shared" ca="1" si="371"/>
        <v>0.23625264046297795</v>
      </c>
      <c r="BX74" s="42">
        <f t="shared" ca="1" si="372"/>
        <v>1.0072831159780993</v>
      </c>
      <c r="BY74" s="42">
        <f t="shared" ca="1" si="65"/>
        <v>0.15117027987804388</v>
      </c>
      <c r="BZ74" s="42">
        <f t="shared" ca="1" si="66"/>
        <v>1.6764486378437207E-2</v>
      </c>
      <c r="CA74" s="42">
        <f t="shared" ca="1" si="67"/>
        <v>-9.9092540845294053E-3</v>
      </c>
      <c r="CB74" s="42">
        <f t="shared" ca="1" si="68"/>
        <v>0.11443892191306332</v>
      </c>
      <c r="CC74" s="42">
        <f t="shared" ca="1" si="69"/>
        <v>4.5795648848712449E-2</v>
      </c>
      <c r="CD74" s="42">
        <f t="shared" ca="1" si="70"/>
        <v>2896.3584420109501</v>
      </c>
      <c r="CE74" s="40"/>
      <c r="CF74" s="36">
        <f t="shared" si="120"/>
        <v>95</v>
      </c>
      <c r="CG74" s="35">
        <f t="shared" si="71"/>
        <v>0.28399999999999997</v>
      </c>
      <c r="CH74" s="197">
        <f t="shared" si="128"/>
        <v>169.23611111111677</v>
      </c>
      <c r="CI74" s="41">
        <f t="shared" si="72"/>
        <v>0.46366057838662128</v>
      </c>
      <c r="CJ74" s="40">
        <f t="shared" ca="1" si="373"/>
        <v>-0.27721077258448551</v>
      </c>
      <c r="CK74" s="40">
        <f t="shared" si="374"/>
        <v>2.5189751902588361E-2</v>
      </c>
      <c r="CL74" s="40">
        <f t="shared" si="375"/>
        <v>0.19338305926412305</v>
      </c>
      <c r="CM74" s="42">
        <f t="shared" ca="1" si="376"/>
        <v>-1.303221810849968</v>
      </c>
      <c r="CN74" s="42">
        <f t="shared" ca="1" si="377"/>
        <v>-1.496604870114091</v>
      </c>
      <c r="CO74" s="42">
        <f t="shared" ca="1" si="378"/>
        <v>9.6249522967180368E-2</v>
      </c>
      <c r="CP74" s="42">
        <f t="shared" ca="1" si="379"/>
        <v>0.90375047703281963</v>
      </c>
      <c r="CQ74" s="42">
        <f t="shared" ca="1" si="380"/>
        <v>6.7248051086782043E-2</v>
      </c>
      <c r="CR74" s="42">
        <f t="shared" ca="1" si="381"/>
        <v>0.932751948913218</v>
      </c>
      <c r="CS74" s="42">
        <f t="shared" si="382"/>
        <v>0.98162450344672281</v>
      </c>
      <c r="CT74" s="42">
        <f t="shared" si="383"/>
        <v>93.254327827438672</v>
      </c>
      <c r="CU74" s="42">
        <f t="shared" si="384"/>
        <v>0.98801719747153338</v>
      </c>
      <c r="CV74" s="42">
        <f t="shared" ca="1" si="385"/>
        <v>71.137238217950397</v>
      </c>
      <c r="CW74" s="42">
        <f t="shared" ca="1" si="386"/>
        <v>0.17065145501711593</v>
      </c>
      <c r="CX74" s="42">
        <f t="shared" ca="1" si="387"/>
        <v>0.57575344187728117</v>
      </c>
      <c r="CY74" s="42">
        <f t="shared" ca="1" si="88"/>
        <v>9.5096183940005533E-2</v>
      </c>
      <c r="CZ74" s="42">
        <f t="shared" ca="1" si="89"/>
        <v>1.2109426533767126E-2</v>
      </c>
      <c r="DA74" s="42">
        <f t="shared" ca="1" si="90"/>
        <v>-7.135418601106655E-3</v>
      </c>
      <c r="DB74" s="42">
        <f t="shared" ca="1" si="91"/>
        <v>8.2662223358789061E-2</v>
      </c>
      <c r="DC74" s="42">
        <f t="shared" ca="1" si="92"/>
        <v>2.9076951447859028E-2</v>
      </c>
      <c r="DD74" s="42">
        <f t="shared" ca="1" si="93"/>
        <v>-2287.1232790613594</v>
      </c>
      <c r="DE74" s="40"/>
      <c r="DF74" s="36">
        <f t="shared" si="121"/>
        <v>200</v>
      </c>
      <c r="DG74" s="35">
        <f t="shared" si="94"/>
        <v>0.28399999999999997</v>
      </c>
      <c r="DH74" s="197">
        <f t="shared" si="129"/>
        <v>169.23611111111677</v>
      </c>
      <c r="DI74" s="41">
        <f t="shared" si="95"/>
        <v>0.46366057838662128</v>
      </c>
      <c r="DJ74" s="40">
        <f t="shared" ca="1" si="388"/>
        <v>-1.0216512475319814</v>
      </c>
      <c r="DK74" s="40">
        <f t="shared" si="389"/>
        <v>2.5189751902588361E-2</v>
      </c>
      <c r="DL74" s="40">
        <f t="shared" si="390"/>
        <v>0.19338305926412305</v>
      </c>
      <c r="DM74" s="42">
        <f t="shared" ca="1" si="391"/>
        <v>-5.1527858718401163</v>
      </c>
      <c r="DN74" s="42">
        <f t="shared" ca="1" si="392"/>
        <v>-5.3461689311042395</v>
      </c>
      <c r="DO74" s="42">
        <f t="shared" ca="1" si="393"/>
        <v>1.2832247793739414E-7</v>
      </c>
      <c r="DP74" s="42">
        <f t="shared" ca="1" si="394"/>
        <v>0.99999987167752202</v>
      </c>
      <c r="DQ74" s="42">
        <f t="shared" ca="1" si="395"/>
        <v>4.4917684278125502E-8</v>
      </c>
      <c r="DR74" s="42">
        <f t="shared" ca="1" si="396"/>
        <v>0.99999995508231576</v>
      </c>
      <c r="DS74" s="42">
        <f t="shared" si="397"/>
        <v>0.98162450344672281</v>
      </c>
      <c r="DT74" s="42">
        <f t="shared" si="398"/>
        <v>196.32490068934456</v>
      </c>
      <c r="DU74" s="42">
        <f t="shared" si="399"/>
        <v>0.98801719747153338</v>
      </c>
      <c r="DV74" s="42">
        <f t="shared" ca="1" si="400"/>
        <v>71.137238217950397</v>
      </c>
      <c r="DW74" s="42">
        <f t="shared" ca="1" si="401"/>
        <v>6.8452569558257783E-7</v>
      </c>
      <c r="DX74" s="42">
        <f t="shared" si="402"/>
        <v>0</v>
      </c>
      <c r="DY74" s="92">
        <f t="shared" si="111"/>
        <v>0</v>
      </c>
      <c r="DZ74" s="42">
        <f t="shared" si="112"/>
        <v>0</v>
      </c>
      <c r="EA74" s="42">
        <f t="shared" si="113"/>
        <v>0</v>
      </c>
      <c r="EB74" s="42">
        <f t="shared" si="114"/>
        <v>0</v>
      </c>
      <c r="EC74" s="42">
        <f t="shared" si="115"/>
        <v>0</v>
      </c>
      <c r="ED74" s="42">
        <f t="shared" ca="1" si="116"/>
        <v>0</v>
      </c>
      <c r="EE74" s="40"/>
      <c r="EF74" s="120">
        <f t="shared" ca="1" si="130"/>
        <v>72</v>
      </c>
      <c r="EG74" s="42">
        <f t="shared" ca="1" si="403"/>
        <v>-10.806953975648412</v>
      </c>
      <c r="EH74" s="36">
        <f t="shared" ca="1" si="123"/>
        <v>-10.806953975648412</v>
      </c>
      <c r="EI74" s="36">
        <f t="shared" ca="1" si="124"/>
        <v>17.88</v>
      </c>
      <c r="EJ74" s="153">
        <f t="shared" ca="1" si="131"/>
        <v>1</v>
      </c>
      <c r="EK74" s="153" t="str">
        <f t="shared" ca="1" si="229"/>
        <v/>
      </c>
      <c r="EL74" s="153" t="str">
        <f t="shared" ca="1" si="132"/>
        <v/>
      </c>
      <c r="EM74" s="153">
        <f t="shared" ca="1" si="230"/>
        <v>0</v>
      </c>
      <c r="EN74" s="153">
        <f t="shared" ca="1" si="231"/>
        <v>0</v>
      </c>
    </row>
    <row r="75" spans="1:144" x14ac:dyDescent="0.3">
      <c r="A75" s="36">
        <f ca="1">IF($M$22=1,A74+'Auto X'!$E$6,A$48)</f>
        <v>72.5</v>
      </c>
      <c r="B75" s="35">
        <f>IF($M$22=2,B74+'Auto X'!$E$6,B$48)</f>
        <v>0.28399999999999997</v>
      </c>
      <c r="C75" s="39">
        <f>IF($M$22=3,C74+'Auto X'!$E$6,C$48)</f>
        <v>45295.440972222219</v>
      </c>
      <c r="D75" s="35">
        <f>IF($M$22=4,D74+'Auto X'!$E$6,D$48)</f>
        <v>2.5999999999999999E-2</v>
      </c>
      <c r="E75" s="35">
        <f>IF($M$22=5,E74+'Auto X'!$E$6,E$48)</f>
        <v>0.04</v>
      </c>
      <c r="F75" s="36">
        <f t="shared" si="117"/>
        <v>75</v>
      </c>
      <c r="G75" s="35">
        <f t="shared" si="7"/>
        <v>0.28399999999999997</v>
      </c>
      <c r="H75" s="197">
        <f t="shared" si="125"/>
        <v>169.23611111111677</v>
      </c>
      <c r="I75" s="41">
        <f t="shared" si="8"/>
        <v>0.46366057838662128</v>
      </c>
      <c r="J75" s="40">
        <f t="shared" ca="1" si="328"/>
        <v>-3.3901551675681339E-2</v>
      </c>
      <c r="K75" s="40">
        <f t="shared" si="329"/>
        <v>2.5189751902588361E-2</v>
      </c>
      <c r="L75" s="40">
        <f t="shared" si="330"/>
        <v>0.19338305926412305</v>
      </c>
      <c r="M75" s="42">
        <f t="shared" ca="1" si="331"/>
        <v>-4.5049446452258161E-2</v>
      </c>
      <c r="N75" s="42">
        <f t="shared" ca="1" si="332"/>
        <v>-0.23843250571638122</v>
      </c>
      <c r="O75" s="42">
        <f t="shared" ca="1" si="333"/>
        <v>0.48203394818212258</v>
      </c>
      <c r="P75" s="42">
        <f t="shared" ca="1" si="334"/>
        <v>0.51796605181787747</v>
      </c>
      <c r="Q75" s="42">
        <f t="shared" ca="1" si="335"/>
        <v>0.40577282918276592</v>
      </c>
      <c r="R75" s="42">
        <f t="shared" ca="1" si="336"/>
        <v>0.59422717081723408</v>
      </c>
      <c r="S75" s="42">
        <f t="shared" si="337"/>
        <v>0.98162450344672281</v>
      </c>
      <c r="T75" s="42">
        <f t="shared" si="338"/>
        <v>73.621837758504213</v>
      </c>
      <c r="U75" s="42">
        <f t="shared" si="339"/>
        <v>0.98801719747153338</v>
      </c>
      <c r="V75" s="42">
        <f t="shared" ca="1" si="340"/>
        <v>71.631246816686172</v>
      </c>
      <c r="W75" s="42">
        <f t="shared" ca="1" si="341"/>
        <v>0.39853766849210348</v>
      </c>
      <c r="X75" s="42">
        <f t="shared" ca="1" si="342"/>
        <v>6.645542261170533</v>
      </c>
      <c r="Y75" s="42">
        <f t="shared" ca="1" si="19"/>
        <v>-0.51175936690249435</v>
      </c>
      <c r="Z75" s="42">
        <f t="shared" ca="1" si="20"/>
        <v>2.8085195210304181E-2</v>
      </c>
      <c r="AA75" s="42">
        <f t="shared" ca="1" si="21"/>
        <v>-1.4159109934016237E-2</v>
      </c>
      <c r="AB75" s="42">
        <f t="shared" ca="1" si="22"/>
        <v>0.19438912848461587</v>
      </c>
      <c r="AC75" s="42">
        <f t="shared" ca="1" si="23"/>
        <v>-0.20284267662333735</v>
      </c>
      <c r="AD75" s="42">
        <f t="shared" ca="1" si="24"/>
        <v>1522.7711305852665</v>
      </c>
      <c r="AF75" s="36">
        <f t="shared" si="118"/>
        <v>80</v>
      </c>
      <c r="AG75" s="35">
        <f t="shared" si="25"/>
        <v>0.28399999999999997</v>
      </c>
      <c r="AH75" s="197">
        <f t="shared" si="126"/>
        <v>169.23611111111677</v>
      </c>
      <c r="AI75" s="41">
        <f t="shared" si="26"/>
        <v>0.46366057838662128</v>
      </c>
      <c r="AJ75" s="40">
        <f t="shared" ca="1" si="343"/>
        <v>-9.8440072813252524E-2</v>
      </c>
      <c r="AK75" s="40">
        <f t="shared" si="344"/>
        <v>2.5189751902588361E-2</v>
      </c>
      <c r="AL75" s="40">
        <f t="shared" si="345"/>
        <v>0.19338305926412305</v>
      </c>
      <c r="AM75" s="42">
        <f t="shared" ca="1" si="346"/>
        <v>-0.3787835459290087</v>
      </c>
      <c r="AN75" s="42">
        <f t="shared" ca="1" si="347"/>
        <v>-0.57216660519313178</v>
      </c>
      <c r="AO75" s="42">
        <f t="shared" ca="1" si="348"/>
        <v>0.3524243034796225</v>
      </c>
      <c r="AP75" s="42">
        <f t="shared" ca="1" si="349"/>
        <v>0.6475756965203775</v>
      </c>
      <c r="AQ75" s="42">
        <f t="shared" ca="1" si="350"/>
        <v>0.28360455463014311</v>
      </c>
      <c r="AR75" s="42">
        <f t="shared" ca="1" si="351"/>
        <v>0.71639544536985689</v>
      </c>
      <c r="AS75" s="42">
        <f t="shared" si="352"/>
        <v>0.98162450344672281</v>
      </c>
      <c r="AT75" s="42">
        <f t="shared" si="353"/>
        <v>78.529960275737821</v>
      </c>
      <c r="AU75" s="42">
        <f t="shared" si="354"/>
        <v>0.98801719747153338</v>
      </c>
      <c r="AV75" s="42">
        <f t="shared" ca="1" si="355"/>
        <v>71.631246816686172</v>
      </c>
      <c r="AW75" s="42">
        <f t="shared" ca="1" si="356"/>
        <v>0.37132521110893918</v>
      </c>
      <c r="AX75" s="42">
        <f t="shared" ca="1" si="357"/>
        <v>9.8718513166757447</v>
      </c>
      <c r="AY75" s="42">
        <f t="shared" ca="1" si="42"/>
        <v>-0.63981592482673955</v>
      </c>
      <c r="AZ75" s="42">
        <f t="shared" ca="1" si="43"/>
        <v>2.6167516561131789E-2</v>
      </c>
      <c r="BA75" s="42">
        <f t="shared" ca="1" si="44"/>
        <v>-1.2335745883668512E-2</v>
      </c>
      <c r="BB75" s="42">
        <f t="shared" ca="1" si="45"/>
        <v>0.18111608984148728</v>
      </c>
      <c r="BC75" s="42">
        <f t="shared" ca="1" si="46"/>
        <v>-0.26084851369281542</v>
      </c>
      <c r="BD75" s="42">
        <f t="shared" ca="1" si="47"/>
        <v>-2110.9256583378719</v>
      </c>
      <c r="BE75" s="40"/>
      <c r="BF75" s="36">
        <f t="shared" si="119"/>
        <v>90</v>
      </c>
      <c r="BG75" s="35">
        <f t="shared" si="48"/>
        <v>0.28399999999999997</v>
      </c>
      <c r="BH75" s="197">
        <f t="shared" si="127"/>
        <v>169.23611111111677</v>
      </c>
      <c r="BI75" s="41">
        <f t="shared" si="49"/>
        <v>0.46366057838662128</v>
      </c>
      <c r="BJ75" s="40">
        <f t="shared" ca="1" si="358"/>
        <v>-0.21622310846963594</v>
      </c>
      <c r="BK75" s="40">
        <f t="shared" si="359"/>
        <v>2.5189751902588361E-2</v>
      </c>
      <c r="BL75" s="40">
        <f t="shared" si="360"/>
        <v>0.19338305926412305</v>
      </c>
      <c r="BM75" s="42">
        <f t="shared" ca="1" si="361"/>
        <v>-0.9878494905085442</v>
      </c>
      <c r="BN75" s="42">
        <f t="shared" ca="1" si="362"/>
        <v>-1.1812325497726672</v>
      </c>
      <c r="BO75" s="42">
        <f t="shared" ca="1" si="363"/>
        <v>0.16161318273536718</v>
      </c>
      <c r="BP75" s="42">
        <f t="shared" ca="1" si="364"/>
        <v>0.83838681726463282</v>
      </c>
      <c r="BQ75" s="42">
        <f t="shared" ca="1" si="365"/>
        <v>0.1187551769823305</v>
      </c>
      <c r="BR75" s="42">
        <f t="shared" ca="1" si="366"/>
        <v>0.88124482301766949</v>
      </c>
      <c r="BS75" s="42">
        <f t="shared" si="367"/>
        <v>0.98162450344672281</v>
      </c>
      <c r="BT75" s="42">
        <f t="shared" si="368"/>
        <v>88.34620531020505</v>
      </c>
      <c r="BU75" s="42">
        <f t="shared" si="369"/>
        <v>0.98801719747153338</v>
      </c>
      <c r="BV75" s="42">
        <f t="shared" ca="1" si="370"/>
        <v>71.631246816686172</v>
      </c>
      <c r="BW75" s="42">
        <f t="shared" ca="1" si="371"/>
        <v>0.2449106469822791</v>
      </c>
      <c r="BX75" s="42">
        <f t="shared" ca="1" si="372"/>
        <v>1.0849845340165842</v>
      </c>
      <c r="BY75" s="42">
        <f t="shared" ca="1" si="65"/>
        <v>0.15967660388065227</v>
      </c>
      <c r="BZ75" s="42">
        <f t="shared" ca="1" si="66"/>
        <v>1.7259004288362492E-2</v>
      </c>
      <c r="CA75" s="42">
        <f t="shared" ca="1" si="67"/>
        <v>-1.0348310711095243E-2</v>
      </c>
      <c r="CB75" s="42">
        <f t="shared" ca="1" si="68"/>
        <v>0.1194566310472405</v>
      </c>
      <c r="CC75" s="42">
        <f t="shared" ca="1" si="69"/>
        <v>4.8645270654006458E-2</v>
      </c>
      <c r="CD75" s="42">
        <f t="shared" ca="1" si="70"/>
        <v>2857.5077329917076</v>
      </c>
      <c r="CE75" s="40"/>
      <c r="CF75" s="36">
        <f t="shared" si="120"/>
        <v>95</v>
      </c>
      <c r="CG75" s="35">
        <f t="shared" si="71"/>
        <v>0.28399999999999997</v>
      </c>
      <c r="CH75" s="197">
        <f t="shared" si="128"/>
        <v>169.23611111111677</v>
      </c>
      <c r="CI75" s="41">
        <f t="shared" si="72"/>
        <v>0.46366057838662128</v>
      </c>
      <c r="CJ75" s="40">
        <f t="shared" ca="1" si="373"/>
        <v>-0.27029032973991168</v>
      </c>
      <c r="CK75" s="40">
        <f t="shared" si="374"/>
        <v>2.5189751902588361E-2</v>
      </c>
      <c r="CL75" s="40">
        <f t="shared" si="375"/>
        <v>0.19338305926412305</v>
      </c>
      <c r="CM75" s="42">
        <f t="shared" ca="1" si="376"/>
        <v>-1.2674356211448923</v>
      </c>
      <c r="CN75" s="42">
        <f t="shared" ca="1" si="377"/>
        <v>-1.4608186804090153</v>
      </c>
      <c r="CO75" s="42">
        <f t="shared" ca="1" si="378"/>
        <v>0.10249978482327457</v>
      </c>
      <c r="CP75" s="42">
        <f t="shared" ca="1" si="379"/>
        <v>0.8975002151767254</v>
      </c>
      <c r="CQ75" s="42">
        <f t="shared" ca="1" si="380"/>
        <v>7.2032603957349839E-2</v>
      </c>
      <c r="CR75" s="42">
        <f t="shared" ca="1" si="381"/>
        <v>0.92796739604265022</v>
      </c>
      <c r="CS75" s="42">
        <f t="shared" si="382"/>
        <v>0.98162450344672281</v>
      </c>
      <c r="CT75" s="42">
        <f t="shared" si="383"/>
        <v>93.254327827438672</v>
      </c>
      <c r="CU75" s="42">
        <f t="shared" si="384"/>
        <v>0.98801719747153338</v>
      </c>
      <c r="CV75" s="42">
        <f t="shared" ca="1" si="385"/>
        <v>71.631246816686172</v>
      </c>
      <c r="CW75" s="42">
        <f t="shared" ca="1" si="386"/>
        <v>0.17868423877229614</v>
      </c>
      <c r="CX75" s="42">
        <f t="shared" ca="1" si="387"/>
        <v>0.62483532163044675</v>
      </c>
      <c r="CY75" s="42">
        <f t="shared" ca="1" si="88"/>
        <v>0.10127155014252695</v>
      </c>
      <c r="CZ75" s="42">
        <f t="shared" ca="1" si="89"/>
        <v>1.2591988471032002E-2</v>
      </c>
      <c r="DA75" s="42">
        <f t="shared" ca="1" si="90"/>
        <v>-7.5259506966778291E-3</v>
      </c>
      <c r="DB75" s="42">
        <f t="shared" ca="1" si="91"/>
        <v>8.7154304837239918E-2</v>
      </c>
      <c r="DC75" s="42">
        <f t="shared" ca="1" si="92"/>
        <v>3.1145713430829846E-2</v>
      </c>
      <c r="DD75" s="42">
        <f t="shared" ca="1" si="93"/>
        <v>-2262.5823391847766</v>
      </c>
      <c r="DE75" s="40"/>
      <c r="DF75" s="36">
        <f t="shared" si="121"/>
        <v>200</v>
      </c>
      <c r="DG75" s="35">
        <f t="shared" si="94"/>
        <v>0.28399999999999997</v>
      </c>
      <c r="DH75" s="197">
        <f t="shared" si="129"/>
        <v>169.23611111111677</v>
      </c>
      <c r="DI75" s="41">
        <f t="shared" si="95"/>
        <v>0.46366057838662128</v>
      </c>
      <c r="DJ75" s="40">
        <f t="shared" ca="1" si="388"/>
        <v>-1.0147308046874075</v>
      </c>
      <c r="DK75" s="40">
        <f t="shared" si="389"/>
        <v>2.5189751902588361E-2</v>
      </c>
      <c r="DL75" s="40">
        <f t="shared" si="390"/>
        <v>0.19338305926412305</v>
      </c>
      <c r="DM75" s="42">
        <f t="shared" ca="1" si="391"/>
        <v>-5.1169996821350399</v>
      </c>
      <c r="DN75" s="42">
        <f t="shared" ca="1" si="392"/>
        <v>-5.3103827413991631</v>
      </c>
      <c r="DO75" s="42">
        <f t="shared" ca="1" si="393"/>
        <v>1.5521707228821747E-7</v>
      </c>
      <c r="DP75" s="42">
        <f t="shared" ca="1" si="394"/>
        <v>0.99999984478292769</v>
      </c>
      <c r="DQ75" s="42">
        <f t="shared" ca="1" si="395"/>
        <v>5.4697625136388769E-8</v>
      </c>
      <c r="DR75" s="42">
        <f t="shared" ca="1" si="396"/>
        <v>0.9999999453023749</v>
      </c>
      <c r="DS75" s="42">
        <f t="shared" si="397"/>
        <v>0.98162450344672281</v>
      </c>
      <c r="DT75" s="42">
        <f t="shared" si="398"/>
        <v>196.32490068934456</v>
      </c>
      <c r="DU75" s="42">
        <f t="shared" si="399"/>
        <v>0.98801719747153338</v>
      </c>
      <c r="DV75" s="42">
        <f t="shared" ca="1" si="400"/>
        <v>71.631246816686172</v>
      </c>
      <c r="DW75" s="42">
        <f t="shared" ca="1" si="401"/>
        <v>8.2261182451608201E-7</v>
      </c>
      <c r="DX75" s="42">
        <f t="shared" si="402"/>
        <v>0</v>
      </c>
      <c r="DY75" s="92">
        <f t="shared" si="111"/>
        <v>0</v>
      </c>
      <c r="DZ75" s="42">
        <f t="shared" si="112"/>
        <v>0</v>
      </c>
      <c r="EA75" s="42">
        <f t="shared" si="113"/>
        <v>0</v>
      </c>
      <c r="EB75" s="42">
        <f t="shared" si="114"/>
        <v>0</v>
      </c>
      <c r="EC75" s="42">
        <f t="shared" si="115"/>
        <v>0</v>
      </c>
      <c r="ED75" s="42">
        <f t="shared" ca="1" si="116"/>
        <v>0</v>
      </c>
      <c r="EE75" s="40"/>
      <c r="EF75" s="120">
        <f t="shared" ca="1" si="130"/>
        <v>72.5</v>
      </c>
      <c r="EG75" s="42">
        <f t="shared" ca="1" si="403"/>
        <v>6.7708660543253245</v>
      </c>
      <c r="EH75" s="36">
        <f t="shared" ca="1" si="123"/>
        <v>6.7708660543253245</v>
      </c>
      <c r="EI75" s="36">
        <f t="shared" ca="1" si="124"/>
        <v>17.577999999999999</v>
      </c>
      <c r="EJ75" s="153">
        <f t="shared" ca="1" si="131"/>
        <v>1</v>
      </c>
      <c r="EK75" s="153" t="str">
        <f t="shared" ca="1" si="229"/>
        <v/>
      </c>
      <c r="EL75" s="153" t="str">
        <f t="shared" ca="1" si="132"/>
        <v>B/E ALL</v>
      </c>
      <c r="EM75" s="153">
        <f t="shared" ca="1" si="230"/>
        <v>1</v>
      </c>
      <c r="EN75" s="153">
        <f t="shared" ca="1" si="231"/>
        <v>1</v>
      </c>
    </row>
    <row r="76" spans="1:144" x14ac:dyDescent="0.3">
      <c r="A76" s="36">
        <f ca="1">IF($M$22=1,A75+'Auto X'!$E$6,A$48)</f>
        <v>73</v>
      </c>
      <c r="B76" s="35">
        <f>IF($M$22=2,B75+'Auto X'!$E$6,B$48)</f>
        <v>0.28399999999999997</v>
      </c>
      <c r="C76" s="39">
        <f>IF($M$22=3,C75+'Auto X'!$E$6,C$48)</f>
        <v>45295.440972222219</v>
      </c>
      <c r="D76" s="35">
        <f>IF($M$22=4,D75+'Auto X'!$E$6,D$48)</f>
        <v>2.5999999999999999E-2</v>
      </c>
      <c r="E76" s="35">
        <f>IF($M$22=5,E75+'Auto X'!$E$6,E$48)</f>
        <v>0.04</v>
      </c>
      <c r="F76" s="36">
        <f t="shared" si="117"/>
        <v>75</v>
      </c>
      <c r="G76" s="35">
        <f t="shared" si="7"/>
        <v>0.28399999999999997</v>
      </c>
      <c r="H76" s="197">
        <f t="shared" si="125"/>
        <v>169.23611111111677</v>
      </c>
      <c r="I76" s="41">
        <f t="shared" si="8"/>
        <v>0.46366057838662128</v>
      </c>
      <c r="J76" s="40">
        <f t="shared" ca="1" si="328"/>
        <v>-2.7028672387919259E-2</v>
      </c>
      <c r="K76" s="40">
        <f t="shared" si="329"/>
        <v>2.5189751902588361E-2</v>
      </c>
      <c r="L76" s="40">
        <f t="shared" si="330"/>
        <v>0.19338305926412305</v>
      </c>
      <c r="M76" s="42">
        <f t="shared" ca="1" si="331"/>
        <v>-9.5092118840632046E-3</v>
      </c>
      <c r="N76" s="42">
        <f t="shared" ca="1" si="332"/>
        <v>-0.20289227114818625</v>
      </c>
      <c r="O76" s="42">
        <f t="shared" ca="1" si="333"/>
        <v>0.49620643049856122</v>
      </c>
      <c r="P76" s="42">
        <f t="shared" ca="1" si="334"/>
        <v>0.50379356950143883</v>
      </c>
      <c r="Q76" s="42">
        <f t="shared" ca="1" si="335"/>
        <v>0.41960961768880151</v>
      </c>
      <c r="R76" s="42">
        <f t="shared" ca="1" si="336"/>
        <v>0.58039038231119844</v>
      </c>
      <c r="S76" s="42">
        <f t="shared" si="337"/>
        <v>0.98162450344672281</v>
      </c>
      <c r="T76" s="42">
        <f t="shared" si="338"/>
        <v>73.621837758504213</v>
      </c>
      <c r="U76" s="42">
        <f t="shared" si="339"/>
        <v>0.98801719747153338</v>
      </c>
      <c r="V76" s="42">
        <f t="shared" ca="1" si="340"/>
        <v>72.125255415421933</v>
      </c>
      <c r="W76" s="42">
        <f t="shared" ca="1" si="341"/>
        <v>0.39892424360925516</v>
      </c>
      <c r="X76" s="42">
        <f t="shared" ca="1" si="342"/>
        <v>6.3931666861728829</v>
      </c>
      <c r="Y76" s="42">
        <f t="shared" ca="1" si="19"/>
        <v>-0.49775671064299176</v>
      </c>
      <c r="Z76" s="42">
        <f t="shared" ca="1" si="20"/>
        <v>2.7919886456069878E-2</v>
      </c>
      <c r="AA76" s="42">
        <f t="shared" ca="1" si="21"/>
        <v>-1.4344576646101379E-2</v>
      </c>
      <c r="AB76" s="42">
        <f t="shared" ca="1" si="22"/>
        <v>0.19591959786106841</v>
      </c>
      <c r="AC76" s="42">
        <f t="shared" ca="1" si="23"/>
        <v>-0.19811941361169269</v>
      </c>
      <c r="AD76" s="42">
        <f t="shared" ca="1" si="24"/>
        <v>1396.5833430864413</v>
      </c>
      <c r="AF76" s="36">
        <f t="shared" si="118"/>
        <v>80</v>
      </c>
      <c r="AG76" s="35">
        <f t="shared" si="25"/>
        <v>0.28399999999999997</v>
      </c>
      <c r="AH76" s="197">
        <f t="shared" si="126"/>
        <v>169.23611111111677</v>
      </c>
      <c r="AI76" s="41">
        <f t="shared" si="26"/>
        <v>0.46366057838662128</v>
      </c>
      <c r="AJ76" s="40">
        <f t="shared" ca="1" si="343"/>
        <v>-9.1567193525490503E-2</v>
      </c>
      <c r="AK76" s="40">
        <f t="shared" si="344"/>
        <v>2.5189751902588361E-2</v>
      </c>
      <c r="AL76" s="40">
        <f t="shared" si="345"/>
        <v>0.19338305926412305</v>
      </c>
      <c r="AM76" s="42">
        <f t="shared" ca="1" si="346"/>
        <v>-0.34324331136081404</v>
      </c>
      <c r="AN76" s="42">
        <f t="shared" ca="1" si="347"/>
        <v>-0.53662637062493712</v>
      </c>
      <c r="AO76" s="42">
        <f t="shared" ca="1" si="348"/>
        <v>0.36570771194048934</v>
      </c>
      <c r="AP76" s="42">
        <f t="shared" ca="1" si="349"/>
        <v>0.63429228805951066</v>
      </c>
      <c r="AQ76" s="42">
        <f t="shared" ca="1" si="350"/>
        <v>0.29576286240432254</v>
      </c>
      <c r="AR76" s="42">
        <f t="shared" ca="1" si="351"/>
        <v>0.70423713759567752</v>
      </c>
      <c r="AS76" s="42">
        <f t="shared" si="352"/>
        <v>0.98162450344672281</v>
      </c>
      <c r="AT76" s="42">
        <f t="shared" si="353"/>
        <v>78.529960275737821</v>
      </c>
      <c r="AU76" s="42">
        <f t="shared" si="354"/>
        <v>0.98801719747153338</v>
      </c>
      <c r="AV76" s="42">
        <f t="shared" ca="1" si="355"/>
        <v>72.125255415421933</v>
      </c>
      <c r="AW76" s="42">
        <f t="shared" ca="1" si="356"/>
        <v>0.37612019519565637</v>
      </c>
      <c r="AX76" s="42">
        <f t="shared" ca="1" si="357"/>
        <v>9.5552211557632774</v>
      </c>
      <c r="AY76" s="42">
        <f t="shared" ca="1" si="42"/>
        <v>-0.62669168882636428</v>
      </c>
      <c r="AZ76" s="42">
        <f t="shared" ca="1" si="43"/>
        <v>2.6323878059372804E-2</v>
      </c>
      <c r="BA76" s="42">
        <f t="shared" ca="1" si="44"/>
        <v>-1.2697320321291358E-2</v>
      </c>
      <c r="BB76" s="42">
        <f t="shared" ca="1" si="45"/>
        <v>0.18472007798638074</v>
      </c>
      <c r="BC76" s="42">
        <f t="shared" ca="1" si="46"/>
        <v>-0.25642152224219678</v>
      </c>
      <c r="BD76" s="42">
        <f t="shared" ca="1" si="47"/>
        <v>-1952.6105778816384</v>
      </c>
      <c r="BE76" s="40"/>
      <c r="BF76" s="36">
        <f t="shared" si="119"/>
        <v>90</v>
      </c>
      <c r="BG76" s="35">
        <f t="shared" si="48"/>
        <v>0.28399999999999997</v>
      </c>
      <c r="BH76" s="197">
        <f t="shared" si="127"/>
        <v>169.23611111111677</v>
      </c>
      <c r="BI76" s="41">
        <f t="shared" si="49"/>
        <v>0.46366057838662128</v>
      </c>
      <c r="BJ76" s="40">
        <f t="shared" ca="1" si="358"/>
        <v>-0.20935022918187393</v>
      </c>
      <c r="BK76" s="40">
        <f t="shared" si="359"/>
        <v>2.5189751902588361E-2</v>
      </c>
      <c r="BL76" s="40">
        <f t="shared" si="360"/>
        <v>0.19338305926412305</v>
      </c>
      <c r="BM76" s="42">
        <f t="shared" ca="1" si="361"/>
        <v>-0.95230925594034976</v>
      </c>
      <c r="BN76" s="42">
        <f t="shared" ca="1" si="362"/>
        <v>-1.1456923152044729</v>
      </c>
      <c r="BO76" s="42">
        <f t="shared" ca="1" si="363"/>
        <v>0.17047008250875251</v>
      </c>
      <c r="BP76" s="42">
        <f t="shared" ca="1" si="364"/>
        <v>0.82952991749124749</v>
      </c>
      <c r="BQ76" s="42">
        <f t="shared" ca="1" si="365"/>
        <v>0.12596124234561756</v>
      </c>
      <c r="BR76" s="42">
        <f t="shared" ca="1" si="366"/>
        <v>0.87403875765438244</v>
      </c>
      <c r="BS76" s="42">
        <f t="shared" si="367"/>
        <v>0.98162450344672281</v>
      </c>
      <c r="BT76" s="42">
        <f t="shared" si="368"/>
        <v>88.34620531020505</v>
      </c>
      <c r="BU76" s="42">
        <f t="shared" si="369"/>
        <v>0.98801719747153338</v>
      </c>
      <c r="BV76" s="42">
        <f t="shared" ca="1" si="370"/>
        <v>72.125255415421933</v>
      </c>
      <c r="BW76" s="42">
        <f t="shared" ca="1" si="371"/>
        <v>0.2535016384445935</v>
      </c>
      <c r="BX76" s="42">
        <f t="shared" ca="1" si="372"/>
        <v>1.1670004642374003</v>
      </c>
      <c r="BY76" s="42">
        <f t="shared" ca="1" si="65"/>
        <v>0.16842737317303871</v>
      </c>
      <c r="BZ76" s="42">
        <f t="shared" ca="1" si="66"/>
        <v>1.7742057734483906E-2</v>
      </c>
      <c r="CA76" s="42">
        <f t="shared" ca="1" si="67"/>
        <v>-1.079003106606777E-2</v>
      </c>
      <c r="CB76" s="42">
        <f t="shared" ca="1" si="68"/>
        <v>0.12449967595811082</v>
      </c>
      <c r="CC76" s="42">
        <f t="shared" ca="1" si="69"/>
        <v>5.1597066178674114E-2</v>
      </c>
      <c r="CD76" s="42">
        <f t="shared" ca="1" si="70"/>
        <v>2816.4997678812997</v>
      </c>
      <c r="CE76" s="40"/>
      <c r="CF76" s="36">
        <f t="shared" si="120"/>
        <v>95</v>
      </c>
      <c r="CG76" s="35">
        <f t="shared" si="71"/>
        <v>0.28399999999999997</v>
      </c>
      <c r="CH76" s="197">
        <f t="shared" si="128"/>
        <v>169.23611111111677</v>
      </c>
      <c r="CI76" s="41">
        <f t="shared" si="72"/>
        <v>0.46366057838662128</v>
      </c>
      <c r="CJ76" s="40">
        <f t="shared" ca="1" si="373"/>
        <v>-0.26341745045214976</v>
      </c>
      <c r="CK76" s="40">
        <f t="shared" si="374"/>
        <v>2.5189751902588361E-2</v>
      </c>
      <c r="CL76" s="40">
        <f t="shared" si="375"/>
        <v>0.19338305926412305</v>
      </c>
      <c r="CM76" s="42">
        <f t="shared" ca="1" si="376"/>
        <v>-1.2318953865766982</v>
      </c>
      <c r="CN76" s="42">
        <f t="shared" ca="1" si="377"/>
        <v>-1.4252784458408212</v>
      </c>
      <c r="CO76" s="42">
        <f t="shared" ca="1" si="378"/>
        <v>0.10899408249271325</v>
      </c>
      <c r="CP76" s="42">
        <f t="shared" ca="1" si="379"/>
        <v>0.89100591750728675</v>
      </c>
      <c r="CQ76" s="42">
        <f t="shared" ca="1" si="380"/>
        <v>7.7038364068290247E-2</v>
      </c>
      <c r="CR76" s="42">
        <f t="shared" ca="1" si="381"/>
        <v>0.92296163593170977</v>
      </c>
      <c r="CS76" s="42">
        <f t="shared" si="382"/>
        <v>0.98162450344672281</v>
      </c>
      <c r="CT76" s="42">
        <f t="shared" si="383"/>
        <v>93.254327827438672</v>
      </c>
      <c r="CU76" s="42">
        <f t="shared" si="384"/>
        <v>0.98801719747153338</v>
      </c>
      <c r="CV76" s="42">
        <f t="shared" ca="1" si="385"/>
        <v>72.125255415421933</v>
      </c>
      <c r="CW76" s="42">
        <f t="shared" ca="1" si="386"/>
        <v>0.18679908435501646</v>
      </c>
      <c r="CX76" s="42">
        <f t="shared" ca="1" si="387"/>
        <v>0.67706518044260022</v>
      </c>
      <c r="CY76" s="42">
        <f t="shared" ca="1" si="88"/>
        <v>0.10768802792543167</v>
      </c>
      <c r="CZ76" s="42">
        <f t="shared" ca="1" si="89"/>
        <v>1.3073683309150678E-2</v>
      </c>
      <c r="DA76" s="42">
        <f t="shared" ca="1" si="90"/>
        <v>-7.9249658614819456E-3</v>
      </c>
      <c r="DB76" s="42">
        <f t="shared" ca="1" si="91"/>
        <v>9.174073041170655E-2</v>
      </c>
      <c r="DC76" s="42">
        <f t="shared" ca="1" si="92"/>
        <v>3.3310121786956207E-2</v>
      </c>
      <c r="DD76" s="42">
        <f t="shared" ca="1" si="93"/>
        <v>-2236.4674097787001</v>
      </c>
      <c r="DE76" s="40"/>
      <c r="DF76" s="36">
        <f t="shared" si="121"/>
        <v>200</v>
      </c>
      <c r="DG76" s="35">
        <f t="shared" si="94"/>
        <v>0.28399999999999997</v>
      </c>
      <c r="DH76" s="197">
        <f t="shared" si="129"/>
        <v>169.23611111111677</v>
      </c>
      <c r="DI76" s="41">
        <f t="shared" si="95"/>
        <v>0.46366057838662128</v>
      </c>
      <c r="DJ76" s="40">
        <f t="shared" ca="1" si="388"/>
        <v>-1.0078579253996456</v>
      </c>
      <c r="DK76" s="40">
        <f t="shared" si="389"/>
        <v>2.5189751902588361E-2</v>
      </c>
      <c r="DL76" s="40">
        <f t="shared" si="390"/>
        <v>0.19338305926412305</v>
      </c>
      <c r="DM76" s="42">
        <f t="shared" ca="1" si="391"/>
        <v>-5.0814594475668455</v>
      </c>
      <c r="DN76" s="42">
        <f t="shared" ca="1" si="392"/>
        <v>-5.2748425068309688</v>
      </c>
      <c r="DO76" s="42">
        <f t="shared" ca="1" si="393"/>
        <v>1.8727298946947314E-7</v>
      </c>
      <c r="DP76" s="42">
        <f t="shared" ca="1" si="394"/>
        <v>0.99999981272701055</v>
      </c>
      <c r="DQ76" s="42">
        <f t="shared" ca="1" si="395"/>
        <v>6.6435072650523086E-8</v>
      </c>
      <c r="DR76" s="42">
        <f t="shared" ca="1" si="396"/>
        <v>0.99999993356492733</v>
      </c>
      <c r="DS76" s="42">
        <f t="shared" si="397"/>
        <v>0.98162450344672281</v>
      </c>
      <c r="DT76" s="42">
        <f t="shared" si="398"/>
        <v>196.32490068934456</v>
      </c>
      <c r="DU76" s="42">
        <f t="shared" si="399"/>
        <v>0.98801719747153338</v>
      </c>
      <c r="DV76" s="42">
        <f t="shared" ca="1" si="400"/>
        <v>72.125255415421933</v>
      </c>
      <c r="DW76" s="42">
        <f t="shared" ca="1" si="401"/>
        <v>9.8605510957888209E-7</v>
      </c>
      <c r="DX76" s="42">
        <f t="shared" si="402"/>
        <v>0</v>
      </c>
      <c r="DY76" s="92">
        <f t="shared" si="111"/>
        <v>0</v>
      </c>
      <c r="DZ76" s="42">
        <f t="shared" si="112"/>
        <v>0</v>
      </c>
      <c r="EA76" s="42">
        <f t="shared" si="113"/>
        <v>0</v>
      </c>
      <c r="EB76" s="42">
        <f t="shared" si="114"/>
        <v>0</v>
      </c>
      <c r="EC76" s="42">
        <f t="shared" si="115"/>
        <v>0</v>
      </c>
      <c r="ED76" s="42">
        <f t="shared" ca="1" si="116"/>
        <v>0</v>
      </c>
      <c r="EE76" s="40"/>
      <c r="EF76" s="120">
        <f t="shared" ca="1" si="130"/>
        <v>73</v>
      </c>
      <c r="EG76" s="42">
        <f t="shared" ca="1" si="403"/>
        <v>24.005123307402755</v>
      </c>
      <c r="EH76" s="36">
        <f t="shared" ca="1" si="123"/>
        <v>24.005123307402755</v>
      </c>
      <c r="EI76" s="36">
        <f t="shared" ca="1" si="124"/>
        <v>17.234000000000002</v>
      </c>
      <c r="EJ76" s="153">
        <f t="shared" ca="1" si="131"/>
        <v>1</v>
      </c>
      <c r="EK76" s="153" t="str">
        <f t="shared" ca="1" si="229"/>
        <v/>
      </c>
      <c r="EL76" s="153" t="str">
        <f t="shared" ca="1" si="132"/>
        <v/>
      </c>
      <c r="EM76" s="153">
        <f t="shared" ca="1" si="230"/>
        <v>1</v>
      </c>
      <c r="EN76" s="153">
        <f t="shared" ca="1" si="231"/>
        <v>0</v>
      </c>
    </row>
    <row r="77" spans="1:144" x14ac:dyDescent="0.3">
      <c r="A77" s="36">
        <f ca="1">IF($M$22=1,A76+'Auto X'!$E$6,A$48)</f>
        <v>73.5</v>
      </c>
      <c r="B77" s="35">
        <f>IF($M$22=2,B76+'Auto X'!$E$6,B$48)</f>
        <v>0.28399999999999997</v>
      </c>
      <c r="C77" s="39">
        <f>IF($M$22=3,C76+'Auto X'!$E$6,C$48)</f>
        <v>45295.440972222219</v>
      </c>
      <c r="D77" s="35">
        <f>IF($M$22=4,D76+'Auto X'!$E$6,D$48)</f>
        <v>2.5999999999999999E-2</v>
      </c>
      <c r="E77" s="35">
        <f>IF($M$22=5,E76+'Auto X'!$E$6,E$48)</f>
        <v>0.04</v>
      </c>
      <c r="F77" s="36">
        <f t="shared" si="117"/>
        <v>75</v>
      </c>
      <c r="G77" s="35">
        <f t="shared" si="7"/>
        <v>0.28399999999999997</v>
      </c>
      <c r="H77" s="197">
        <f t="shared" si="125"/>
        <v>169.23611111111677</v>
      </c>
      <c r="I77" s="41">
        <f t="shared" si="8"/>
        <v>0.46366057838662128</v>
      </c>
      <c r="J77" s="40">
        <f t="shared" ca="1" si="328"/>
        <v>-2.0202707317519466E-2</v>
      </c>
      <c r="K77" s="40">
        <f t="shared" si="329"/>
        <v>2.5189751902588361E-2</v>
      </c>
      <c r="L77" s="40">
        <f t="shared" si="330"/>
        <v>0.19338305926412305</v>
      </c>
      <c r="M77" s="42">
        <f t="shared" ca="1" si="331"/>
        <v>2.5788425335942059E-2</v>
      </c>
      <c r="N77" s="42">
        <f t="shared" ca="1" si="332"/>
        <v>-0.167594633928181</v>
      </c>
      <c r="O77" s="42">
        <f t="shared" ca="1" si="333"/>
        <v>0.51028695298803761</v>
      </c>
      <c r="P77" s="42">
        <f t="shared" ca="1" si="334"/>
        <v>0.48971304701196233</v>
      </c>
      <c r="Q77" s="42">
        <f t="shared" ca="1" si="335"/>
        <v>0.43345109649745212</v>
      </c>
      <c r="R77" s="42">
        <f t="shared" ca="1" si="336"/>
        <v>0.56654890350254794</v>
      </c>
      <c r="S77" s="42">
        <f t="shared" si="337"/>
        <v>0.98162450344672281</v>
      </c>
      <c r="T77" s="42">
        <f t="shared" si="338"/>
        <v>73.621837758504213</v>
      </c>
      <c r="U77" s="42">
        <f t="shared" si="339"/>
        <v>0.98801719747153338</v>
      </c>
      <c r="V77" s="42">
        <f t="shared" ca="1" si="340"/>
        <v>72.619264014157707</v>
      </c>
      <c r="W77" s="42">
        <f t="shared" ca="1" si="341"/>
        <v>0.39880964559279691</v>
      </c>
      <c r="X77" s="42">
        <f t="shared" ca="1" si="342"/>
        <v>6.1477704037837242</v>
      </c>
      <c r="Y77" s="42">
        <f t="shared" ca="1" si="19"/>
        <v>-0.48384491227400434</v>
      </c>
      <c r="Z77" s="42">
        <f t="shared" ca="1" si="20"/>
        <v>2.7721989337548134E-2</v>
      </c>
      <c r="AA77" s="42">
        <f t="shared" ca="1" si="21"/>
        <v>-1.4508983812088417E-2</v>
      </c>
      <c r="AB77" s="42">
        <f t="shared" ca="1" si="22"/>
        <v>0.19720484607035194</v>
      </c>
      <c r="AC77" s="42">
        <f t="shared" ca="1" si="23"/>
        <v>-0.19339454953974097</v>
      </c>
      <c r="AD77" s="42">
        <f t="shared" ca="1" si="24"/>
        <v>1273.8852018918622</v>
      </c>
      <c r="AF77" s="36">
        <f t="shared" si="118"/>
        <v>80</v>
      </c>
      <c r="AG77" s="35">
        <f t="shared" si="25"/>
        <v>0.28399999999999997</v>
      </c>
      <c r="AH77" s="197">
        <f t="shared" si="126"/>
        <v>169.23611111111677</v>
      </c>
      <c r="AI77" s="41">
        <f t="shared" si="26"/>
        <v>0.46366057838662128</v>
      </c>
      <c r="AJ77" s="40">
        <f t="shared" ca="1" si="343"/>
        <v>-8.4741228455090675E-2</v>
      </c>
      <c r="AK77" s="40">
        <f t="shared" si="344"/>
        <v>2.5189751902588361E-2</v>
      </c>
      <c r="AL77" s="40">
        <f t="shared" si="345"/>
        <v>0.19338305926412305</v>
      </c>
      <c r="AM77" s="42">
        <f t="shared" ca="1" si="346"/>
        <v>-0.30794567414080859</v>
      </c>
      <c r="AN77" s="42">
        <f t="shared" ca="1" si="347"/>
        <v>-0.50132873340493167</v>
      </c>
      <c r="AO77" s="42">
        <f t="shared" ca="1" si="348"/>
        <v>0.37906183523509573</v>
      </c>
      <c r="AP77" s="42">
        <f t="shared" ca="1" si="349"/>
        <v>0.62093816476490427</v>
      </c>
      <c r="AQ77" s="42">
        <f t="shared" ca="1" si="350"/>
        <v>0.30806989326446454</v>
      </c>
      <c r="AR77" s="42">
        <f t="shared" ca="1" si="351"/>
        <v>0.69193010673553546</v>
      </c>
      <c r="AS77" s="42">
        <f t="shared" si="352"/>
        <v>0.98162450344672281</v>
      </c>
      <c r="AT77" s="42">
        <f t="shared" si="353"/>
        <v>78.529960275737821</v>
      </c>
      <c r="AU77" s="42">
        <f t="shared" si="354"/>
        <v>0.98801719747153338</v>
      </c>
      <c r="AV77" s="42">
        <f t="shared" ca="1" si="355"/>
        <v>72.619264014157707</v>
      </c>
      <c r="AW77" s="42">
        <f t="shared" ca="1" si="356"/>
        <v>0.38046777277312299</v>
      </c>
      <c r="AX77" s="42">
        <f t="shared" ca="1" si="357"/>
        <v>9.2451712719994887</v>
      </c>
      <c r="AY77" s="42">
        <f t="shared" ca="1" si="42"/>
        <v>-0.6134975853541379</v>
      </c>
      <c r="AZ77" s="42">
        <f t="shared" ca="1" si="43"/>
        <v>2.6447012143900116E-2</v>
      </c>
      <c r="BA77" s="42">
        <f t="shared" ca="1" si="44"/>
        <v>-1.3043017681562262E-2</v>
      </c>
      <c r="BB77" s="42">
        <f t="shared" ca="1" si="45"/>
        <v>0.18813508999494599</v>
      </c>
      <c r="BC77" s="42">
        <f t="shared" ca="1" si="46"/>
        <v>-0.25194037886169651</v>
      </c>
      <c r="BD77" s="42">
        <f t="shared" ca="1" si="47"/>
        <v>-1797.5856359997442</v>
      </c>
      <c r="BE77" s="40"/>
      <c r="BF77" s="36">
        <f t="shared" si="119"/>
        <v>90</v>
      </c>
      <c r="BG77" s="35">
        <f t="shared" si="48"/>
        <v>0.28399999999999997</v>
      </c>
      <c r="BH77" s="197">
        <f t="shared" si="127"/>
        <v>169.23611111111677</v>
      </c>
      <c r="BI77" s="41">
        <f t="shared" si="49"/>
        <v>0.46366057838662128</v>
      </c>
      <c r="BJ77" s="40">
        <f t="shared" ca="1" si="358"/>
        <v>-0.20252426411147409</v>
      </c>
      <c r="BK77" s="40">
        <f t="shared" si="359"/>
        <v>2.5189751902588361E-2</v>
      </c>
      <c r="BL77" s="40">
        <f t="shared" si="360"/>
        <v>0.19338305926412305</v>
      </c>
      <c r="BM77" s="42">
        <f t="shared" ca="1" si="361"/>
        <v>-0.9170116187203442</v>
      </c>
      <c r="BN77" s="42">
        <f t="shared" ca="1" si="362"/>
        <v>-1.1103946779844673</v>
      </c>
      <c r="BO77" s="42">
        <f t="shared" ca="1" si="363"/>
        <v>0.17956827588809451</v>
      </c>
      <c r="BP77" s="42">
        <f t="shared" ca="1" si="364"/>
        <v>0.82043172411190546</v>
      </c>
      <c r="BQ77" s="42">
        <f t="shared" ca="1" si="365"/>
        <v>0.13341449527615937</v>
      </c>
      <c r="BR77" s="42">
        <f t="shared" ca="1" si="366"/>
        <v>0.86658550472384066</v>
      </c>
      <c r="BS77" s="42">
        <f t="shared" si="367"/>
        <v>0.98162450344672281</v>
      </c>
      <c r="BT77" s="42">
        <f t="shared" si="368"/>
        <v>88.34620531020505</v>
      </c>
      <c r="BU77" s="42">
        <f t="shared" si="369"/>
        <v>0.98801719747153338</v>
      </c>
      <c r="BV77" s="42">
        <f t="shared" ca="1" si="370"/>
        <v>72.619264014157707</v>
      </c>
      <c r="BW77" s="42">
        <f t="shared" ca="1" si="371"/>
        <v>0.26200447698481671</v>
      </c>
      <c r="BX77" s="42">
        <f t="shared" ca="1" si="372"/>
        <v>1.2534516442596892</v>
      </c>
      <c r="BY77" s="42">
        <f t="shared" ca="1" si="65"/>
        <v>0.17741654469775026</v>
      </c>
      <c r="BZ77" s="42">
        <f t="shared" ca="1" si="66"/>
        <v>1.8212411353709122E-2</v>
      </c>
      <c r="CA77" s="42">
        <f t="shared" ca="1" si="67"/>
        <v>-1.1233465183276354E-2</v>
      </c>
      <c r="CB77" s="42">
        <f t="shared" ca="1" si="68"/>
        <v>0.12955692803450852</v>
      </c>
      <c r="CC77" s="42">
        <f t="shared" ca="1" si="69"/>
        <v>5.4650116287916245E-2</v>
      </c>
      <c r="CD77" s="42">
        <f t="shared" ca="1" si="70"/>
        <v>2773.2741778701552</v>
      </c>
      <c r="CE77" s="40"/>
      <c r="CF77" s="36">
        <f t="shared" si="120"/>
        <v>95</v>
      </c>
      <c r="CG77" s="35">
        <f t="shared" si="71"/>
        <v>0.28399999999999997</v>
      </c>
      <c r="CH77" s="197">
        <f t="shared" si="128"/>
        <v>169.23611111111677</v>
      </c>
      <c r="CI77" s="41">
        <f t="shared" si="72"/>
        <v>0.46366057838662128</v>
      </c>
      <c r="CJ77" s="40">
        <f t="shared" ca="1" si="373"/>
        <v>-0.25659148538174992</v>
      </c>
      <c r="CK77" s="40">
        <f t="shared" si="374"/>
        <v>2.5189751902588361E-2</v>
      </c>
      <c r="CL77" s="40">
        <f t="shared" si="375"/>
        <v>0.19338305926412305</v>
      </c>
      <c r="CM77" s="42">
        <f t="shared" ca="1" si="376"/>
        <v>-1.1965977493566926</v>
      </c>
      <c r="CN77" s="42">
        <f t="shared" ca="1" si="377"/>
        <v>-1.3899808086208156</v>
      </c>
      <c r="CO77" s="42">
        <f t="shared" ca="1" si="378"/>
        <v>0.11573168906918276</v>
      </c>
      <c r="CP77" s="42">
        <f t="shared" ca="1" si="379"/>
        <v>0.88426831093081726</v>
      </c>
      <c r="CQ77" s="42">
        <f t="shared" ca="1" si="380"/>
        <v>8.2267352558996906E-2</v>
      </c>
      <c r="CR77" s="42">
        <f t="shared" ca="1" si="381"/>
        <v>0.91773264744100314</v>
      </c>
      <c r="CS77" s="42">
        <f t="shared" si="382"/>
        <v>0.98162450344672281</v>
      </c>
      <c r="CT77" s="42">
        <f t="shared" si="383"/>
        <v>93.254327827438672</v>
      </c>
      <c r="CU77" s="42">
        <f t="shared" si="384"/>
        <v>0.98801719747153338</v>
      </c>
      <c r="CV77" s="42">
        <f t="shared" ca="1" si="385"/>
        <v>72.619264014157707</v>
      </c>
      <c r="CW77" s="42">
        <f t="shared" ca="1" si="386"/>
        <v>0.19497935065793703</v>
      </c>
      <c r="CX77" s="42">
        <f t="shared" ca="1" si="387"/>
        <v>0.73256341828721805</v>
      </c>
      <c r="CY77" s="42">
        <f t="shared" ca="1" si="88"/>
        <v>0.11434489909278084</v>
      </c>
      <c r="CZ77" s="42">
        <f t="shared" ca="1" si="89"/>
        <v>1.3553371990155836E-2</v>
      </c>
      <c r="DA77" s="42">
        <f t="shared" ca="1" si="90"/>
        <v>-8.3318417880691754E-3</v>
      </c>
      <c r="DB77" s="42">
        <f t="shared" ca="1" si="91"/>
        <v>9.6414099453993055E-2</v>
      </c>
      <c r="DC77" s="42">
        <f t="shared" ca="1" si="92"/>
        <v>3.5571050423675858E-2</v>
      </c>
      <c r="DD77" s="42">
        <f t="shared" ca="1" si="93"/>
        <v>-2208.7182908563914</v>
      </c>
      <c r="DE77" s="40"/>
      <c r="DF77" s="36">
        <f t="shared" si="121"/>
        <v>200</v>
      </c>
      <c r="DG77" s="35">
        <f t="shared" si="94"/>
        <v>0.28399999999999997</v>
      </c>
      <c r="DH77" s="197">
        <f t="shared" si="129"/>
        <v>169.23611111111677</v>
      </c>
      <c r="DI77" s="41">
        <f t="shared" si="95"/>
        <v>0.46366057838662128</v>
      </c>
      <c r="DJ77" s="40">
        <f t="shared" ca="1" si="388"/>
        <v>-1.0010319603292457</v>
      </c>
      <c r="DK77" s="40">
        <f t="shared" si="389"/>
        <v>2.5189751902588361E-2</v>
      </c>
      <c r="DL77" s="40">
        <f t="shared" si="390"/>
        <v>0.19338305926412305</v>
      </c>
      <c r="DM77" s="42">
        <f t="shared" ca="1" si="391"/>
        <v>-5.04616181034684</v>
      </c>
      <c r="DN77" s="42">
        <f t="shared" ca="1" si="392"/>
        <v>-5.2395448696109632</v>
      </c>
      <c r="DO77" s="42">
        <f t="shared" ca="1" si="393"/>
        <v>2.2538684436980349E-7</v>
      </c>
      <c r="DP77" s="42">
        <f t="shared" ca="1" si="394"/>
        <v>0.99999977461315559</v>
      </c>
      <c r="DQ77" s="42">
        <f t="shared" ca="1" si="395"/>
        <v>8.0486552531528263E-8</v>
      </c>
      <c r="DR77" s="42">
        <f t="shared" ca="1" si="396"/>
        <v>0.99999991951344747</v>
      </c>
      <c r="DS77" s="42">
        <f t="shared" si="397"/>
        <v>0.98162450344672281</v>
      </c>
      <c r="DT77" s="42">
        <f t="shared" si="398"/>
        <v>196.32490068934456</v>
      </c>
      <c r="DU77" s="42">
        <f t="shared" si="399"/>
        <v>0.98801719747153338</v>
      </c>
      <c r="DV77" s="42">
        <f t="shared" ca="1" si="400"/>
        <v>72.619264014157707</v>
      </c>
      <c r="DW77" s="42">
        <f t="shared" ca="1" si="401"/>
        <v>1.1790364258890296E-6</v>
      </c>
      <c r="DX77" s="42">
        <f t="shared" si="402"/>
        <v>0</v>
      </c>
      <c r="DY77" s="92">
        <f t="shared" si="111"/>
        <v>0</v>
      </c>
      <c r="DZ77" s="42">
        <f t="shared" si="112"/>
        <v>0</v>
      </c>
      <c r="EA77" s="42">
        <f t="shared" si="113"/>
        <v>0</v>
      </c>
      <c r="EB77" s="42">
        <f t="shared" si="114"/>
        <v>0</v>
      </c>
      <c r="EC77" s="42">
        <f t="shared" si="115"/>
        <v>0</v>
      </c>
      <c r="ED77" s="42">
        <f t="shared" ca="1" si="116"/>
        <v>0</v>
      </c>
      <c r="EE77" s="40"/>
      <c r="EF77" s="120">
        <f t="shared" ca="1" si="130"/>
        <v>73.5</v>
      </c>
      <c r="EG77" s="42">
        <f t="shared" ca="1" si="403"/>
        <v>40.855452905881521</v>
      </c>
      <c r="EH77" s="36">
        <f t="shared" ca="1" si="123"/>
        <v>40.855452905881521</v>
      </c>
      <c r="EI77" s="36">
        <f t="shared" ca="1" si="124"/>
        <v>16.850000000000001</v>
      </c>
      <c r="EJ77" s="153">
        <f t="shared" ca="1" si="131"/>
        <v>1</v>
      </c>
      <c r="EK77" s="153" t="str">
        <f t="shared" ca="1" si="229"/>
        <v/>
      </c>
      <c r="EL77" s="153" t="str">
        <f t="shared" ca="1" si="132"/>
        <v/>
      </c>
      <c r="EM77" s="153">
        <f t="shared" ca="1" si="230"/>
        <v>1</v>
      </c>
      <c r="EN77" s="153">
        <f t="shared" ca="1" si="231"/>
        <v>0</v>
      </c>
    </row>
    <row r="78" spans="1:144" x14ac:dyDescent="0.3">
      <c r="A78" s="36">
        <f ca="1">IF($M$22=1,A77+'Auto X'!$E$6,A$48)</f>
        <v>74</v>
      </c>
      <c r="B78" s="35">
        <f>IF($M$22=2,B77+'Auto X'!$E$6,B$48)</f>
        <v>0.28399999999999997</v>
      </c>
      <c r="C78" s="39">
        <f>IF($M$22=3,C77+'Auto X'!$E$6,C$48)</f>
        <v>45295.440972222219</v>
      </c>
      <c r="D78" s="35">
        <f>IF($M$22=4,D77+'Auto X'!$E$6,D$48)</f>
        <v>2.5999999999999999E-2</v>
      </c>
      <c r="E78" s="35">
        <f>IF($M$22=5,E77+'Auto X'!$E$6,E$48)</f>
        <v>0.04</v>
      </c>
      <c r="F78" s="36">
        <f t="shared" si="117"/>
        <v>75</v>
      </c>
      <c r="G78" s="35">
        <f t="shared" si="7"/>
        <v>0.28399999999999997</v>
      </c>
      <c r="H78" s="197">
        <f t="shared" si="125"/>
        <v>169.23611111111677</v>
      </c>
      <c r="I78" s="41">
        <f t="shared" si="8"/>
        <v>0.46366057838662128</v>
      </c>
      <c r="J78" s="40">
        <f t="shared" ca="1" si="328"/>
        <v>-1.3423020332140661E-2</v>
      </c>
      <c r="K78" s="40">
        <f t="shared" si="329"/>
        <v>2.5189751902588361E-2</v>
      </c>
      <c r="L78" s="40">
        <f t="shared" si="330"/>
        <v>0.19338305926412305</v>
      </c>
      <c r="M78" s="42">
        <f t="shared" ca="1" si="331"/>
        <v>6.084675470138607E-2</v>
      </c>
      <c r="N78" s="42">
        <f t="shared" ca="1" si="332"/>
        <v>-0.13253630456273699</v>
      </c>
      <c r="O78" s="42">
        <f t="shared" ca="1" si="333"/>
        <v>0.52425937279539658</v>
      </c>
      <c r="P78" s="42">
        <f t="shared" ca="1" si="334"/>
        <v>0.47574062720460336</v>
      </c>
      <c r="Q78" s="42">
        <f t="shared" ca="1" si="335"/>
        <v>0.44728005470284937</v>
      </c>
      <c r="R78" s="42">
        <f t="shared" ca="1" si="336"/>
        <v>0.55271994529715063</v>
      </c>
      <c r="S78" s="42">
        <f t="shared" si="337"/>
        <v>0.98162450344672281</v>
      </c>
      <c r="T78" s="42">
        <f t="shared" si="338"/>
        <v>73.621837758504213</v>
      </c>
      <c r="U78" s="42">
        <f t="shared" si="339"/>
        <v>0.98801719747153338</v>
      </c>
      <c r="V78" s="42">
        <f t="shared" ca="1" si="340"/>
        <v>73.113272612893468</v>
      </c>
      <c r="W78" s="42">
        <f t="shared" ca="1" si="341"/>
        <v>0.39820445602967819</v>
      </c>
      <c r="X78" s="42">
        <f t="shared" ca="1" si="342"/>
        <v>5.9093039687170617</v>
      </c>
      <c r="Y78" s="42">
        <f t="shared" ca="1" si="19"/>
        <v>-0.47003992121404181</v>
      </c>
      <c r="Z78" s="42">
        <f t="shared" ca="1" si="20"/>
        <v>2.7492895005289737E-2</v>
      </c>
      <c r="AA78" s="42">
        <f t="shared" ca="1" si="21"/>
        <v>-1.4652304009184366E-2</v>
      </c>
      <c r="AB78" s="42">
        <f t="shared" ca="1" si="22"/>
        <v>0.19824508353869419</v>
      </c>
      <c r="AC78" s="42">
        <f t="shared" ca="1" si="23"/>
        <v>-0.18867395944380638</v>
      </c>
      <c r="AD78" s="42">
        <f t="shared" ca="1" si="24"/>
        <v>1154.6519843585309</v>
      </c>
      <c r="AF78" s="36">
        <f t="shared" si="118"/>
        <v>80</v>
      </c>
      <c r="AG78" s="35">
        <f t="shared" si="25"/>
        <v>0.28399999999999997</v>
      </c>
      <c r="AH78" s="197">
        <f t="shared" si="126"/>
        <v>169.23611111111677</v>
      </c>
      <c r="AI78" s="41">
        <f t="shared" si="26"/>
        <v>0.46366057838662128</v>
      </c>
      <c r="AJ78" s="40">
        <f t="shared" ca="1" si="343"/>
        <v>-7.7961541469711806E-2</v>
      </c>
      <c r="AK78" s="40">
        <f t="shared" si="344"/>
        <v>2.5189751902588361E-2</v>
      </c>
      <c r="AL78" s="40">
        <f t="shared" si="345"/>
        <v>0.19338305926412305</v>
      </c>
      <c r="AM78" s="42">
        <f t="shared" ca="1" si="346"/>
        <v>-0.27288734477536425</v>
      </c>
      <c r="AN78" s="42">
        <f t="shared" ca="1" si="347"/>
        <v>-0.46627040403948727</v>
      </c>
      <c r="AO78" s="42">
        <f t="shared" ca="1" si="348"/>
        <v>0.39246990742984</v>
      </c>
      <c r="AP78" s="42">
        <f t="shared" ca="1" si="349"/>
        <v>0.60753009257016</v>
      </c>
      <c r="AQ78" s="42">
        <f t="shared" ca="1" si="350"/>
        <v>0.32051098020877988</v>
      </c>
      <c r="AR78" s="42">
        <f t="shared" ca="1" si="351"/>
        <v>0.67948901979122012</v>
      </c>
      <c r="AS78" s="42">
        <f t="shared" si="352"/>
        <v>0.98162450344672281</v>
      </c>
      <c r="AT78" s="42">
        <f t="shared" si="353"/>
        <v>78.529960275737821</v>
      </c>
      <c r="AU78" s="42">
        <f t="shared" si="354"/>
        <v>0.98801719747153338</v>
      </c>
      <c r="AV78" s="42">
        <f t="shared" ca="1" si="355"/>
        <v>73.113272612893468</v>
      </c>
      <c r="AW78" s="42">
        <f t="shared" ca="1" si="356"/>
        <v>0.38436129948458364</v>
      </c>
      <c r="AX78" s="42">
        <f t="shared" ca="1" si="357"/>
        <v>8.941732453386031</v>
      </c>
      <c r="AY78" s="42">
        <f t="shared" ca="1" si="42"/>
        <v>-0.60025017944079073</v>
      </c>
      <c r="AZ78" s="42">
        <f t="shared" ca="1" si="43"/>
        <v>2.653713360264057E-2</v>
      </c>
      <c r="BA78" s="42">
        <f t="shared" ca="1" si="44"/>
        <v>-1.3372135202711598E-2</v>
      </c>
      <c r="BB78" s="42">
        <f t="shared" ca="1" si="45"/>
        <v>0.19135330298685388</v>
      </c>
      <c r="BC78" s="42">
        <f t="shared" ca="1" si="46"/>
        <v>-0.24741042398953467</v>
      </c>
      <c r="BD78" s="42">
        <f t="shared" ca="1" si="47"/>
        <v>-1645.8662266930153</v>
      </c>
      <c r="BE78" s="40"/>
      <c r="BF78" s="36">
        <f t="shared" si="119"/>
        <v>90</v>
      </c>
      <c r="BG78" s="35">
        <f t="shared" si="48"/>
        <v>0.28399999999999997</v>
      </c>
      <c r="BH78" s="197">
        <f t="shared" si="127"/>
        <v>169.23611111111677</v>
      </c>
      <c r="BI78" s="41">
        <f t="shared" si="49"/>
        <v>0.46366057838662128</v>
      </c>
      <c r="BJ78" s="40">
        <f t="shared" ca="1" si="358"/>
        <v>-0.19574457712609536</v>
      </c>
      <c r="BK78" s="40">
        <f t="shared" si="359"/>
        <v>2.5189751902588361E-2</v>
      </c>
      <c r="BL78" s="40">
        <f t="shared" si="360"/>
        <v>0.19338305926412305</v>
      </c>
      <c r="BM78" s="42">
        <f t="shared" ca="1" si="361"/>
        <v>-0.88195328935490058</v>
      </c>
      <c r="BN78" s="42">
        <f t="shared" ca="1" si="362"/>
        <v>-1.0753363486190237</v>
      </c>
      <c r="BO78" s="42">
        <f t="shared" ca="1" si="363"/>
        <v>0.18890103385225143</v>
      </c>
      <c r="BP78" s="42">
        <f t="shared" ca="1" si="364"/>
        <v>0.81109896614774857</v>
      </c>
      <c r="BQ78" s="42">
        <f t="shared" ca="1" si="365"/>
        <v>0.14111208402590436</v>
      </c>
      <c r="BR78" s="42">
        <f t="shared" ca="1" si="366"/>
        <v>0.85888791597409564</v>
      </c>
      <c r="BS78" s="42">
        <f t="shared" si="367"/>
        <v>0.98162450344672281</v>
      </c>
      <c r="BT78" s="42">
        <f t="shared" si="368"/>
        <v>88.34620531020505</v>
      </c>
      <c r="BU78" s="42">
        <f t="shared" si="369"/>
        <v>0.98801719747153338</v>
      </c>
      <c r="BV78" s="42">
        <f t="shared" ca="1" si="370"/>
        <v>73.113272612893468</v>
      </c>
      <c r="BW78" s="42">
        <f t="shared" ca="1" si="371"/>
        <v>0.27039826925806815</v>
      </c>
      <c r="BX78" s="42">
        <f t="shared" ca="1" si="372"/>
        <v>1.3444556377936223</v>
      </c>
      <c r="BY78" s="42">
        <f t="shared" ca="1" si="65"/>
        <v>0.1866374700661767</v>
      </c>
      <c r="BZ78" s="42">
        <f t="shared" ca="1" si="66"/>
        <v>1.8668880053341424E-2</v>
      </c>
      <c r="CA78" s="42">
        <f t="shared" ca="1" si="67"/>
        <v>-1.1677647612474432E-2</v>
      </c>
      <c r="CB78" s="42">
        <f t="shared" ca="1" si="68"/>
        <v>0.1346170959819416</v>
      </c>
      <c r="CC78" s="42">
        <f t="shared" ca="1" si="69"/>
        <v>5.7803252830083966E-2</v>
      </c>
      <c r="CD78" s="42">
        <f t="shared" ca="1" si="70"/>
        <v>2727.7721811031888</v>
      </c>
      <c r="CE78" s="40"/>
      <c r="CF78" s="36">
        <f t="shared" si="120"/>
        <v>95</v>
      </c>
      <c r="CG78" s="35">
        <f t="shared" si="71"/>
        <v>0.28399999999999997</v>
      </c>
      <c r="CH78" s="197">
        <f t="shared" si="128"/>
        <v>169.23611111111677</v>
      </c>
      <c r="CI78" s="41">
        <f t="shared" si="72"/>
        <v>0.46366057838662128</v>
      </c>
      <c r="CJ78" s="40">
        <f t="shared" ca="1" si="373"/>
        <v>-0.2498117983963711</v>
      </c>
      <c r="CK78" s="40">
        <f t="shared" si="374"/>
        <v>2.5189751902588361E-2</v>
      </c>
      <c r="CL78" s="40">
        <f t="shared" si="375"/>
        <v>0.19338305926412305</v>
      </c>
      <c r="CM78" s="42">
        <f t="shared" ca="1" si="376"/>
        <v>-1.1615394199912488</v>
      </c>
      <c r="CN78" s="42">
        <f t="shared" ca="1" si="377"/>
        <v>-1.3549224792553718</v>
      </c>
      <c r="CO78" s="42">
        <f t="shared" ca="1" si="378"/>
        <v>0.12271130095095224</v>
      </c>
      <c r="CP78" s="42">
        <f t="shared" ca="1" si="379"/>
        <v>0.87728869904904772</v>
      </c>
      <c r="CQ78" s="42">
        <f t="shared" ca="1" si="380"/>
        <v>8.7721128403295226E-2</v>
      </c>
      <c r="CR78" s="42">
        <f t="shared" ca="1" si="381"/>
        <v>0.91227887159670473</v>
      </c>
      <c r="CS78" s="42">
        <f t="shared" si="382"/>
        <v>0.98162450344672281</v>
      </c>
      <c r="CT78" s="42">
        <f t="shared" si="383"/>
        <v>93.254327827438672</v>
      </c>
      <c r="CU78" s="42">
        <f t="shared" si="384"/>
        <v>0.98801719747153338</v>
      </c>
      <c r="CV78" s="42">
        <f t="shared" ca="1" si="385"/>
        <v>73.113272612893468</v>
      </c>
      <c r="CW78" s="42">
        <f t="shared" ca="1" si="386"/>
        <v>0.2032079489282631</v>
      </c>
      <c r="CX78" s="42">
        <f t="shared" ca="1" si="387"/>
        <v>0.79144993359605031</v>
      </c>
      <c r="CY78" s="42">
        <f t="shared" ca="1" si="88"/>
        <v>0.12124087566364575</v>
      </c>
      <c r="CZ78" s="42">
        <f t="shared" ca="1" si="89"/>
        <v>1.4029915335022352E-2</v>
      </c>
      <c r="DA78" s="42">
        <f t="shared" ca="1" si="90"/>
        <v>-8.7459170646516579E-3</v>
      </c>
      <c r="DB78" s="42">
        <f t="shared" ca="1" si="91"/>
        <v>0.10116656456503284</v>
      </c>
      <c r="DC78" s="42">
        <f t="shared" ca="1" si="92"/>
        <v>3.7929173415634773E-2</v>
      </c>
      <c r="DD78" s="42">
        <f t="shared" ca="1" si="93"/>
        <v>-2179.275033201975</v>
      </c>
      <c r="DE78" s="40"/>
      <c r="DF78" s="36">
        <f t="shared" si="121"/>
        <v>200</v>
      </c>
      <c r="DG78" s="35">
        <f t="shared" si="94"/>
        <v>0.28399999999999997</v>
      </c>
      <c r="DH78" s="197">
        <f t="shared" si="129"/>
        <v>169.23611111111677</v>
      </c>
      <c r="DI78" s="41">
        <f t="shared" si="95"/>
        <v>0.46366057838662128</v>
      </c>
      <c r="DJ78" s="40">
        <f t="shared" ca="1" si="388"/>
        <v>-0.9942522733438669</v>
      </c>
      <c r="DK78" s="40">
        <f t="shared" si="389"/>
        <v>2.5189751902588361E-2</v>
      </c>
      <c r="DL78" s="40">
        <f t="shared" si="390"/>
        <v>0.19338305926412305</v>
      </c>
      <c r="DM78" s="42">
        <f t="shared" ca="1" si="391"/>
        <v>-5.0111034809813955</v>
      </c>
      <c r="DN78" s="42">
        <f t="shared" ca="1" si="392"/>
        <v>-5.2044865402455187</v>
      </c>
      <c r="DO78" s="42">
        <f t="shared" ca="1" si="393"/>
        <v>2.7059400586448877E-7</v>
      </c>
      <c r="DP78" s="42">
        <f t="shared" ca="1" si="394"/>
        <v>0.99999972940599413</v>
      </c>
      <c r="DQ78" s="42">
        <f t="shared" ca="1" si="395"/>
        <v>9.7266861343568507E-8</v>
      </c>
      <c r="DR78" s="42">
        <f t="shared" ca="1" si="396"/>
        <v>0.99999990273313866</v>
      </c>
      <c r="DS78" s="42">
        <f t="shared" si="397"/>
        <v>0.98162450344672281</v>
      </c>
      <c r="DT78" s="42">
        <f t="shared" si="398"/>
        <v>196.32490068934456</v>
      </c>
      <c r="DU78" s="42">
        <f t="shared" si="399"/>
        <v>0.98801719747153338</v>
      </c>
      <c r="DV78" s="42">
        <f t="shared" ca="1" si="400"/>
        <v>73.113272612893468</v>
      </c>
      <c r="DW78" s="42">
        <f t="shared" ca="1" si="401"/>
        <v>1.4063433629637545E-6</v>
      </c>
      <c r="DX78" s="42">
        <f t="shared" si="402"/>
        <v>0</v>
      </c>
      <c r="DY78" s="92">
        <f t="shared" si="111"/>
        <v>0</v>
      </c>
      <c r="DZ78" s="42">
        <f t="shared" si="112"/>
        <v>0</v>
      </c>
      <c r="EA78" s="42">
        <f t="shared" si="113"/>
        <v>0</v>
      </c>
      <c r="EB78" s="42">
        <f t="shared" si="114"/>
        <v>0</v>
      </c>
      <c r="EC78" s="42">
        <f t="shared" si="115"/>
        <v>0</v>
      </c>
      <c r="ED78" s="42">
        <f t="shared" ca="1" si="116"/>
        <v>0</v>
      </c>
      <c r="EE78" s="40"/>
      <c r="EF78" s="120">
        <f t="shared" ca="1" si="130"/>
        <v>74</v>
      </c>
      <c r="EG78" s="42">
        <f t="shared" ca="1" si="403"/>
        <v>57.282905566729369</v>
      </c>
      <c r="EH78" s="36">
        <f t="shared" ca="1" si="123"/>
        <v>57.282905566729369</v>
      </c>
      <c r="EI78" s="36">
        <f t="shared" ca="1" si="124"/>
        <v>16.427</v>
      </c>
      <c r="EJ78" s="153">
        <f t="shared" ca="1" si="131"/>
        <v>1</v>
      </c>
      <c r="EK78" s="153" t="str">
        <f t="shared" ca="1" si="229"/>
        <v/>
      </c>
      <c r="EL78" s="153" t="str">
        <f t="shared" ca="1" si="132"/>
        <v/>
      </c>
      <c r="EM78" s="153">
        <f t="shared" ca="1" si="230"/>
        <v>1</v>
      </c>
      <c r="EN78" s="153">
        <f t="shared" ca="1" si="231"/>
        <v>0</v>
      </c>
    </row>
    <row r="79" spans="1:144" x14ac:dyDescent="0.3">
      <c r="A79" s="36">
        <f ca="1">IF($M$22=1,A78+'Auto X'!$E$6,A$48)</f>
        <v>74.5</v>
      </c>
      <c r="B79" s="35">
        <f>IF($M$22=2,B78+'Auto X'!$E$6,B$48)</f>
        <v>0.28399999999999997</v>
      </c>
      <c r="C79" s="39">
        <f>IF($M$22=3,C78+'Auto X'!$E$6,C$48)</f>
        <v>45295.440972222219</v>
      </c>
      <c r="D79" s="35">
        <f>IF($M$22=4,D78+'Auto X'!$E$6,D$48)</f>
        <v>2.5999999999999999E-2</v>
      </c>
      <c r="E79" s="35">
        <f>IF($M$22=5,E78+'Auto X'!$E$6,E$48)</f>
        <v>0.04</v>
      </c>
      <c r="F79" s="36">
        <f t="shared" si="117"/>
        <v>75</v>
      </c>
      <c r="G79" s="35">
        <f t="shared" si="7"/>
        <v>0.28399999999999997</v>
      </c>
      <c r="H79" s="197">
        <f t="shared" si="125"/>
        <v>169.23611111111677</v>
      </c>
      <c r="I79" s="41">
        <f t="shared" si="8"/>
        <v>0.46366057838662128</v>
      </c>
      <c r="J79" s="40">
        <f t="shared" ca="1" si="328"/>
        <v>-6.688988150796652E-3</v>
      </c>
      <c r="K79" s="40">
        <f t="shared" si="329"/>
        <v>2.5189751902588361E-2</v>
      </c>
      <c r="L79" s="40">
        <f t="shared" si="330"/>
        <v>0.19338305926412305</v>
      </c>
      <c r="M79" s="42">
        <f t="shared" ca="1" si="331"/>
        <v>9.5668999250463405E-2</v>
      </c>
      <c r="N79" s="42">
        <f t="shared" ca="1" si="332"/>
        <v>-9.7714060013659648E-2</v>
      </c>
      <c r="O79" s="42">
        <f t="shared" ca="1" si="333"/>
        <v>0.53810826852581783</v>
      </c>
      <c r="P79" s="42">
        <f t="shared" ca="1" si="334"/>
        <v>0.46189173147418211</v>
      </c>
      <c r="Q79" s="42">
        <f t="shared" ca="1" si="335"/>
        <v>0.46107967535562122</v>
      </c>
      <c r="R79" s="42">
        <f t="shared" ca="1" si="336"/>
        <v>0.53892032464437878</v>
      </c>
      <c r="S79" s="42">
        <f t="shared" si="337"/>
        <v>0.98162450344672281</v>
      </c>
      <c r="T79" s="42">
        <f t="shared" si="338"/>
        <v>73.621837758504213</v>
      </c>
      <c r="U79" s="42">
        <f t="shared" si="339"/>
        <v>0.98801719747153338</v>
      </c>
      <c r="V79" s="42">
        <f t="shared" ca="1" si="340"/>
        <v>73.607281211629243</v>
      </c>
      <c r="W79" s="42">
        <f t="shared" ca="1" si="341"/>
        <v>0.39712078036238746</v>
      </c>
      <c r="X79" s="42">
        <f t="shared" ca="1" si="342"/>
        <v>5.6777101377824124</v>
      </c>
      <c r="Y79" s="42">
        <f t="shared" ca="1" si="19"/>
        <v>-0.45635697406639553</v>
      </c>
      <c r="Z79" s="42">
        <f t="shared" ca="1" si="20"/>
        <v>2.7234061767687757E-2</v>
      </c>
      <c r="AA79" s="42">
        <f t="shared" ca="1" si="21"/>
        <v>-1.4774587514566503E-2</v>
      </c>
      <c r="AB79" s="42">
        <f t="shared" ca="1" si="22"/>
        <v>0.19904142684477574</v>
      </c>
      <c r="AC79" s="42">
        <f t="shared" ca="1" si="23"/>
        <v>-0.18396338388102071</v>
      </c>
      <c r="AD79" s="42">
        <f t="shared" ca="1" si="24"/>
        <v>1038.8550688912062</v>
      </c>
      <c r="AF79" s="36">
        <f t="shared" si="118"/>
        <v>80</v>
      </c>
      <c r="AG79" s="35">
        <f t="shared" si="25"/>
        <v>0.28399999999999997</v>
      </c>
      <c r="AH79" s="197">
        <f t="shared" si="126"/>
        <v>169.23611111111677</v>
      </c>
      <c r="AI79" s="41">
        <f t="shared" si="26"/>
        <v>0.46366057838662128</v>
      </c>
      <c r="AJ79" s="40">
        <f t="shared" ca="1" si="343"/>
        <v>-7.1227509288367755E-2</v>
      </c>
      <c r="AK79" s="40">
        <f t="shared" si="344"/>
        <v>2.5189751902588361E-2</v>
      </c>
      <c r="AL79" s="40">
        <f t="shared" si="345"/>
        <v>0.19338305926412305</v>
      </c>
      <c r="AM79" s="42">
        <f t="shared" ca="1" si="346"/>
        <v>-0.23806510022628669</v>
      </c>
      <c r="AN79" s="42">
        <f t="shared" ca="1" si="347"/>
        <v>-0.43144815949040971</v>
      </c>
      <c r="AO79" s="42">
        <f t="shared" ca="1" si="348"/>
        <v>0.40591530130273112</v>
      </c>
      <c r="AP79" s="42">
        <f t="shared" ca="1" si="349"/>
        <v>0.59408469869726888</v>
      </c>
      <c r="AQ79" s="42">
        <f t="shared" ca="1" si="350"/>
        <v>0.33307126943833504</v>
      </c>
      <c r="AR79" s="42">
        <f t="shared" ca="1" si="351"/>
        <v>0.66692873056166491</v>
      </c>
      <c r="AS79" s="42">
        <f t="shared" si="352"/>
        <v>0.98162450344672281</v>
      </c>
      <c r="AT79" s="42">
        <f t="shared" si="353"/>
        <v>78.529960275737821</v>
      </c>
      <c r="AU79" s="42">
        <f t="shared" si="354"/>
        <v>0.98801719747153338</v>
      </c>
      <c r="AV79" s="42">
        <f t="shared" ca="1" si="355"/>
        <v>73.607281211629243</v>
      </c>
      <c r="AW79" s="42">
        <f t="shared" ca="1" si="356"/>
        <v>0.38779593083441211</v>
      </c>
      <c r="AX79" s="42">
        <f t="shared" ca="1" si="357"/>
        <v>8.6449272372198962</v>
      </c>
      <c r="AY79" s="42">
        <f t="shared" ca="1" si="42"/>
        <v>-0.58696589906759589</v>
      </c>
      <c r="AZ79" s="42">
        <f t="shared" ca="1" si="43"/>
        <v>2.6594574889696802E-2</v>
      </c>
      <c r="BA79" s="42">
        <f t="shared" ca="1" si="44"/>
        <v>-1.3684038339533237E-2</v>
      </c>
      <c r="BB79" s="42">
        <f t="shared" ca="1" si="45"/>
        <v>0.19436770679047047</v>
      </c>
      <c r="BC79" s="42">
        <f t="shared" ca="1" si="46"/>
        <v>-0.24283706607910038</v>
      </c>
      <c r="BD79" s="42">
        <f t="shared" ca="1" si="47"/>
        <v>-1497.4636186099478</v>
      </c>
      <c r="BE79" s="40"/>
      <c r="BF79" s="36">
        <f t="shared" si="119"/>
        <v>90</v>
      </c>
      <c r="BG79" s="35">
        <f t="shared" si="48"/>
        <v>0.28399999999999997</v>
      </c>
      <c r="BH79" s="197">
        <f t="shared" si="127"/>
        <v>169.23611111111677</v>
      </c>
      <c r="BI79" s="41">
        <f t="shared" si="49"/>
        <v>0.46366057838662128</v>
      </c>
      <c r="BJ79" s="40">
        <f t="shared" ca="1" si="358"/>
        <v>-0.18901054494475131</v>
      </c>
      <c r="BK79" s="40">
        <f t="shared" si="359"/>
        <v>2.5189751902588361E-2</v>
      </c>
      <c r="BL79" s="40">
        <f t="shared" si="360"/>
        <v>0.19338305926412305</v>
      </c>
      <c r="BM79" s="42">
        <f t="shared" ca="1" si="361"/>
        <v>-0.84713104480582302</v>
      </c>
      <c r="BN79" s="42">
        <f t="shared" ca="1" si="362"/>
        <v>-1.0405141040699462</v>
      </c>
      <c r="BO79" s="42">
        <f t="shared" ca="1" si="363"/>
        <v>0.19846104142896562</v>
      </c>
      <c r="BP79" s="42">
        <f t="shared" ca="1" si="364"/>
        <v>0.80153895857103441</v>
      </c>
      <c r="BQ79" s="42">
        <f t="shared" ca="1" si="365"/>
        <v>0.14905055742130882</v>
      </c>
      <c r="BR79" s="42">
        <f t="shared" ca="1" si="366"/>
        <v>0.85094944257869121</v>
      </c>
      <c r="BS79" s="42">
        <f t="shared" si="367"/>
        <v>0.98162450344672281</v>
      </c>
      <c r="BT79" s="42">
        <f t="shared" si="368"/>
        <v>88.34620531020505</v>
      </c>
      <c r="BU79" s="42">
        <f t="shared" si="369"/>
        <v>0.98801719747153338</v>
      </c>
      <c r="BV79" s="42">
        <f t="shared" ca="1" si="370"/>
        <v>73.607281211629243</v>
      </c>
      <c r="BW79" s="42">
        <f t="shared" ca="1" si="371"/>
        <v>0.27866246379864051</v>
      </c>
      <c r="BX79" s="42">
        <f t="shared" ca="1" si="372"/>
        <v>1.4401265384712172</v>
      </c>
      <c r="BY79" s="42">
        <f t="shared" ca="1" si="65"/>
        <v>0.19608292195992849</v>
      </c>
      <c r="BZ79" s="42">
        <f t="shared" ca="1" si="66"/>
        <v>1.9110334000912478E-2</v>
      </c>
      <c r="CA79" s="42">
        <f t="shared" ca="1" si="67"/>
        <v>-1.2121601908686531E-2</v>
      </c>
      <c r="CB79" s="42">
        <f t="shared" ca="1" si="68"/>
        <v>0.13966877873262604</v>
      </c>
      <c r="CC79" s="42">
        <f t="shared" ca="1" si="69"/>
        <v>6.1055062112946104E-2</v>
      </c>
      <c r="CD79" s="42">
        <f t="shared" ca="1" si="70"/>
        <v>2679.9367307643915</v>
      </c>
      <c r="CE79" s="40"/>
      <c r="CF79" s="36">
        <f t="shared" si="120"/>
        <v>95</v>
      </c>
      <c r="CG79" s="35">
        <f t="shared" si="71"/>
        <v>0.28399999999999997</v>
      </c>
      <c r="CH79" s="197">
        <f t="shared" si="128"/>
        <v>169.23611111111677</v>
      </c>
      <c r="CI79" s="41">
        <f t="shared" si="72"/>
        <v>0.46366057838662128</v>
      </c>
      <c r="CJ79" s="40">
        <f t="shared" ca="1" si="373"/>
        <v>-0.243077766215027</v>
      </c>
      <c r="CK79" s="40">
        <f t="shared" si="374"/>
        <v>2.5189751902588361E-2</v>
      </c>
      <c r="CL79" s="40">
        <f t="shared" si="375"/>
        <v>0.19338305926412305</v>
      </c>
      <c r="CM79" s="42">
        <f t="shared" ca="1" si="376"/>
        <v>-1.1267171754421708</v>
      </c>
      <c r="CN79" s="42">
        <f t="shared" ca="1" si="377"/>
        <v>-1.3201002347062938</v>
      </c>
      <c r="CO79" s="42">
        <f t="shared" ca="1" si="378"/>
        <v>0.12993103914313012</v>
      </c>
      <c r="CP79" s="42">
        <f t="shared" ca="1" si="379"/>
        <v>0.87006896085686991</v>
      </c>
      <c r="CQ79" s="42">
        <f t="shared" ca="1" si="380"/>
        <v>9.3400777215064901E-2</v>
      </c>
      <c r="CR79" s="42">
        <f t="shared" ca="1" si="381"/>
        <v>0.9065992227849351</v>
      </c>
      <c r="CS79" s="42">
        <f t="shared" si="382"/>
        <v>0.98162450344672281</v>
      </c>
      <c r="CT79" s="42">
        <f t="shared" si="383"/>
        <v>93.254327827438672</v>
      </c>
      <c r="CU79" s="42">
        <f t="shared" si="384"/>
        <v>0.98801719747153338</v>
      </c>
      <c r="CV79" s="42">
        <f t="shared" ca="1" si="385"/>
        <v>73.607281211629243</v>
      </c>
      <c r="CW79" s="42">
        <f t="shared" ca="1" si="386"/>
        <v>0.2114674210556251</v>
      </c>
      <c r="CX79" s="42">
        <f t="shared" ca="1" si="387"/>
        <v>0.85384383857635804</v>
      </c>
      <c r="CY79" s="42">
        <f t="shared" ca="1" si="88"/>
        <v>0.12837410115875952</v>
      </c>
      <c r="CZ79" s="42">
        <f t="shared" ca="1" si="89"/>
        <v>1.4502179416617586E-2</v>
      </c>
      <c r="DA79" s="42">
        <f t="shared" ca="1" si="90"/>
        <v>-9.1664938159932187E-3</v>
      </c>
      <c r="DB79" s="42">
        <f t="shared" ca="1" si="91"/>
        <v>0.10598986328463395</v>
      </c>
      <c r="DC79" s="42">
        <f t="shared" ca="1" si="92"/>
        <v>4.0384960164422473E-2</v>
      </c>
      <c r="DD79" s="42">
        <f t="shared" ca="1" si="93"/>
        <v>-2148.0780807118213</v>
      </c>
      <c r="DE79" s="40"/>
      <c r="DF79" s="36">
        <f t="shared" si="121"/>
        <v>200</v>
      </c>
      <c r="DG79" s="35">
        <f t="shared" si="94"/>
        <v>0.28399999999999997</v>
      </c>
      <c r="DH79" s="197">
        <f t="shared" si="129"/>
        <v>169.23611111111677</v>
      </c>
      <c r="DI79" s="41">
        <f t="shared" si="95"/>
        <v>0.46366057838662128</v>
      </c>
      <c r="DJ79" s="40">
        <f t="shared" ca="1" si="388"/>
        <v>-0.98751824116252285</v>
      </c>
      <c r="DK79" s="40">
        <f t="shared" si="389"/>
        <v>2.5189751902588361E-2</v>
      </c>
      <c r="DL79" s="40">
        <f t="shared" si="390"/>
        <v>0.19338305926412305</v>
      </c>
      <c r="DM79" s="42">
        <f t="shared" ca="1" si="391"/>
        <v>-4.9762812364323183</v>
      </c>
      <c r="DN79" s="42">
        <f t="shared" ca="1" si="392"/>
        <v>-5.1696642956964416</v>
      </c>
      <c r="DO79" s="42">
        <f t="shared" ca="1" si="393"/>
        <v>3.240872714155724E-7</v>
      </c>
      <c r="DP79" s="42">
        <f t="shared" ca="1" si="394"/>
        <v>0.99999967591272854</v>
      </c>
      <c r="DQ79" s="42">
        <f t="shared" ca="1" si="395"/>
        <v>1.1725744159700473E-7</v>
      </c>
      <c r="DR79" s="42">
        <f t="shared" ca="1" si="396"/>
        <v>0.99999988274255835</v>
      </c>
      <c r="DS79" s="42">
        <f t="shared" si="397"/>
        <v>0.98162450344672281</v>
      </c>
      <c r="DT79" s="42">
        <f t="shared" si="398"/>
        <v>196.32490068934456</v>
      </c>
      <c r="DU79" s="42">
        <f t="shared" si="399"/>
        <v>0.98801719747153338</v>
      </c>
      <c r="DV79" s="42">
        <f t="shared" ca="1" si="400"/>
        <v>73.607281211629243</v>
      </c>
      <c r="DW79" s="42">
        <f t="shared" ca="1" si="401"/>
        <v>1.6734452959466231E-6</v>
      </c>
      <c r="DX79" s="42">
        <f t="shared" si="402"/>
        <v>0</v>
      </c>
      <c r="DY79" s="92">
        <f t="shared" si="111"/>
        <v>0</v>
      </c>
      <c r="DZ79" s="42">
        <f t="shared" si="112"/>
        <v>0</v>
      </c>
      <c r="EA79" s="42">
        <f t="shared" si="113"/>
        <v>0</v>
      </c>
      <c r="EB79" s="42">
        <f t="shared" si="114"/>
        <v>0</v>
      </c>
      <c r="EC79" s="42">
        <f t="shared" si="115"/>
        <v>0</v>
      </c>
      <c r="ED79" s="42">
        <f t="shared" ca="1" si="116"/>
        <v>0</v>
      </c>
      <c r="EE79" s="40"/>
      <c r="EF79" s="120">
        <f t="shared" ca="1" si="130"/>
        <v>74.5</v>
      </c>
      <c r="EG79" s="42">
        <f t="shared" ca="1" si="403"/>
        <v>73.250100333828868</v>
      </c>
      <c r="EH79" s="36">
        <f t="shared" ca="1" si="123"/>
        <v>73.250100333828868</v>
      </c>
      <c r="EI79" s="36">
        <f t="shared" ca="1" si="124"/>
        <v>15.967000000000001</v>
      </c>
      <c r="EJ79" s="153">
        <f t="shared" ca="1" si="131"/>
        <v>1</v>
      </c>
      <c r="EK79" s="153" t="str">
        <f t="shared" ca="1" si="229"/>
        <v/>
      </c>
      <c r="EL79" s="153" t="str">
        <f t="shared" ca="1" si="132"/>
        <v/>
      </c>
      <c r="EM79" s="153">
        <f t="shared" ca="1" si="230"/>
        <v>1</v>
      </c>
      <c r="EN79" s="153">
        <f t="shared" ca="1" si="231"/>
        <v>0</v>
      </c>
    </row>
    <row r="80" spans="1:144" x14ac:dyDescent="0.3">
      <c r="A80" s="36">
        <f ca="1">IF($M$22=1,A79+'Auto X'!$E$6,A$48)</f>
        <v>75</v>
      </c>
      <c r="B80" s="35">
        <f>IF($M$22=2,B79+'Auto X'!$E$6,B$48)</f>
        <v>0.28399999999999997</v>
      </c>
      <c r="C80" s="39">
        <f>IF($M$22=3,C79+'Auto X'!$E$6,C$48)</f>
        <v>45295.440972222219</v>
      </c>
      <c r="D80" s="35">
        <f>IF($M$22=4,D79+'Auto X'!$E$6,D$48)</f>
        <v>2.5999999999999999E-2</v>
      </c>
      <c r="E80" s="35">
        <f>IF($M$22=5,E79+'Auto X'!$E$6,E$48)</f>
        <v>0.04</v>
      </c>
      <c r="F80" s="36">
        <f t="shared" si="117"/>
        <v>75</v>
      </c>
      <c r="G80" s="35">
        <f t="shared" si="7"/>
        <v>0.28399999999999997</v>
      </c>
      <c r="H80" s="197">
        <f t="shared" si="125"/>
        <v>169.23611111111677</v>
      </c>
      <c r="I80" s="41">
        <f t="shared" si="8"/>
        <v>0.46366057838662128</v>
      </c>
      <c r="J80" s="40">
        <f t="shared" ca="1" si="328"/>
        <v>0</v>
      </c>
      <c r="K80" s="40">
        <f t="shared" si="329"/>
        <v>2.5189751902588361E-2</v>
      </c>
      <c r="L80" s="40">
        <f t="shared" si="330"/>
        <v>0.19338305926412305</v>
      </c>
      <c r="M80" s="42">
        <f t="shared" ca="1" si="331"/>
        <v>0.13025831734404478</v>
      </c>
      <c r="N80" s="42">
        <f t="shared" ca="1" si="332"/>
        <v>-6.3124741920078276E-2</v>
      </c>
      <c r="O80" s="42">
        <f t="shared" ca="1" si="333"/>
        <v>0.55181897151292092</v>
      </c>
      <c r="P80" s="42">
        <f t="shared" ca="1" si="334"/>
        <v>0.44818102848707914</v>
      </c>
      <c r="Q80" s="42">
        <f t="shared" ca="1" si="335"/>
        <v>0.47483358619092353</v>
      </c>
      <c r="R80" s="42">
        <f t="shared" ca="1" si="336"/>
        <v>0.52516641380907647</v>
      </c>
      <c r="S80" s="42">
        <f t="shared" si="337"/>
        <v>0.98162450344672281</v>
      </c>
      <c r="T80" s="42">
        <f t="shared" si="338"/>
        <v>73.621837758504213</v>
      </c>
      <c r="U80" s="42">
        <f t="shared" si="339"/>
        <v>0.98801719747153338</v>
      </c>
      <c r="V80" s="42">
        <f t="shared" ca="1" si="340"/>
        <v>74.101289810365003</v>
      </c>
      <c r="W80" s="42">
        <f t="shared" ca="1" si="341"/>
        <v>0.395572123608114</v>
      </c>
      <c r="X80" s="42">
        <f t="shared" ca="1" si="342"/>
        <v>5.4529242342388144</v>
      </c>
      <c r="Y80" s="42">
        <f t="shared" ca="1" si="19"/>
        <v>-0.44281056372571331</v>
      </c>
      <c r="Z80" s="42">
        <f t="shared" ca="1" si="20"/>
        <v>2.6947004386173756E-2</v>
      </c>
      <c r="AA80" s="42">
        <f t="shared" ca="1" si="21"/>
        <v>-1.4875959311506943E-2</v>
      </c>
      <c r="AB80" s="42">
        <f t="shared" ca="1" si="22"/>
        <v>0.19959586164069534</v>
      </c>
      <c r="AC80" s="42">
        <f t="shared" ca="1" si="23"/>
        <v>-0.17926841161303347</v>
      </c>
      <c r="AD80" s="42">
        <f t="shared" ca="1" si="24"/>
        <v>926.46211711940714</v>
      </c>
      <c r="AF80" s="36">
        <f t="shared" si="118"/>
        <v>80</v>
      </c>
      <c r="AG80" s="35">
        <f t="shared" si="25"/>
        <v>0.28399999999999997</v>
      </c>
      <c r="AH80" s="197">
        <f t="shared" si="126"/>
        <v>169.23611111111677</v>
      </c>
      <c r="AI80" s="41">
        <f t="shared" si="26"/>
        <v>0.46366057838662128</v>
      </c>
      <c r="AJ80" s="40">
        <f t="shared" ca="1" si="343"/>
        <v>-6.4538521137571178E-2</v>
      </c>
      <c r="AK80" s="40">
        <f t="shared" si="344"/>
        <v>2.5189751902588361E-2</v>
      </c>
      <c r="AL80" s="40">
        <f t="shared" si="345"/>
        <v>0.19338305926412305</v>
      </c>
      <c r="AM80" s="42">
        <f t="shared" ca="1" si="346"/>
        <v>-0.2034757821327057</v>
      </c>
      <c r="AN80" s="42">
        <f t="shared" ca="1" si="347"/>
        <v>-0.39685884139682875</v>
      </c>
      <c r="AO80" s="42">
        <f t="shared" ca="1" si="348"/>
        <v>0.41938158639897294</v>
      </c>
      <c r="AP80" s="42">
        <f t="shared" ca="1" si="349"/>
        <v>0.58061841360102706</v>
      </c>
      <c r="AQ80" s="42">
        <f t="shared" ca="1" si="350"/>
        <v>0.34573577844479475</v>
      </c>
      <c r="AR80" s="42">
        <f t="shared" ca="1" si="351"/>
        <v>0.65426422155520525</v>
      </c>
      <c r="AS80" s="42">
        <f t="shared" si="352"/>
        <v>0.98162450344672281</v>
      </c>
      <c r="AT80" s="42">
        <f t="shared" si="353"/>
        <v>78.529960275737821</v>
      </c>
      <c r="AU80" s="42">
        <f t="shared" si="354"/>
        <v>0.98801719747153338</v>
      </c>
      <c r="AV80" s="42">
        <f t="shared" ca="1" si="355"/>
        <v>74.101289810365003</v>
      </c>
      <c r="AW80" s="42">
        <f t="shared" ca="1" si="356"/>
        <v>0.3907685921391999</v>
      </c>
      <c r="AX80" s="42">
        <f t="shared" ca="1" si="357"/>
        <v>8.3547699930827193</v>
      </c>
      <c r="AY80" s="42">
        <f t="shared" ca="1" si="42"/>
        <v>-0.57366097780645442</v>
      </c>
      <c r="AZ80" s="42">
        <f t="shared" ca="1" si="43"/>
        <v>2.6619780156161565E-2</v>
      </c>
      <c r="BA80" s="42">
        <f t="shared" ca="1" si="44"/>
        <v>-1.3978162200285983E-2</v>
      </c>
      <c r="BB80" s="42">
        <f t="shared" ca="1" si="45"/>
        <v>0.19717211905309598</v>
      </c>
      <c r="BC80" s="42">
        <f t="shared" ca="1" si="46"/>
        <v>-0.23822576044848073</v>
      </c>
      <c r="BD80" s="42">
        <f t="shared" ca="1" si="47"/>
        <v>-1352.3849965413594</v>
      </c>
      <c r="BE80" s="40"/>
      <c r="BF80" s="36">
        <f t="shared" si="119"/>
        <v>90</v>
      </c>
      <c r="BG80" s="35">
        <f t="shared" si="48"/>
        <v>0.28399999999999997</v>
      </c>
      <c r="BH80" s="197">
        <f t="shared" si="127"/>
        <v>169.23611111111677</v>
      </c>
      <c r="BI80" s="41">
        <f t="shared" si="49"/>
        <v>0.46366057838662128</v>
      </c>
      <c r="BJ80" s="40">
        <f t="shared" ca="1" si="358"/>
        <v>-0.18232155679395459</v>
      </c>
      <c r="BK80" s="40">
        <f t="shared" si="359"/>
        <v>2.5189751902588361E-2</v>
      </c>
      <c r="BL80" s="40">
        <f t="shared" si="360"/>
        <v>0.19338305926412305</v>
      </c>
      <c r="BM80" s="42">
        <f t="shared" ca="1" si="361"/>
        <v>-0.81254172671224134</v>
      </c>
      <c r="BN80" s="42">
        <f t="shared" ca="1" si="362"/>
        <v>-1.0059247859763645</v>
      </c>
      <c r="BO80" s="42">
        <f t="shared" ca="1" si="363"/>
        <v>0.20824042682621063</v>
      </c>
      <c r="BP80" s="42">
        <f t="shared" ca="1" si="364"/>
        <v>0.79175957317378942</v>
      </c>
      <c r="BQ80" s="42">
        <f t="shared" ca="1" si="365"/>
        <v>0.15722587611124073</v>
      </c>
      <c r="BR80" s="42">
        <f t="shared" ca="1" si="366"/>
        <v>0.84277412388875927</v>
      </c>
      <c r="BS80" s="42">
        <f t="shared" si="367"/>
        <v>0.98162450344672281</v>
      </c>
      <c r="BT80" s="42">
        <f t="shared" si="368"/>
        <v>88.34620531020505</v>
      </c>
      <c r="BU80" s="42">
        <f t="shared" si="369"/>
        <v>0.98801719747153338</v>
      </c>
      <c r="BV80" s="42">
        <f t="shared" ca="1" si="370"/>
        <v>74.101289810365003</v>
      </c>
      <c r="BW80" s="42">
        <f t="shared" ca="1" si="371"/>
        <v>0.28677694456646291</v>
      </c>
      <c r="BX80" s="42">
        <f t="shared" ca="1" si="372"/>
        <v>1.5405746874826054</v>
      </c>
      <c r="BY80" s="42">
        <f t="shared" ca="1" si="65"/>
        <v>0.20574512291310854</v>
      </c>
      <c r="BZ80" s="42">
        <f t="shared" ca="1" si="66"/>
        <v>1.9535703154709032E-2</v>
      </c>
      <c r="CA80" s="42">
        <f t="shared" ca="1" si="67"/>
        <v>-1.25643451333957E-2</v>
      </c>
      <c r="CB80" s="42">
        <f t="shared" ca="1" si="68"/>
        <v>0.14470051839683021</v>
      </c>
      <c r="CC80" s="42">
        <f t="shared" ca="1" si="69"/>
        <v>6.4403889511129075E-2</v>
      </c>
      <c r="CD80" s="42">
        <f t="shared" ca="1" si="70"/>
        <v>2629.7126562586973</v>
      </c>
      <c r="CE80" s="40"/>
      <c r="CF80" s="36">
        <f t="shared" si="120"/>
        <v>95</v>
      </c>
      <c r="CG80" s="35">
        <f t="shared" si="71"/>
        <v>0.28399999999999997</v>
      </c>
      <c r="CH80" s="197">
        <f t="shared" si="128"/>
        <v>169.23611111111677</v>
      </c>
      <c r="CI80" s="41">
        <f t="shared" si="72"/>
        <v>0.46366057838662128</v>
      </c>
      <c r="CJ80" s="40">
        <f t="shared" ca="1" si="373"/>
        <v>-0.23638877806423039</v>
      </c>
      <c r="CK80" s="40">
        <f t="shared" si="374"/>
        <v>2.5189751902588361E-2</v>
      </c>
      <c r="CL80" s="40">
        <f t="shared" si="375"/>
        <v>0.19338305926412305</v>
      </c>
      <c r="CM80" s="42">
        <f t="shared" ca="1" si="376"/>
        <v>-1.0921278573485897</v>
      </c>
      <c r="CN80" s="42">
        <f t="shared" ca="1" si="377"/>
        <v>-1.2855109166127128</v>
      </c>
      <c r="CO80" s="42">
        <f t="shared" ca="1" si="378"/>
        <v>0.13738845325197177</v>
      </c>
      <c r="CP80" s="42">
        <f t="shared" ca="1" si="379"/>
        <v>0.8626115467480282</v>
      </c>
      <c r="CQ80" s="42">
        <f t="shared" ca="1" si="380"/>
        <v>9.9306902220344787E-2</v>
      </c>
      <c r="CR80" s="42">
        <f t="shared" ca="1" si="381"/>
        <v>0.90069309777965523</v>
      </c>
      <c r="CS80" s="42">
        <f t="shared" si="382"/>
        <v>0.98162450344672281</v>
      </c>
      <c r="CT80" s="42">
        <f t="shared" si="383"/>
        <v>93.254327827438672</v>
      </c>
      <c r="CU80" s="42">
        <f t="shared" si="384"/>
        <v>0.98801719747153338</v>
      </c>
      <c r="CV80" s="42">
        <f t="shared" ca="1" si="385"/>
        <v>74.101289810365003</v>
      </c>
      <c r="CW80" s="42">
        <f t="shared" ca="1" si="386"/>
        <v>0.21974001936048332</v>
      </c>
      <c r="CX80" s="42">
        <f t="shared" ca="1" si="387"/>
        <v>0.91986317583871369</v>
      </c>
      <c r="CY80" s="42">
        <f t="shared" ca="1" si="88"/>
        <v>0.13574215454696192</v>
      </c>
      <c r="CZ80" s="42">
        <f t="shared" ca="1" si="89"/>
        <v>1.4969040819951733E-2</v>
      </c>
      <c r="DA80" s="42">
        <f t="shared" ca="1" si="90"/>
        <v>-9.5928405480622259E-3</v>
      </c>
      <c r="DB80" s="42">
        <f t="shared" ca="1" si="91"/>
        <v>0.11087535213843644</v>
      </c>
      <c r="DC80" s="42">
        <f t="shared" ca="1" si="92"/>
        <v>4.2938671495058554E-2</v>
      </c>
      <c r="DD80" s="42">
        <f t="shared" ca="1" si="93"/>
        <v>-2115.0684120806432</v>
      </c>
      <c r="DE80" s="40"/>
      <c r="DF80" s="36">
        <f t="shared" si="121"/>
        <v>200</v>
      </c>
      <c r="DG80" s="35">
        <f t="shared" si="94"/>
        <v>0.28399999999999997</v>
      </c>
      <c r="DH80" s="197">
        <f t="shared" si="129"/>
        <v>169.23611111111677</v>
      </c>
      <c r="DI80" s="41">
        <f t="shared" si="95"/>
        <v>0.46366057838662128</v>
      </c>
      <c r="DJ80" s="40">
        <f t="shared" ca="1" si="388"/>
        <v>-0.98082925301172619</v>
      </c>
      <c r="DK80" s="40">
        <f t="shared" si="389"/>
        <v>2.5189751902588361E-2</v>
      </c>
      <c r="DL80" s="40">
        <f t="shared" si="390"/>
        <v>0.19338305926412305</v>
      </c>
      <c r="DM80" s="42">
        <f t="shared" ca="1" si="391"/>
        <v>-4.9416919183387371</v>
      </c>
      <c r="DN80" s="42">
        <f t="shared" ca="1" si="392"/>
        <v>-5.1350749776028604</v>
      </c>
      <c r="DO80" s="42">
        <f t="shared" ca="1" si="393"/>
        <v>3.8723764137062751E-7</v>
      </c>
      <c r="DP80" s="42">
        <f t="shared" ca="1" si="394"/>
        <v>0.9999996127623586</v>
      </c>
      <c r="DQ80" s="42">
        <f t="shared" ca="1" si="395"/>
        <v>1.4101578170427097E-7</v>
      </c>
      <c r="DR80" s="42">
        <f t="shared" ca="1" si="396"/>
        <v>0.99999985898421828</v>
      </c>
      <c r="DS80" s="42">
        <f t="shared" si="397"/>
        <v>0.98162450344672281</v>
      </c>
      <c r="DT80" s="42">
        <f t="shared" si="398"/>
        <v>196.32490068934456</v>
      </c>
      <c r="DU80" s="42">
        <f t="shared" si="399"/>
        <v>0.98801719747153338</v>
      </c>
      <c r="DV80" s="42">
        <f t="shared" ca="1" si="400"/>
        <v>74.101289810365003</v>
      </c>
      <c r="DW80" s="42">
        <f t="shared" ca="1" si="401"/>
        <v>1.9865759266726546E-6</v>
      </c>
      <c r="DX80" s="42">
        <f t="shared" si="402"/>
        <v>0</v>
      </c>
      <c r="DY80" s="92">
        <f t="shared" si="111"/>
        <v>0</v>
      </c>
      <c r="DZ80" s="42">
        <f t="shared" si="112"/>
        <v>0</v>
      </c>
      <c r="EA80" s="42">
        <f t="shared" si="113"/>
        <v>0</v>
      </c>
      <c r="EB80" s="42">
        <f t="shared" si="114"/>
        <v>0</v>
      </c>
      <c r="EC80" s="42">
        <f t="shared" si="115"/>
        <v>0</v>
      </c>
      <c r="ED80" s="42">
        <f t="shared" ca="1" si="116"/>
        <v>0</v>
      </c>
      <c r="EE80" s="40"/>
      <c r="EF80" s="120">
        <f t="shared" ca="1" si="130"/>
        <v>75</v>
      </c>
      <c r="EG80" s="42">
        <f t="shared" ca="1" si="403"/>
        <v>88.721364756101593</v>
      </c>
      <c r="EH80" s="36">
        <f t="shared" ca="1" si="123"/>
        <v>88.721364756101593</v>
      </c>
      <c r="EI80" s="36">
        <f t="shared" ca="1" si="124"/>
        <v>15.471</v>
      </c>
      <c r="EJ80" s="153">
        <f t="shared" ca="1" si="131"/>
        <v>1</v>
      </c>
      <c r="EK80" s="153" t="str">
        <f t="shared" ca="1" si="229"/>
        <v/>
      </c>
      <c r="EL80" s="153" t="str">
        <f t="shared" ca="1" si="132"/>
        <v/>
      </c>
      <c r="EM80" s="153">
        <f t="shared" ca="1" si="230"/>
        <v>1</v>
      </c>
      <c r="EN80" s="153">
        <f t="shared" ca="1" si="231"/>
        <v>0</v>
      </c>
    </row>
    <row r="81" spans="1:146" x14ac:dyDescent="0.3">
      <c r="A81" s="36">
        <f ca="1">IF($M$22=1,A80+'Auto X'!$E$6,A$48)</f>
        <v>75.5</v>
      </c>
      <c r="B81" s="35">
        <f>IF($M$22=2,B80+'Auto X'!$E$6,B$48)</f>
        <v>0.28399999999999997</v>
      </c>
      <c r="C81" s="39">
        <f>IF($M$22=3,C80+'Auto X'!$E$6,C$48)</f>
        <v>45295.440972222219</v>
      </c>
      <c r="D81" s="35">
        <f>IF($M$22=4,D80+'Auto X'!$E$6,D$48)</f>
        <v>2.5999999999999999E-2</v>
      </c>
      <c r="E81" s="35">
        <f>IF($M$22=5,E80+'Auto X'!$E$6,E$48)</f>
        <v>0.04</v>
      </c>
      <c r="F81" s="36">
        <f t="shared" si="117"/>
        <v>75</v>
      </c>
      <c r="G81" s="35">
        <f t="shared" si="7"/>
        <v>0.28399999999999997</v>
      </c>
      <c r="H81" s="197">
        <f t="shared" si="125"/>
        <v>169.23611111111677</v>
      </c>
      <c r="I81" s="41">
        <f t="shared" si="8"/>
        <v>0.46366057838662128</v>
      </c>
      <c r="J81" s="40">
        <f t="shared" ca="1" si="328"/>
        <v>6.6445427186685108E-3</v>
      </c>
      <c r="K81" s="40">
        <f t="shared" si="329"/>
        <v>2.5189751902588361E-2</v>
      </c>
      <c r="L81" s="40">
        <f t="shared" si="330"/>
        <v>0.19338305926412305</v>
      </c>
      <c r="M81" s="42">
        <f t="shared" ca="1" si="331"/>
        <v>0.16461780438470319</v>
      </c>
      <c r="N81" s="42">
        <f t="shared" ca="1" si="332"/>
        <v>-2.876525487941986E-2</v>
      </c>
      <c r="O81" s="42">
        <f t="shared" ca="1" si="333"/>
        <v>0.56537759173184288</v>
      </c>
      <c r="P81" s="42">
        <f t="shared" ca="1" si="334"/>
        <v>0.43462240826815707</v>
      </c>
      <c r="Q81" s="42">
        <f t="shared" ca="1" si="335"/>
        <v>0.48852590599773599</v>
      </c>
      <c r="R81" s="42">
        <f t="shared" ca="1" si="336"/>
        <v>0.51147409400226396</v>
      </c>
      <c r="S81" s="42">
        <f t="shared" si="337"/>
        <v>0.98162450344672281</v>
      </c>
      <c r="T81" s="42">
        <f t="shared" si="338"/>
        <v>73.621837758504213</v>
      </c>
      <c r="U81" s="42">
        <f t="shared" si="339"/>
        <v>0.98801719747153338</v>
      </c>
      <c r="V81" s="42">
        <f t="shared" ca="1" si="340"/>
        <v>74.595298409100764</v>
      </c>
      <c r="W81" s="42">
        <f t="shared" ca="1" si="341"/>
        <v>0.39357326359680217</v>
      </c>
      <c r="X81" s="42">
        <f t="shared" ca="1" si="342"/>
        <v>5.2348745262674115</v>
      </c>
      <c r="Y81" s="42">
        <f t="shared" ca="1" si="19"/>
        <v>-0.42941441377543321</v>
      </c>
      <c r="Z81" s="42">
        <f t="shared" ca="1" si="20"/>
        <v>2.6633283627872779E-2</v>
      </c>
      <c r="AA81" s="42">
        <f t="shared" ca="1" si="21"/>
        <v>-1.4956615765972247E-2</v>
      </c>
      <c r="AB81" s="42">
        <f t="shared" ca="1" si="22"/>
        <v>0.19991120180432365</v>
      </c>
      <c r="AC81" s="42">
        <f t="shared" ca="1" si="23"/>
        <v>-0.17459446377760063</v>
      </c>
      <c r="AD81" s="42">
        <f t="shared" ca="1" si="24"/>
        <v>817.43726313370564</v>
      </c>
      <c r="AF81" s="36">
        <f t="shared" si="118"/>
        <v>80</v>
      </c>
      <c r="AG81" s="35">
        <f t="shared" si="25"/>
        <v>0.28399999999999997</v>
      </c>
      <c r="AH81" s="197">
        <f t="shared" si="126"/>
        <v>169.23611111111677</v>
      </c>
      <c r="AI81" s="41">
        <f t="shared" si="26"/>
        <v>0.46366057838662128</v>
      </c>
      <c r="AJ81" s="40">
        <f t="shared" ca="1" si="343"/>
        <v>-5.789397841890262E-2</v>
      </c>
      <c r="AK81" s="40">
        <f t="shared" si="344"/>
        <v>2.5189751902588361E-2</v>
      </c>
      <c r="AL81" s="40">
        <f t="shared" si="345"/>
        <v>0.19338305926412305</v>
      </c>
      <c r="AM81" s="42">
        <f t="shared" ca="1" si="346"/>
        <v>-0.16911629509204706</v>
      </c>
      <c r="AN81" s="42">
        <f t="shared" ca="1" si="347"/>
        <v>-0.36249935435617009</v>
      </c>
      <c r="AO81" s="42">
        <f t="shared" ca="1" si="348"/>
        <v>0.43285258395581577</v>
      </c>
      <c r="AP81" s="42">
        <f t="shared" ca="1" si="349"/>
        <v>0.56714741604418428</v>
      </c>
      <c r="AQ81" s="42">
        <f t="shared" ca="1" si="350"/>
        <v>0.35848945296008389</v>
      </c>
      <c r="AR81" s="42">
        <f t="shared" ca="1" si="351"/>
        <v>0.64151054703991606</v>
      </c>
      <c r="AS81" s="42">
        <f t="shared" si="352"/>
        <v>0.98162450344672281</v>
      </c>
      <c r="AT81" s="42">
        <f t="shared" si="353"/>
        <v>78.529960275737821</v>
      </c>
      <c r="AU81" s="42">
        <f t="shared" si="354"/>
        <v>0.98801719747153338</v>
      </c>
      <c r="AV81" s="42">
        <f t="shared" ca="1" si="355"/>
        <v>74.595298409100764</v>
      </c>
      <c r="AW81" s="42">
        <f t="shared" ca="1" si="356"/>
        <v>0.39327793873327349</v>
      </c>
      <c r="AX81" s="42">
        <f t="shared" ca="1" si="357"/>
        <v>8.0712670337450945</v>
      </c>
      <c r="AY81" s="42">
        <f t="shared" ca="1" si="42"/>
        <v>-0.56035140055319677</v>
      </c>
      <c r="AZ81" s="42">
        <f t="shared" ca="1" si="43"/>
        <v>2.6613298858630986E-2</v>
      </c>
      <c r="BA81" s="42">
        <f t="shared" ca="1" si="44"/>
        <v>-1.4254012511941153E-2</v>
      </c>
      <c r="BB81" s="42">
        <f t="shared" ca="1" si="45"/>
        <v>0.19976119479457108</v>
      </c>
      <c r="BC81" s="42">
        <f t="shared" ca="1" si="46"/>
        <v>-0.23358198854437881</v>
      </c>
      <c r="BD81" s="42">
        <f t="shared" ca="1" si="47"/>
        <v>-1210.633516872547</v>
      </c>
      <c r="BE81" s="40"/>
      <c r="BF81" s="36">
        <f t="shared" si="119"/>
        <v>90</v>
      </c>
      <c r="BG81" s="35">
        <f t="shared" si="48"/>
        <v>0.28399999999999997</v>
      </c>
      <c r="BH81" s="197">
        <f t="shared" si="127"/>
        <v>169.23611111111677</v>
      </c>
      <c r="BI81" s="41">
        <f t="shared" si="49"/>
        <v>0.46366057838662128</v>
      </c>
      <c r="BJ81" s="40">
        <f t="shared" ca="1" si="358"/>
        <v>-0.17567701407528602</v>
      </c>
      <c r="BK81" s="40">
        <f t="shared" si="359"/>
        <v>2.5189751902588361E-2</v>
      </c>
      <c r="BL81" s="40">
        <f t="shared" si="360"/>
        <v>0.19338305926412305</v>
      </c>
      <c r="BM81" s="42">
        <f t="shared" ca="1" si="361"/>
        <v>-0.77818223967158251</v>
      </c>
      <c r="BN81" s="42">
        <f t="shared" ca="1" si="362"/>
        <v>-0.97156529893570553</v>
      </c>
      <c r="BO81" s="42">
        <f t="shared" ca="1" si="363"/>
        <v>0.21823079273639837</v>
      </c>
      <c r="BP81" s="42">
        <f t="shared" ca="1" si="364"/>
        <v>0.78176920726360166</v>
      </c>
      <c r="BQ81" s="42">
        <f t="shared" ca="1" si="365"/>
        <v>0.1656334264578298</v>
      </c>
      <c r="BR81" s="42">
        <f t="shared" ca="1" si="366"/>
        <v>0.83436657354217014</v>
      </c>
      <c r="BS81" s="42">
        <f t="shared" si="367"/>
        <v>0.98162450344672281</v>
      </c>
      <c r="BT81" s="42">
        <f t="shared" si="368"/>
        <v>88.34620531020505</v>
      </c>
      <c r="BU81" s="42">
        <f t="shared" si="369"/>
        <v>0.98801719747153338</v>
      </c>
      <c r="BV81" s="42">
        <f t="shared" ca="1" si="370"/>
        <v>74.595298409100764</v>
      </c>
      <c r="BW81" s="42">
        <f t="shared" ca="1" si="371"/>
        <v>0.29472212011731913</v>
      </c>
      <c r="BX81" s="42">
        <f t="shared" ca="1" si="372"/>
        <v>1.6459064061500737</v>
      </c>
      <c r="BY81" s="42">
        <f t="shared" ca="1" si="65"/>
        <v>0.21561577624140738</v>
      </c>
      <c r="BZ81" s="42">
        <f t="shared" ca="1" si="66"/>
        <v>1.9943981318136284E-2</v>
      </c>
      <c r="CA81" s="42">
        <f t="shared" ca="1" si="67"/>
        <v>-1.300489233552952E-2</v>
      </c>
      <c r="CB81" s="42">
        <f t="shared" ca="1" si="68"/>
        <v>0.1497008528794033</v>
      </c>
      <c r="CC81" s="42">
        <f t="shared" ca="1" si="69"/>
        <v>6.7847845156177394E-2</v>
      </c>
      <c r="CD81" s="42">
        <f t="shared" ca="1" si="70"/>
        <v>2577.046796924963</v>
      </c>
      <c r="CE81" s="40"/>
      <c r="CF81" s="36">
        <f t="shared" si="120"/>
        <v>95</v>
      </c>
      <c r="CG81" s="35">
        <f t="shared" si="71"/>
        <v>0.28399999999999997</v>
      </c>
      <c r="CH81" s="197">
        <f t="shared" si="128"/>
        <v>169.23611111111677</v>
      </c>
      <c r="CI81" s="41">
        <f t="shared" si="72"/>
        <v>0.46366057838662128</v>
      </c>
      <c r="CJ81" s="40">
        <f t="shared" ca="1" si="373"/>
        <v>-0.22974423534556179</v>
      </c>
      <c r="CK81" s="40">
        <f t="shared" si="374"/>
        <v>2.5189751902588361E-2</v>
      </c>
      <c r="CL81" s="40">
        <f t="shared" si="375"/>
        <v>0.19338305926412305</v>
      </c>
      <c r="CM81" s="42">
        <f t="shared" ca="1" si="376"/>
        <v>-1.0577683703079308</v>
      </c>
      <c r="CN81" s="42">
        <f t="shared" ca="1" si="377"/>
        <v>-1.2511514295720538</v>
      </c>
      <c r="CO81" s="42">
        <f t="shared" ca="1" si="378"/>
        <v>0.14508052810532945</v>
      </c>
      <c r="CP81" s="42">
        <f t="shared" ca="1" si="379"/>
        <v>0.85491947189467055</v>
      </c>
      <c r="CQ81" s="42">
        <f t="shared" ca="1" si="380"/>
        <v>0.1054396174289296</v>
      </c>
      <c r="CR81" s="42">
        <f t="shared" ca="1" si="381"/>
        <v>0.8945603825710704</v>
      </c>
      <c r="CS81" s="42">
        <f t="shared" si="382"/>
        <v>0.98162450344672281</v>
      </c>
      <c r="CT81" s="42">
        <f t="shared" si="383"/>
        <v>93.254327827438672</v>
      </c>
      <c r="CU81" s="42">
        <f t="shared" si="384"/>
        <v>0.98801719747153338</v>
      </c>
      <c r="CV81" s="42">
        <f t="shared" ca="1" si="385"/>
        <v>74.595298409100764</v>
      </c>
      <c r="CW81" s="42">
        <f t="shared" ca="1" si="386"/>
        <v>0.22800778729310897</v>
      </c>
      <c r="CX81" s="42">
        <f t="shared" ca="1" si="387"/>
        <v>0.98962463764986452</v>
      </c>
      <c r="CY81" s="42">
        <f t="shared" ca="1" si="88"/>
        <v>0.14334205678631765</v>
      </c>
      <c r="CZ81" s="42">
        <f t="shared" ca="1" si="89"/>
        <v>1.5429391755030789E-2</v>
      </c>
      <c r="DA81" s="42">
        <f t="shared" ca="1" si="90"/>
        <v>-1.0024195174293265E-2</v>
      </c>
      <c r="DB81" s="42">
        <f t="shared" ca="1" si="91"/>
        <v>0.11581404275775699</v>
      </c>
      <c r="DC81" s="42">
        <f t="shared" ca="1" si="92"/>
        <v>4.5590356703503448E-2</v>
      </c>
      <c r="DD81" s="42">
        <f t="shared" ca="1" si="93"/>
        <v>-2080.1876811750681</v>
      </c>
      <c r="DE81" s="40"/>
      <c r="DF81" s="36">
        <f t="shared" si="121"/>
        <v>200</v>
      </c>
      <c r="DG81" s="35">
        <f t="shared" si="94"/>
        <v>0.28399999999999997</v>
      </c>
      <c r="DH81" s="197">
        <f t="shared" si="129"/>
        <v>169.23611111111677</v>
      </c>
      <c r="DI81" s="41">
        <f t="shared" si="95"/>
        <v>0.46366057838662128</v>
      </c>
      <c r="DJ81" s="40">
        <f t="shared" ca="1" si="388"/>
        <v>-0.97418471029305764</v>
      </c>
      <c r="DK81" s="40">
        <f t="shared" si="389"/>
        <v>2.5189751902588361E-2</v>
      </c>
      <c r="DL81" s="40">
        <f t="shared" si="390"/>
        <v>0.19338305926412305</v>
      </c>
      <c r="DM81" s="42">
        <f t="shared" ca="1" si="391"/>
        <v>-4.9073324312980784</v>
      </c>
      <c r="DN81" s="42">
        <f t="shared" ca="1" si="392"/>
        <v>-5.1007154905622016</v>
      </c>
      <c r="DO81" s="42">
        <f t="shared" ca="1" si="393"/>
        <v>4.6161737476752967E-7</v>
      </c>
      <c r="DP81" s="42">
        <f t="shared" ca="1" si="394"/>
        <v>0.99999953838262523</v>
      </c>
      <c r="DQ81" s="42">
        <f t="shared" ca="1" si="395"/>
        <v>1.6918594135168592E-7</v>
      </c>
      <c r="DR81" s="42">
        <f t="shared" ca="1" si="396"/>
        <v>0.99999983081405863</v>
      </c>
      <c r="DS81" s="42">
        <f t="shared" si="397"/>
        <v>0.98162450344672281</v>
      </c>
      <c r="DT81" s="42">
        <f t="shared" si="398"/>
        <v>196.32490068934456</v>
      </c>
      <c r="DU81" s="42">
        <f t="shared" si="399"/>
        <v>0.98801719747153338</v>
      </c>
      <c r="DV81" s="42">
        <f t="shared" ca="1" si="400"/>
        <v>74.595298409100764</v>
      </c>
      <c r="DW81" s="42">
        <f t="shared" ca="1" si="401"/>
        <v>2.352823812496378E-6</v>
      </c>
      <c r="DX81" s="42">
        <f t="shared" si="402"/>
        <v>0</v>
      </c>
      <c r="DY81" s="92">
        <f t="shared" si="111"/>
        <v>0</v>
      </c>
      <c r="DZ81" s="42">
        <f t="shared" si="112"/>
        <v>0</v>
      </c>
      <c r="EA81" s="42">
        <f t="shared" si="113"/>
        <v>0</v>
      </c>
      <c r="EB81" s="42">
        <f t="shared" si="114"/>
        <v>0</v>
      </c>
      <c r="EC81" s="42">
        <f t="shared" si="115"/>
        <v>0</v>
      </c>
      <c r="ED81" s="42">
        <f t="shared" ca="1" si="116"/>
        <v>0</v>
      </c>
      <c r="EE81" s="40"/>
      <c r="EF81" s="120">
        <f t="shared" ca="1" si="130"/>
        <v>75.5</v>
      </c>
      <c r="EG81" s="42">
        <f t="shared" ca="1" si="403"/>
        <v>103.66286201105368</v>
      </c>
      <c r="EH81" s="36">
        <f t="shared" ca="1" si="123"/>
        <v>103.66286201105368</v>
      </c>
      <c r="EI81" s="36">
        <f t="shared" ca="1" si="124"/>
        <v>14.941000000000001</v>
      </c>
      <c r="EJ81" s="153">
        <f t="shared" ca="1" si="131"/>
        <v>1</v>
      </c>
      <c r="EK81" s="153" t="str">
        <f t="shared" ca="1" si="229"/>
        <v/>
      </c>
      <c r="EL81" s="153" t="str">
        <f t="shared" ca="1" si="132"/>
        <v/>
      </c>
      <c r="EM81" s="153">
        <f t="shared" ca="1" si="230"/>
        <v>1</v>
      </c>
      <c r="EN81" s="153">
        <f t="shared" ca="1" si="231"/>
        <v>0</v>
      </c>
    </row>
    <row r="82" spans="1:146" x14ac:dyDescent="0.3">
      <c r="A82" s="36">
        <f ca="1">IF($M$22=1,A81+'Auto X'!$E$6,A$48)</f>
        <v>76</v>
      </c>
      <c r="B82" s="35">
        <f>IF($M$22=2,B81+'Auto X'!$E$6,B$48)</f>
        <v>0.28399999999999997</v>
      </c>
      <c r="C82" s="39">
        <f>IF($M$22=3,C81+'Auto X'!$E$6,C$48)</f>
        <v>45295.440972222219</v>
      </c>
      <c r="D82" s="35">
        <f>IF($M$22=4,D81+'Auto X'!$E$6,D$48)</f>
        <v>2.5999999999999999E-2</v>
      </c>
      <c r="E82" s="35">
        <f>IF($M$22=5,E81+'Auto X'!$E$6,E$48)</f>
        <v>0.04</v>
      </c>
      <c r="F82" s="36">
        <f t="shared" si="117"/>
        <v>75</v>
      </c>
      <c r="G82" s="35">
        <f t="shared" ref="G82:G113" si="404">IF($M$22=2,$B82,G$48)</f>
        <v>0.28399999999999997</v>
      </c>
      <c r="H82" s="197">
        <f t="shared" si="125"/>
        <v>169.23611111111677</v>
      </c>
      <c r="I82" s="41">
        <f t="shared" ref="I82:I113" si="405">H82/365</f>
        <v>0.46366057838662128</v>
      </c>
      <c r="J82" s="40">
        <f t="shared" ca="1" si="328"/>
        <v>1.3245226750020723E-2</v>
      </c>
      <c r="K82" s="40">
        <f t="shared" si="329"/>
        <v>2.5189751902588361E-2</v>
      </c>
      <c r="L82" s="40">
        <f t="shared" si="330"/>
        <v>0.19338305926412305</v>
      </c>
      <c r="M82" s="42">
        <f t="shared" ca="1" si="331"/>
        <v>0.19875049447901483</v>
      </c>
      <c r="N82" s="42">
        <f t="shared" ca="1" si="332"/>
        <v>5.3674352148917748E-3</v>
      </c>
      <c r="O82" s="42">
        <f t="shared" ca="1" si="333"/>
        <v>0.57877103850402922</v>
      </c>
      <c r="P82" s="42">
        <f t="shared" ca="1" si="334"/>
        <v>0.42122896149597078</v>
      </c>
      <c r="Q82" s="42">
        <f t="shared" ca="1" si="335"/>
        <v>0.50214128656301482</v>
      </c>
      <c r="R82" s="42">
        <f t="shared" ca="1" si="336"/>
        <v>0.49785871343698523</v>
      </c>
      <c r="S82" s="42">
        <f t="shared" si="337"/>
        <v>0.98162450344672281</v>
      </c>
      <c r="T82" s="42">
        <f t="shared" si="338"/>
        <v>73.621837758504213</v>
      </c>
      <c r="U82" s="42">
        <f t="shared" si="339"/>
        <v>0.98801719747153338</v>
      </c>
      <c r="V82" s="42">
        <f t="shared" ca="1" si="340"/>
        <v>75.089307007836538</v>
      </c>
      <c r="W82" s="42">
        <f t="shared" ca="1" si="341"/>
        <v>0.39114012285127903</v>
      </c>
      <c r="X82" s="42">
        <f t="shared" ca="1" si="342"/>
        <v>5.0234826169522648</v>
      </c>
      <c r="Y82" s="42">
        <f t="shared" ca="1" si="19"/>
        <v>-0.41618145803109347</v>
      </c>
      <c r="Z82" s="42">
        <f t="shared" ca="1" si="20"/>
        <v>2.6294496139366505E-2</v>
      </c>
      <c r="AA82" s="42">
        <f t="shared" ref="AA82:AA113" ca="1" si="406">IF(OR($F$8&lt;=2,I82&lt;=0),0,(IF($F$8=3,-1*$E82*F82*S82*Q82+$D82*$A82*U82*O82,$E82*F82*S82*R82-$D82*$A82*U82*P82)-(W82*$A82*G82*U82/(2*SQRT(I82))))/365)</f>
        <v>-1.5016821016980781E-2</v>
      </c>
      <c r="AB82" s="42">
        <f t="shared" ca="1" si="22"/>
        <v>0.19999104533890802</v>
      </c>
      <c r="AC82" s="42">
        <f t="shared" ca="1" si="23"/>
        <v>-0.16994677957072021</v>
      </c>
      <c r="AD82" s="42">
        <f t="shared" ca="1" si="24"/>
        <v>711.74130847613242</v>
      </c>
      <c r="AF82" s="36">
        <f t="shared" si="118"/>
        <v>80</v>
      </c>
      <c r="AG82" s="35">
        <f t="shared" ref="AG82:AG113" si="407">IF($M$22=2,$B82,AG$48)</f>
        <v>0.28399999999999997</v>
      </c>
      <c r="AH82" s="197">
        <f t="shared" si="126"/>
        <v>169.23611111111677</v>
      </c>
      <c r="AI82" s="41">
        <f t="shared" ref="AI82:AI113" si="408">AH82/365</f>
        <v>0.46366057838662128</v>
      </c>
      <c r="AJ82" s="40">
        <f t="shared" ca="1" si="343"/>
        <v>-5.1293294387550578E-2</v>
      </c>
      <c r="AK82" s="40">
        <f t="shared" si="344"/>
        <v>2.5189751902588361E-2</v>
      </c>
      <c r="AL82" s="40">
        <f t="shared" si="345"/>
        <v>0.19338305926412305</v>
      </c>
      <c r="AM82" s="42">
        <f t="shared" ca="1" si="346"/>
        <v>-0.13498360499773632</v>
      </c>
      <c r="AN82" s="42">
        <f t="shared" ca="1" si="347"/>
        <v>-0.32836666426185934</v>
      </c>
      <c r="AO82" s="42">
        <f t="shared" ca="1" si="348"/>
        <v>0.44631241850135794</v>
      </c>
      <c r="AP82" s="42">
        <f t="shared" ca="1" si="349"/>
        <v>0.55368758149864206</v>
      </c>
      <c r="AQ82" s="42">
        <f t="shared" ca="1" si="350"/>
        <v>0.37131722246367027</v>
      </c>
      <c r="AR82" s="42">
        <f t="shared" ca="1" si="351"/>
        <v>0.62868277753632973</v>
      </c>
      <c r="AS82" s="42">
        <f t="shared" si="352"/>
        <v>0.98162450344672281</v>
      </c>
      <c r="AT82" s="42">
        <f t="shared" si="353"/>
        <v>78.529960275737821</v>
      </c>
      <c r="AU82" s="42">
        <f t="shared" si="354"/>
        <v>0.98801719747153338</v>
      </c>
      <c r="AV82" s="42">
        <f t="shared" ca="1" si="355"/>
        <v>75.089307007836538</v>
      </c>
      <c r="AW82" s="42">
        <f t="shared" ca="1" si="356"/>
        <v>0.3953243072168654</v>
      </c>
      <c r="AX82" s="42">
        <f t="shared" ca="1" si="357"/>
        <v>7.7944167523904397</v>
      </c>
      <c r="AY82" s="42">
        <f t="shared" ca="1" si="42"/>
        <v>-0.54705285254707958</v>
      </c>
      <c r="AZ82" s="42">
        <f t="shared" ca="1" si="43"/>
        <v>2.6575779017853358E-2</v>
      </c>
      <c r="BA82" s="42">
        <f t="shared" ref="BA82:BA113" ca="1" si="409">IF(OR($F$10&lt;=2,AI82&lt;=0),0,(IF($F$10=3,-1*$E82*AF82*AS82*AQ82+$D82*$A82*AU82*AO82,$E82*AF82*AS82*AR82-$D82*$A82*AU82*AP82)-(AW82*$A82*AG82*AU82/(2*SQRT(AI82))))/365)</f>
        <v>-1.4511166127534971E-2</v>
      </c>
      <c r="BB82" s="42">
        <f t="shared" ca="1" si="45"/>
        <v>0.20213043057779465</v>
      </c>
      <c r="BC82" s="42">
        <f t="shared" ca="1" si="46"/>
        <v>-0.22891123773122005</v>
      </c>
      <c r="BD82" s="42">
        <f t="shared" ca="1" si="47"/>
        <v>-1072.2083761952197</v>
      </c>
      <c r="BE82" s="40"/>
      <c r="BF82" s="36">
        <f t="shared" si="119"/>
        <v>90</v>
      </c>
      <c r="BG82" s="35">
        <f t="shared" ref="BG82:BG113" si="410">IF($M$22=2,$B82,BG$48)</f>
        <v>0.28399999999999997</v>
      </c>
      <c r="BH82" s="197">
        <f t="shared" si="127"/>
        <v>169.23611111111677</v>
      </c>
      <c r="BI82" s="41">
        <f t="shared" ref="BI82:BI113" si="411">BH82/365</f>
        <v>0.46366057838662128</v>
      </c>
      <c r="BJ82" s="40">
        <f t="shared" ca="1" si="358"/>
        <v>-0.16907633004393399</v>
      </c>
      <c r="BK82" s="40">
        <f t="shared" si="359"/>
        <v>2.5189751902588361E-2</v>
      </c>
      <c r="BL82" s="40">
        <f t="shared" si="360"/>
        <v>0.19338305926412305</v>
      </c>
      <c r="BM82" s="42">
        <f t="shared" ca="1" si="361"/>
        <v>-0.74404954957727198</v>
      </c>
      <c r="BN82" s="42">
        <f t="shared" ca="1" si="362"/>
        <v>-0.93743260884139501</v>
      </c>
      <c r="BO82" s="42">
        <f t="shared" ca="1" si="363"/>
        <v>0.22842324956923726</v>
      </c>
      <c r="BP82" s="42">
        <f t="shared" ca="1" si="364"/>
        <v>0.77157675043076268</v>
      </c>
      <c r="BQ82" s="42">
        <f t="shared" ca="1" si="365"/>
        <v>0.17426803693627835</v>
      </c>
      <c r="BR82" s="42">
        <f t="shared" ca="1" si="366"/>
        <v>0.82573196306372165</v>
      </c>
      <c r="BS82" s="42">
        <f t="shared" si="367"/>
        <v>0.98162450344672281</v>
      </c>
      <c r="BT82" s="42">
        <f t="shared" si="368"/>
        <v>88.34620531020505</v>
      </c>
      <c r="BU82" s="42">
        <f t="shared" si="369"/>
        <v>0.98801719747153338</v>
      </c>
      <c r="BV82" s="42">
        <f t="shared" ca="1" si="370"/>
        <v>75.089307007836538</v>
      </c>
      <c r="BW82" s="42">
        <f t="shared" ca="1" si="371"/>
        <v>0.3024790078919446</v>
      </c>
      <c r="BX82" s="42">
        <f t="shared" ca="1" si="372"/>
        <v>1.756223744453278</v>
      </c>
      <c r="BY82" s="42">
        <f t="shared" ca="1" si="65"/>
        <v>0.22568609887673843</v>
      </c>
      <c r="BZ82" s="42">
        <f t="shared" ca="1" si="66"/>
        <v>2.0334229705905867E-2</v>
      </c>
      <c r="CA82" s="42">
        <f t="shared" ref="CA82:CA113" ca="1" si="412">IF(OR($F$12&lt;=2,BI82&lt;=0),0,(IF($F$12=3,-1*$E82*BF82*BS82*BQ82+$D82*$A82*BU82*BO82,$E82*BF82*BS82*BR82-$D82*$A82*BU82*BP82)-(BW82*$A82*BG82*BU82/(2*SQRT(BI82))))/365)</f>
        <v>-1.3442260981412274E-2</v>
      </c>
      <c r="CB82" s="42">
        <f t="shared" ca="1" si="68"/>
        <v>0.15465836780029529</v>
      </c>
      <c r="CC82" s="42">
        <f t="shared" ca="1" si="69"/>
        <v>7.1384810654351399E-2</v>
      </c>
      <c r="CD82" s="42">
        <f t="shared" ca="1" si="70"/>
        <v>2521.8881277733608</v>
      </c>
      <c r="CE82" s="40"/>
      <c r="CF82" s="36">
        <f t="shared" si="120"/>
        <v>95</v>
      </c>
      <c r="CG82" s="35">
        <f t="shared" ref="CG82:CG113" si="413">IF($M$22=2,$B82,CG$48)</f>
        <v>0.28399999999999997</v>
      </c>
      <c r="CH82" s="197">
        <f t="shared" si="128"/>
        <v>169.23611111111677</v>
      </c>
      <c r="CI82" s="41">
        <f t="shared" ref="CI82:CI113" si="414">CH82/365</f>
        <v>0.46366057838662128</v>
      </c>
      <c r="CJ82" s="40">
        <f t="shared" ca="1" si="373"/>
        <v>-0.22314355131420971</v>
      </c>
      <c r="CK82" s="40">
        <f t="shared" si="374"/>
        <v>2.5189751902588361E-2</v>
      </c>
      <c r="CL82" s="40">
        <f t="shared" si="375"/>
        <v>0.19338305926412305</v>
      </c>
      <c r="CM82" s="42">
        <f t="shared" ca="1" si="376"/>
        <v>-1.0236356802136197</v>
      </c>
      <c r="CN82" s="42">
        <f t="shared" ca="1" si="377"/>
        <v>-1.2170187394777428</v>
      </c>
      <c r="CO82" s="42">
        <f t="shared" ca="1" si="378"/>
        <v>0.1530036929163871</v>
      </c>
      <c r="CP82" s="42">
        <f t="shared" ca="1" si="379"/>
        <v>0.84699630708361284</v>
      </c>
      <c r="CQ82" s="42">
        <f t="shared" ca="1" si="380"/>
        <v>0.11179854302242623</v>
      </c>
      <c r="CR82" s="42">
        <f t="shared" ca="1" si="381"/>
        <v>0.8882014569775738</v>
      </c>
      <c r="CS82" s="42">
        <f t="shared" si="382"/>
        <v>0.98162450344672281</v>
      </c>
      <c r="CT82" s="42">
        <f t="shared" si="383"/>
        <v>93.254327827438672</v>
      </c>
      <c r="CU82" s="42">
        <f t="shared" si="384"/>
        <v>0.98801719747153338</v>
      </c>
      <c r="CV82" s="42">
        <f t="shared" ca="1" si="385"/>
        <v>75.089307007836538</v>
      </c>
      <c r="CW82" s="42">
        <f t="shared" ca="1" si="386"/>
        <v>0.23625264046297795</v>
      </c>
      <c r="CX82" s="42">
        <f t="shared" ca="1" si="387"/>
        <v>1.0632432890879944</v>
      </c>
      <c r="CY82" s="42">
        <f t="shared" ca="1" si="88"/>
        <v>0.15117027987804388</v>
      </c>
      <c r="CZ82" s="42">
        <f t="shared" ca="1" si="89"/>
        <v>1.5882144990098407E-2</v>
      </c>
      <c r="DA82" s="42">
        <f t="shared" ref="DA82:DA113" ca="1" si="415">IF(OR($F$14&lt;=2,CI82&lt;=0),0,(IF($F$14=3,-1*$E82*CF82*CS82*CQ82+$D82*$A82*CU82*CO82,$E82*CF82*CS82*CR82-$D82*$A82*CU82*CP82)-(CW82*$A82*CG82*CU82/(2*SQRT(CI82))))/365)</f>
        <v>-1.0459768200336591E-2</v>
      </c>
      <c r="DB82" s="42">
        <f t="shared" ca="1" si="91"/>
        <v>0.12079663979712238</v>
      </c>
      <c r="DC82" s="42">
        <f t="shared" ca="1" si="92"/>
        <v>4.8339851562529818E-2</v>
      </c>
      <c r="DD82" s="42">
        <f t="shared" ca="1" si="93"/>
        <v>-2043.378355456003</v>
      </c>
      <c r="DE82" s="40"/>
      <c r="DF82" s="36">
        <f t="shared" si="121"/>
        <v>200</v>
      </c>
      <c r="DG82" s="35">
        <f t="shared" ref="DG82:DG113" si="416">IF($M$22=2,$B82,DG$48)</f>
        <v>0.28399999999999997</v>
      </c>
      <c r="DH82" s="197">
        <f t="shared" si="129"/>
        <v>169.23611111111677</v>
      </c>
      <c r="DI82" s="41">
        <f t="shared" ref="DI82:DI113" si="417">DH82/365</f>
        <v>0.46366057838662128</v>
      </c>
      <c r="DJ82" s="40">
        <f t="shared" ca="1" si="388"/>
        <v>-0.96758402626170559</v>
      </c>
      <c r="DK82" s="40">
        <f t="shared" si="389"/>
        <v>2.5189751902588361E-2</v>
      </c>
      <c r="DL82" s="40">
        <f t="shared" si="390"/>
        <v>0.19338305926412305</v>
      </c>
      <c r="DM82" s="42">
        <f t="shared" ca="1" si="391"/>
        <v>-4.8731997412037673</v>
      </c>
      <c r="DN82" s="42">
        <f t="shared" ca="1" si="392"/>
        <v>-5.0665828004678906</v>
      </c>
      <c r="DO82" s="42">
        <f t="shared" ca="1" si="393"/>
        <v>5.4902551792636021E-7</v>
      </c>
      <c r="DP82" s="42">
        <f t="shared" ca="1" si="394"/>
        <v>0.99999945097448206</v>
      </c>
      <c r="DQ82" s="42">
        <f t="shared" ca="1" si="395"/>
        <v>2.0251030965415422E-7</v>
      </c>
      <c r="DR82" s="42">
        <f t="shared" ca="1" si="396"/>
        <v>0.99999979748969037</v>
      </c>
      <c r="DS82" s="42">
        <f t="shared" si="397"/>
        <v>0.98162450344672281</v>
      </c>
      <c r="DT82" s="42">
        <f t="shared" si="398"/>
        <v>196.32490068934456</v>
      </c>
      <c r="DU82" s="42">
        <f t="shared" si="399"/>
        <v>0.98801719747153338</v>
      </c>
      <c r="DV82" s="42">
        <f t="shared" ca="1" si="400"/>
        <v>75.089307007836538</v>
      </c>
      <c r="DW82" s="42">
        <f t="shared" ca="1" si="401"/>
        <v>2.7802314118904745E-6</v>
      </c>
      <c r="DX82" s="42">
        <f t="shared" si="402"/>
        <v>0</v>
      </c>
      <c r="DY82" s="92">
        <f t="shared" si="111"/>
        <v>0</v>
      </c>
      <c r="DZ82" s="42">
        <f t="shared" si="112"/>
        <v>0</v>
      </c>
      <c r="EA82" s="42">
        <f t="shared" ref="EA82:EA113" si="418">IF(OR($F$16&lt;=2,DI82&lt;=0),0,(IF($F$16=3,-1*$E82*DF82*DS82*DQ82+$D82*$A82*DU82*DO82,$E82*DF82*DS82*DR82-$D82*$A82*DU82*DP82)-(DW82*$A82*DG82*DU82/(2*SQRT(DI82))))/365)</f>
        <v>0</v>
      </c>
      <c r="EB82" s="42">
        <f t="shared" si="114"/>
        <v>0</v>
      </c>
      <c r="EC82" s="42">
        <f t="shared" si="115"/>
        <v>0</v>
      </c>
      <c r="ED82" s="42">
        <f t="shared" ca="1" si="116"/>
        <v>0</v>
      </c>
      <c r="EE82" s="40"/>
      <c r="EF82" s="120">
        <f t="shared" ca="1" si="130"/>
        <v>76</v>
      </c>
      <c r="EG82" s="42">
        <f t="shared" ca="1" si="403"/>
        <v>118.0427045982708</v>
      </c>
      <c r="EH82" s="36">
        <f t="shared" ref="EH82:EH113" ca="1" si="419">IF($M$26=1,EG82,OFFSET($AD82,0,$M$26*26-52))</f>
        <v>118.0427045982708</v>
      </c>
      <c r="EI82" s="36">
        <f t="shared" ca="1" si="124"/>
        <v>14.38</v>
      </c>
      <c r="EJ82" s="153">
        <f t="shared" ca="1" si="131"/>
        <v>1</v>
      </c>
      <c r="EK82" s="153" t="str">
        <f t="shared" ca="1" si="229"/>
        <v/>
      </c>
      <c r="EL82" s="153" t="str">
        <f t="shared" ca="1" si="132"/>
        <v/>
      </c>
      <c r="EM82" s="153">
        <f t="shared" ca="1" si="230"/>
        <v>1</v>
      </c>
      <c r="EN82" s="153">
        <f t="shared" ca="1" si="231"/>
        <v>0</v>
      </c>
    </row>
    <row r="83" spans="1:146" x14ac:dyDescent="0.3">
      <c r="A83" s="36">
        <f ca="1">IF($M$22=1,A82+'Auto X'!$E$6,A$48)</f>
        <v>76.5</v>
      </c>
      <c r="B83" s="35">
        <f>IF($M$22=2,B82+'Auto X'!$E$6,B$48)</f>
        <v>0.28399999999999997</v>
      </c>
      <c r="C83" s="39">
        <f>IF($M$22=3,C82+'Auto X'!$E$6,C$48)</f>
        <v>45295.440972222219</v>
      </c>
      <c r="D83" s="35">
        <f>IF($M$22=4,D82+'Auto X'!$E$6,D$48)</f>
        <v>2.5999999999999999E-2</v>
      </c>
      <c r="E83" s="35">
        <f>IF($M$22=5,E82+'Auto X'!$E$6,E$48)</f>
        <v>0.04</v>
      </c>
      <c r="F83" s="36">
        <f t="shared" si="117"/>
        <v>75</v>
      </c>
      <c r="G83" s="35">
        <f t="shared" si="404"/>
        <v>0.28399999999999997</v>
      </c>
      <c r="H83" s="197">
        <f t="shared" si="125"/>
        <v>169.23611111111677</v>
      </c>
      <c r="I83" s="41">
        <f t="shared" si="405"/>
        <v>0.46366057838662128</v>
      </c>
      <c r="J83" s="40">
        <f t="shared" ca="1" si="328"/>
        <v>1.980262729617973E-2</v>
      </c>
      <c r="K83" s="40">
        <f t="shared" si="329"/>
        <v>2.5189751902588361E-2</v>
      </c>
      <c r="L83" s="40">
        <f t="shared" si="330"/>
        <v>0.19338305926412305</v>
      </c>
      <c r="M83" s="42">
        <f t="shared" ca="1" si="331"/>
        <v>0.2326593620453454</v>
      </c>
      <c r="N83" s="42">
        <f t="shared" ca="1" si="332"/>
        <v>3.927630278122235E-2</v>
      </c>
      <c r="O83" s="42">
        <f t="shared" ca="1" si="333"/>
        <v>0.5919870361706695</v>
      </c>
      <c r="P83" s="42">
        <f t="shared" ca="1" si="334"/>
        <v>0.4080129638293305</v>
      </c>
      <c r="Q83" s="42">
        <f t="shared" ca="1" si="335"/>
        <v>0.51566495016208436</v>
      </c>
      <c r="R83" s="42">
        <f t="shared" ca="1" si="336"/>
        <v>0.48433504983791564</v>
      </c>
      <c r="S83" s="42">
        <f t="shared" si="337"/>
        <v>0.98162450344672281</v>
      </c>
      <c r="T83" s="42">
        <f t="shared" si="338"/>
        <v>73.621837758504213</v>
      </c>
      <c r="U83" s="42">
        <f t="shared" si="339"/>
        <v>0.98801719747153338</v>
      </c>
      <c r="V83" s="42">
        <f t="shared" ca="1" si="340"/>
        <v>75.583315606572299</v>
      </c>
      <c r="W83" s="42">
        <f t="shared" ca="1" si="341"/>
        <v>0.38828964016457607</v>
      </c>
      <c r="X83" s="42">
        <f t="shared" ca="1" si="342"/>
        <v>4.8186638432388236</v>
      </c>
      <c r="Y83" s="42">
        <f t="shared" ca="1" si="19"/>
        <v>-0.40312382505470923</v>
      </c>
      <c r="Z83" s="42">
        <f t="shared" ca="1" si="20"/>
        <v>2.5932264697340651E-2</v>
      </c>
      <c r="AA83" s="42">
        <f t="shared" ca="1" si="406"/>
        <v>-1.5056903123698435E-2</v>
      </c>
      <c r="AB83" s="42">
        <f t="shared" ca="1" si="22"/>
        <v>0.19983972753098897</v>
      </c>
      <c r="AC83" s="42">
        <f t="shared" ca="1" si="23"/>
        <v>-0.16533040344908273</v>
      </c>
      <c r="AD83" s="42">
        <f t="shared" ref="AD83:AD114" ca="1" si="420">IF($F$8=1,0,IF($M$28=1,X83-$G$8,OFFSET(V83,0,$M$28))*IF($M$30=1,SIGN($B$8),$T$8))</f>
        <v>609.33192161941179</v>
      </c>
      <c r="AF83" s="36">
        <f t="shared" si="118"/>
        <v>80</v>
      </c>
      <c r="AG83" s="35">
        <f t="shared" si="407"/>
        <v>0.28399999999999997</v>
      </c>
      <c r="AH83" s="197">
        <f t="shared" si="126"/>
        <v>169.23611111111677</v>
      </c>
      <c r="AI83" s="41">
        <f t="shared" si="408"/>
        <v>0.46366057838662128</v>
      </c>
      <c r="AJ83" s="40">
        <f t="shared" ca="1" si="343"/>
        <v>-4.4735893841391414E-2</v>
      </c>
      <c r="AK83" s="40">
        <f t="shared" si="344"/>
        <v>2.5189751902588361E-2</v>
      </c>
      <c r="AL83" s="40">
        <f t="shared" si="345"/>
        <v>0.19338305926412305</v>
      </c>
      <c r="AM83" s="42">
        <f t="shared" ca="1" si="346"/>
        <v>-0.10107473743140491</v>
      </c>
      <c r="AN83" s="42">
        <f t="shared" ca="1" si="347"/>
        <v>-0.29445779669552796</v>
      </c>
      <c r="AO83" s="42">
        <f t="shared" ca="1" si="348"/>
        <v>0.45974556596821797</v>
      </c>
      <c r="AP83" s="42">
        <f t="shared" ca="1" si="349"/>
        <v>0.54025443403178208</v>
      </c>
      <c r="AQ83" s="42">
        <f t="shared" ca="1" si="350"/>
        <v>0.38420405396934204</v>
      </c>
      <c r="AR83" s="42">
        <f t="shared" ca="1" si="351"/>
        <v>0.6157959460306579</v>
      </c>
      <c r="AS83" s="42">
        <f t="shared" si="352"/>
        <v>0.98162450344672281</v>
      </c>
      <c r="AT83" s="42">
        <f t="shared" si="353"/>
        <v>78.529960275737821</v>
      </c>
      <c r="AU83" s="42">
        <f t="shared" si="354"/>
        <v>0.98801719747153338</v>
      </c>
      <c r="AV83" s="42">
        <f t="shared" ca="1" si="355"/>
        <v>75.583315606572299</v>
      </c>
      <c r="AW83" s="42">
        <f t="shared" ca="1" si="356"/>
        <v>0.39690965856591459</v>
      </c>
      <c r="AX83" s="42">
        <f t="shared" ca="1" si="357"/>
        <v>7.5242097844736762</v>
      </c>
      <c r="AY83" s="42">
        <f t="shared" ca="1" si="42"/>
        <v>-0.53378067183365074</v>
      </c>
      <c r="AZ83" s="42">
        <f t="shared" ca="1" si="43"/>
        <v>2.650796019821652E-2</v>
      </c>
      <c r="BA83" s="42">
        <f t="shared" ca="1" si="409"/>
        <v>-1.4749271092577204E-2</v>
      </c>
      <c r="BB83" s="42">
        <f t="shared" ca="1" si="45"/>
        <v>0.204276163506735</v>
      </c>
      <c r="BC83" s="42">
        <f t="shared" ca="1" si="46"/>
        <v>-0.22421898170671559</v>
      </c>
      <c r="BD83" s="42">
        <f t="shared" ref="BD83:BD114" ca="1" si="421">IF($F$10=1,0,IF($M$28=1,AX83-$G$10,OFFSET(AV83,0,$M$28))*IF($M$30=1,SIGN($B$10),$T$10))</f>
        <v>-937.10489223683794</v>
      </c>
      <c r="BE83" s="40"/>
      <c r="BF83" s="36">
        <f t="shared" si="119"/>
        <v>90</v>
      </c>
      <c r="BG83" s="35">
        <f t="shared" si="410"/>
        <v>0.28399999999999997</v>
      </c>
      <c r="BH83" s="197">
        <f t="shared" si="127"/>
        <v>169.23611111111677</v>
      </c>
      <c r="BI83" s="41">
        <f t="shared" si="411"/>
        <v>0.46366057838662128</v>
      </c>
      <c r="BJ83" s="40">
        <f t="shared" ca="1" si="358"/>
        <v>-0.16251892949777494</v>
      </c>
      <c r="BK83" s="40">
        <f t="shared" si="359"/>
        <v>2.5189751902588361E-2</v>
      </c>
      <c r="BL83" s="40">
        <f t="shared" si="360"/>
        <v>0.19338305926412305</v>
      </c>
      <c r="BM83" s="42">
        <f t="shared" ca="1" si="361"/>
        <v>-0.71014068201094116</v>
      </c>
      <c r="BN83" s="42">
        <f t="shared" ca="1" si="362"/>
        <v>-0.90352374127506418</v>
      </c>
      <c r="BO83" s="42">
        <f t="shared" ca="1" si="363"/>
        <v>0.23880845036414491</v>
      </c>
      <c r="BP83" s="42">
        <f t="shared" ca="1" si="364"/>
        <v>0.76119154963585511</v>
      </c>
      <c r="BQ83" s="42">
        <f t="shared" ca="1" si="365"/>
        <v>0.18312399689592579</v>
      </c>
      <c r="BR83" s="42">
        <f t="shared" ca="1" si="366"/>
        <v>0.81687600310407427</v>
      </c>
      <c r="BS83" s="42">
        <f t="shared" si="367"/>
        <v>0.98162450344672281</v>
      </c>
      <c r="BT83" s="42">
        <f t="shared" si="368"/>
        <v>88.34620531020505</v>
      </c>
      <c r="BU83" s="42">
        <f t="shared" si="369"/>
        <v>0.98801719747153338</v>
      </c>
      <c r="BV83" s="42">
        <f t="shared" ca="1" si="370"/>
        <v>75.583315606572299</v>
      </c>
      <c r="BW83" s="42">
        <f t="shared" ca="1" si="371"/>
        <v>0.31002931318000487</v>
      </c>
      <c r="BX83" s="42">
        <f t="shared" ca="1" si="372"/>
        <v>1.8716242463968058</v>
      </c>
      <c r="BY83" s="42">
        <f t="shared" ca="1" si="65"/>
        <v>0.23594685586130223</v>
      </c>
      <c r="BZ83" s="42">
        <f t="shared" ca="1" si="66"/>
        <v>2.0705580014730669E-2</v>
      </c>
      <c r="CA83" s="42">
        <f t="shared" ca="1" si="412"/>
        <v>-1.3875475304301917E-2</v>
      </c>
      <c r="CB83" s="42">
        <f t="shared" ca="1" si="68"/>
        <v>0.15956174737562345</v>
      </c>
      <c r="CC83" s="42">
        <f t="shared" ca="1" si="69"/>
        <v>7.5012446771656777E-2</v>
      </c>
      <c r="CD83" s="42">
        <f t="shared" ref="CD83:CD114" ca="1" si="422">IF($F$12=1,0,IF($M$28=1,BX83-$G$12,OFFSET(BV83,0,$M$28))*IF($M$30=1,SIGN($B$12),$T$12))</f>
        <v>2464.1878768015972</v>
      </c>
      <c r="CE83" s="40"/>
      <c r="CF83" s="36">
        <f t="shared" si="120"/>
        <v>95</v>
      </c>
      <c r="CG83" s="35">
        <f t="shared" si="413"/>
        <v>0.28399999999999997</v>
      </c>
      <c r="CH83" s="197">
        <f t="shared" si="128"/>
        <v>169.23611111111677</v>
      </c>
      <c r="CI83" s="41">
        <f t="shared" si="414"/>
        <v>0.46366057838662128</v>
      </c>
      <c r="CJ83" s="40">
        <f t="shared" ca="1" si="373"/>
        <v>-0.21658615076805074</v>
      </c>
      <c r="CK83" s="40">
        <f t="shared" si="374"/>
        <v>2.5189751902588361E-2</v>
      </c>
      <c r="CL83" s="40">
        <f t="shared" si="375"/>
        <v>0.19338305926412305</v>
      </c>
      <c r="CM83" s="42">
        <f t="shared" ca="1" si="376"/>
        <v>-0.98972681264728946</v>
      </c>
      <c r="CN83" s="42">
        <f t="shared" ca="1" si="377"/>
        <v>-1.1831098719114126</v>
      </c>
      <c r="CO83" s="42">
        <f t="shared" ca="1" si="378"/>
        <v>0.16115383289219906</v>
      </c>
      <c r="CP83" s="42">
        <f t="shared" ca="1" si="379"/>
        <v>0.83884616710780091</v>
      </c>
      <c r="CQ83" s="42">
        <f t="shared" ca="1" si="380"/>
        <v>0.1183828029600401</v>
      </c>
      <c r="CR83" s="42">
        <f t="shared" ca="1" si="381"/>
        <v>0.88161719703995989</v>
      </c>
      <c r="CS83" s="42">
        <f t="shared" si="382"/>
        <v>0.98162450344672281</v>
      </c>
      <c r="CT83" s="42">
        <f t="shared" si="383"/>
        <v>93.254327827438672</v>
      </c>
      <c r="CU83" s="42">
        <f t="shared" si="384"/>
        <v>0.98801719747153338</v>
      </c>
      <c r="CV83" s="42">
        <f t="shared" ca="1" si="385"/>
        <v>75.583315606572299</v>
      </c>
      <c r="CW83" s="42">
        <f t="shared" ca="1" si="386"/>
        <v>0.24445644743332137</v>
      </c>
      <c r="CX83" s="42">
        <f t="shared" ca="1" si="387"/>
        <v>1.1408322963332385</v>
      </c>
      <c r="CY83" s="42">
        <f t="shared" ca="1" si="88"/>
        <v>0.15922275833594632</v>
      </c>
      <c r="CZ83" s="42">
        <f t="shared" ca="1" si="89"/>
        <v>1.632623857573311E-2</v>
      </c>
      <c r="DA83" s="42">
        <f t="shared" ca="1" si="415"/>
        <v>-1.0898746043454841E-2</v>
      </c>
      <c r="DB83" s="42">
        <f t="shared" ca="1" si="91"/>
        <v>0.12581358036635373</v>
      </c>
      <c r="DC83" s="42">
        <f t="shared" ca="1" si="92"/>
        <v>5.1186777286503879E-2</v>
      </c>
      <c r="DD83" s="42">
        <f t="shared" ref="DD83:DD114" ca="1" si="423">IF($F$14=1,0,IF($M$28=1,CX83-$G$14,OFFSET(CV83,0,$M$28))*IF($M$30=1,SIGN($B$14),$T$14))</f>
        <v>-2004.583851833381</v>
      </c>
      <c r="DE83" s="40"/>
      <c r="DF83" s="36">
        <f t="shared" si="121"/>
        <v>200</v>
      </c>
      <c r="DG83" s="35">
        <f t="shared" si="416"/>
        <v>0.28399999999999997</v>
      </c>
      <c r="DH83" s="197">
        <f t="shared" si="129"/>
        <v>169.23611111111677</v>
      </c>
      <c r="DI83" s="41">
        <f t="shared" si="417"/>
        <v>0.46366057838662128</v>
      </c>
      <c r="DJ83" s="40">
        <f t="shared" ca="1" si="388"/>
        <v>-0.96102662571554653</v>
      </c>
      <c r="DK83" s="40">
        <f t="shared" si="389"/>
        <v>2.5189751902588361E-2</v>
      </c>
      <c r="DL83" s="40">
        <f t="shared" si="390"/>
        <v>0.19338305926412305</v>
      </c>
      <c r="DM83" s="42">
        <f t="shared" ca="1" si="391"/>
        <v>-4.8392908736374363</v>
      </c>
      <c r="DN83" s="42">
        <f t="shared" ca="1" si="392"/>
        <v>-5.0326739329015595</v>
      </c>
      <c r="DO83" s="42">
        <f t="shared" ca="1" si="393"/>
        <v>6.5151610642033757E-7</v>
      </c>
      <c r="DP83" s="42">
        <f t="shared" ca="1" si="394"/>
        <v>0.9999993484838936</v>
      </c>
      <c r="DQ83" s="42">
        <f t="shared" ca="1" si="395"/>
        <v>2.4184271040176227E-7</v>
      </c>
      <c r="DR83" s="42">
        <f t="shared" ca="1" si="396"/>
        <v>0.99999975815728959</v>
      </c>
      <c r="DS83" s="42">
        <f t="shared" si="397"/>
        <v>0.98162450344672281</v>
      </c>
      <c r="DT83" s="42">
        <f t="shared" si="398"/>
        <v>196.32490068934456</v>
      </c>
      <c r="DU83" s="42">
        <f t="shared" si="399"/>
        <v>0.98801719747153338</v>
      </c>
      <c r="DV83" s="42">
        <f t="shared" ca="1" si="400"/>
        <v>75.583315606572299</v>
      </c>
      <c r="DW83" s="42">
        <f t="shared" ca="1" si="401"/>
        <v>3.2779031843973145E-6</v>
      </c>
      <c r="DX83" s="42">
        <f t="shared" si="402"/>
        <v>0</v>
      </c>
      <c r="DY83" s="92">
        <f t="shared" si="111"/>
        <v>0</v>
      </c>
      <c r="DZ83" s="42">
        <f t="shared" si="112"/>
        <v>0</v>
      </c>
      <c r="EA83" s="42">
        <f t="shared" si="418"/>
        <v>0</v>
      </c>
      <c r="EB83" s="42">
        <f t="shared" si="114"/>
        <v>0</v>
      </c>
      <c r="EC83" s="42">
        <f t="shared" si="115"/>
        <v>0</v>
      </c>
      <c r="ED83" s="42">
        <f t="shared" ref="ED83:ED114" ca="1" si="424">IF($F$16=1,0,IF($M$28=1,DX83-$G$16,OFFSET(DV83,0,$M$28))*IF($M$30=1,SIGN($B$16),$T$16))</f>
        <v>0</v>
      </c>
      <c r="EE83" s="40"/>
      <c r="EF83" s="120">
        <f t="shared" ca="1" si="130"/>
        <v>76.5</v>
      </c>
      <c r="EG83" s="42">
        <f t="shared" ca="1" si="403"/>
        <v>131.83105435078983</v>
      </c>
      <c r="EH83" s="36">
        <f t="shared" ca="1" si="419"/>
        <v>131.83105435078983</v>
      </c>
      <c r="EI83" s="36">
        <f t="shared" ca="1" si="124"/>
        <v>13.788</v>
      </c>
      <c r="EJ83" s="153">
        <f t="shared" ca="1" si="131"/>
        <v>1</v>
      </c>
      <c r="EK83" s="153" t="str">
        <f t="shared" ca="1" si="229"/>
        <v/>
      </c>
      <c r="EL83" s="153" t="str">
        <f ca="1">IF(EK83="",IF(OR(AND(EH83=0,EH82&lt;&gt;0),AND(EH83&lt;&gt;0,SIGN(EH83)=-SIGN(EH82))),"B/E ALL",""),EK83)</f>
        <v/>
      </c>
      <c r="EM83" s="153">
        <f t="shared" ca="1" si="230"/>
        <v>1</v>
      </c>
      <c r="EN83" s="153">
        <f t="shared" ca="1" si="231"/>
        <v>0</v>
      </c>
    </row>
    <row r="84" spans="1:146" x14ac:dyDescent="0.3">
      <c r="A84" s="36">
        <f ca="1">IF($M$22=1,A83+'Auto X'!$E$6,A$48)</f>
        <v>77</v>
      </c>
      <c r="B84" s="35">
        <f>IF($M$22=2,B83+'Auto X'!$E$6,B$48)</f>
        <v>0.28399999999999997</v>
      </c>
      <c r="C84" s="39">
        <f>IF($M$22=3,C83+'Auto X'!$E$6,C$48)</f>
        <v>45295.440972222219</v>
      </c>
      <c r="D84" s="35">
        <f>IF($M$22=4,D83+'Auto X'!$E$6,D$48)</f>
        <v>2.5999999999999999E-2</v>
      </c>
      <c r="E84" s="35">
        <f>IF($M$22=5,E83+'Auto X'!$E$6,E$48)</f>
        <v>0.04</v>
      </c>
      <c r="F84" s="36">
        <f t="shared" si="117"/>
        <v>75</v>
      </c>
      <c r="G84" s="35">
        <f t="shared" si="404"/>
        <v>0.28399999999999997</v>
      </c>
      <c r="H84" s="197">
        <f t="shared" si="125"/>
        <v>169.23611111111677</v>
      </c>
      <c r="I84" s="41">
        <f t="shared" si="405"/>
        <v>0.46366057838662128</v>
      </c>
      <c r="J84" s="40">
        <f t="shared" ca="1" si="328"/>
        <v>2.6317308317373358E-2</v>
      </c>
      <c r="K84" s="40">
        <f t="shared" si="329"/>
        <v>2.5189751902588361E-2</v>
      </c>
      <c r="L84" s="40">
        <f t="shared" si="330"/>
        <v>0.19338305926412305</v>
      </c>
      <c r="M84" s="42">
        <f t="shared" ca="1" si="331"/>
        <v>0.26634732336927847</v>
      </c>
      <c r="N84" s="42">
        <f t="shared" ca="1" si="332"/>
        <v>7.2964264105155413E-2</v>
      </c>
      <c r="O84" s="42">
        <f t="shared" ca="1" si="333"/>
        <v>0.60501413493799139</v>
      </c>
      <c r="P84" s="42">
        <f t="shared" ca="1" si="334"/>
        <v>0.39498586506200856</v>
      </c>
      <c r="Q84" s="42">
        <f t="shared" ca="1" si="335"/>
        <v>0.52908272260202471</v>
      </c>
      <c r="R84" s="42">
        <f t="shared" ca="1" si="336"/>
        <v>0.47091727739797523</v>
      </c>
      <c r="S84" s="42">
        <f t="shared" si="337"/>
        <v>0.98162450344672281</v>
      </c>
      <c r="T84" s="42">
        <f t="shared" si="338"/>
        <v>73.621837758504213</v>
      </c>
      <c r="U84" s="42">
        <f t="shared" si="339"/>
        <v>0.98801719747153338</v>
      </c>
      <c r="V84" s="42">
        <f t="shared" ca="1" si="340"/>
        <v>76.077324205308074</v>
      </c>
      <c r="W84" s="42">
        <f t="shared" ca="1" si="341"/>
        <v>0.38503964285616771</v>
      </c>
      <c r="X84" s="42">
        <f t="shared" ca="1" si="342"/>
        <v>4.6203276814337606</v>
      </c>
      <c r="Y84" s="42">
        <f t="shared" ca="1" si="19"/>
        <v>-0.39025282743943501</v>
      </c>
      <c r="Z84" s="42">
        <f t="shared" ca="1" si="20"/>
        <v>2.5548228884124818E-2</v>
      </c>
      <c r="AA84" s="42">
        <f t="shared" ca="1" si="406"/>
        <v>-1.5077250011538859E-2</v>
      </c>
      <c r="AB84" s="42">
        <f t="shared" ca="1" si="22"/>
        <v>0.19946227186806081</v>
      </c>
      <c r="AC84" s="42">
        <f t="shared" ca="1" si="23"/>
        <v>-0.16075017385053164</v>
      </c>
      <c r="AD84" s="42">
        <f t="shared" ca="1" si="420"/>
        <v>510.16384071688026</v>
      </c>
      <c r="AF84" s="36">
        <f t="shared" si="118"/>
        <v>80</v>
      </c>
      <c r="AG84" s="35">
        <f t="shared" si="407"/>
        <v>0.28399999999999997</v>
      </c>
      <c r="AH84" s="197">
        <f t="shared" si="126"/>
        <v>169.23611111111677</v>
      </c>
      <c r="AI84" s="41">
        <f t="shared" si="408"/>
        <v>0.46366057838662128</v>
      </c>
      <c r="AJ84" s="40">
        <f t="shared" ca="1" si="343"/>
        <v>-3.8221212820197741E-2</v>
      </c>
      <c r="AK84" s="40">
        <f t="shared" si="344"/>
        <v>2.5189751902588361E-2</v>
      </c>
      <c r="AL84" s="40">
        <f t="shared" si="345"/>
        <v>0.19338305926412305</v>
      </c>
      <c r="AM84" s="42">
        <f t="shared" ca="1" si="346"/>
        <v>-6.7386776107471638E-2</v>
      </c>
      <c r="AN84" s="42">
        <f t="shared" ca="1" si="347"/>
        <v>-0.2607698353715947</v>
      </c>
      <c r="AO84" s="42">
        <f t="shared" ca="1" si="348"/>
        <v>0.47313689819821436</v>
      </c>
      <c r="AP84" s="42">
        <f t="shared" ca="1" si="349"/>
        <v>0.52686310180178564</v>
      </c>
      <c r="AQ84" s="42">
        <f t="shared" ca="1" si="350"/>
        <v>0.39713500384034717</v>
      </c>
      <c r="AR84" s="42">
        <f t="shared" ca="1" si="351"/>
        <v>0.60286499615965283</v>
      </c>
      <c r="AS84" s="42">
        <f t="shared" si="352"/>
        <v>0.98162450344672281</v>
      </c>
      <c r="AT84" s="42">
        <f t="shared" si="353"/>
        <v>78.529960275737821</v>
      </c>
      <c r="AU84" s="42">
        <f t="shared" si="354"/>
        <v>0.98801719747153338</v>
      </c>
      <c r="AV84" s="42">
        <f t="shared" ca="1" si="355"/>
        <v>76.077324205308074</v>
      </c>
      <c r="AW84" s="42">
        <f t="shared" ca="1" si="356"/>
        <v>0.39803751394283565</v>
      </c>
      <c r="AX84" s="42">
        <f t="shared" ca="1" si="357"/>
        <v>7.2606291924616926</v>
      </c>
      <c r="AY84" s="42">
        <f t="shared" ca="1" si="42"/>
        <v>-0.52054980529335948</v>
      </c>
      <c r="AZ84" s="42">
        <f t="shared" ca="1" si="43"/>
        <v>2.6410666276454799E-2</v>
      </c>
      <c r="BA84" s="42">
        <f t="shared" ca="1" si="409"/>
        <v>-1.4968046290288022E-2</v>
      </c>
      <c r="BB84" s="42">
        <f t="shared" ca="1" si="45"/>
        <v>0.20619556529510524</v>
      </c>
      <c r="BC84" s="42">
        <f t="shared" ca="1" si="46"/>
        <v>-0.21951066163532459</v>
      </c>
      <c r="BD84" s="42">
        <f t="shared" ca="1" si="421"/>
        <v>-805.31459623084606</v>
      </c>
      <c r="BE84" s="40"/>
      <c r="BF84" s="36">
        <f t="shared" si="119"/>
        <v>90</v>
      </c>
      <c r="BG84" s="35">
        <f t="shared" si="410"/>
        <v>0.28399999999999997</v>
      </c>
      <c r="BH84" s="197">
        <f t="shared" si="127"/>
        <v>169.23611111111677</v>
      </c>
      <c r="BI84" s="41">
        <f t="shared" si="411"/>
        <v>0.46366057838662128</v>
      </c>
      <c r="BJ84" s="40">
        <f t="shared" ca="1" si="358"/>
        <v>-0.15600424847658126</v>
      </c>
      <c r="BK84" s="40">
        <f t="shared" si="359"/>
        <v>2.5189751902588361E-2</v>
      </c>
      <c r="BL84" s="40">
        <f t="shared" si="360"/>
        <v>0.19338305926412305</v>
      </c>
      <c r="BM84" s="42">
        <f t="shared" ca="1" si="361"/>
        <v>-0.67645272068700779</v>
      </c>
      <c r="BN84" s="42">
        <f t="shared" ca="1" si="362"/>
        <v>-0.86983577995113082</v>
      </c>
      <c r="BO84" s="42">
        <f t="shared" ca="1" si="363"/>
        <v>0.24937662713056818</v>
      </c>
      <c r="BP84" s="42">
        <f t="shared" ca="1" si="364"/>
        <v>0.75062337286943182</v>
      </c>
      <c r="BQ84" s="42">
        <f t="shared" ca="1" si="365"/>
        <v>0.19219507752291717</v>
      </c>
      <c r="BR84" s="42">
        <f t="shared" ca="1" si="366"/>
        <v>0.8078049224770828</v>
      </c>
      <c r="BS84" s="42">
        <f t="shared" si="367"/>
        <v>0.98162450344672281</v>
      </c>
      <c r="BT84" s="42">
        <f t="shared" si="368"/>
        <v>88.34620531020505</v>
      </c>
      <c r="BU84" s="42">
        <f t="shared" si="369"/>
        <v>0.98801719747153338</v>
      </c>
      <c r="BV84" s="42">
        <f t="shared" ca="1" si="370"/>
        <v>76.077324205308074</v>
      </c>
      <c r="BW84" s="42">
        <f t="shared" ca="1" si="371"/>
        <v>0.31735550237705867</v>
      </c>
      <c r="BX84" s="42">
        <f t="shared" ca="1" si="372"/>
        <v>1.9922007329880458</v>
      </c>
      <c r="BY84" s="42">
        <f t="shared" ca="1" si="65"/>
        <v>0.24638839625244754</v>
      </c>
      <c r="BZ84" s="42">
        <f t="shared" ca="1" si="66"/>
        <v>2.1057236995709095E-2</v>
      </c>
      <c r="CA84" s="42">
        <f t="shared" ca="1" si="412"/>
        <v>-1.4303570545795579E-2</v>
      </c>
      <c r="CB84" s="42">
        <f t="shared" ca="1" si="68"/>
        <v>0.16439982393606134</v>
      </c>
      <c r="CC84" s="42">
        <f t="shared" ca="1" si="69"/>
        <v>7.872820202070975E-2</v>
      </c>
      <c r="CD84" s="42">
        <f t="shared" ca="1" si="422"/>
        <v>2403.8996335059769</v>
      </c>
      <c r="CE84" s="40"/>
      <c r="CF84" s="36">
        <f t="shared" si="120"/>
        <v>95</v>
      </c>
      <c r="CG84" s="35">
        <f t="shared" si="413"/>
        <v>0.28399999999999997</v>
      </c>
      <c r="CH84" s="197">
        <f t="shared" si="128"/>
        <v>169.23611111111677</v>
      </c>
      <c r="CI84" s="41">
        <f t="shared" si="414"/>
        <v>0.46366057838662128</v>
      </c>
      <c r="CJ84" s="40">
        <f t="shared" ca="1" si="373"/>
        <v>-0.21007146974685703</v>
      </c>
      <c r="CK84" s="40">
        <f t="shared" si="374"/>
        <v>2.5189751902588361E-2</v>
      </c>
      <c r="CL84" s="40">
        <f t="shared" si="375"/>
        <v>0.19338305926412305</v>
      </c>
      <c r="CM84" s="42">
        <f t="shared" ca="1" si="376"/>
        <v>-0.95603885132335586</v>
      </c>
      <c r="CN84" s="42">
        <f t="shared" ca="1" si="377"/>
        <v>-1.149421910587479</v>
      </c>
      <c r="CO84" s="42">
        <f t="shared" ca="1" si="378"/>
        <v>0.16952630317431425</v>
      </c>
      <c r="CP84" s="42">
        <f t="shared" ca="1" si="379"/>
        <v>0.83047369682568573</v>
      </c>
      <c r="CQ84" s="42">
        <f t="shared" ca="1" si="380"/>
        <v>0.12519102478813529</v>
      </c>
      <c r="CR84" s="42">
        <f t="shared" ca="1" si="381"/>
        <v>0.87480897521186474</v>
      </c>
      <c r="CS84" s="42">
        <f t="shared" si="382"/>
        <v>0.98162450344672281</v>
      </c>
      <c r="CT84" s="42">
        <f t="shared" si="383"/>
        <v>93.254327827438672</v>
      </c>
      <c r="CU84" s="42">
        <f t="shared" si="384"/>
        <v>0.98801719747153338</v>
      </c>
      <c r="CV84" s="42">
        <f t="shared" ca="1" si="385"/>
        <v>76.077324205308074</v>
      </c>
      <c r="CW84" s="42">
        <f t="shared" ca="1" si="386"/>
        <v>0.25260110973517308</v>
      </c>
      <c r="CX84" s="42">
        <f t="shared" ca="1" si="387"/>
        <v>1.2225026612738841</v>
      </c>
      <c r="CY84" s="42">
        <f t="shared" ca="1" si="88"/>
        <v>0.16749490295999547</v>
      </c>
      <c r="CZ84" s="42">
        <f t="shared" ca="1" si="89"/>
        <v>1.676064033310163E-2</v>
      </c>
      <c r="DA84" s="42">
        <f t="shared" ca="1" si="415"/>
        <v>-1.1340294462251422E-2</v>
      </c>
      <c r="DB84" s="42">
        <f t="shared" ca="1" si="91"/>
        <v>0.13085507468900326</v>
      </c>
      <c r="DC84" s="42">
        <f t="shared" ca="1" si="92"/>
        <v>5.4130540449042398E-2</v>
      </c>
      <c r="DD84" s="42">
        <f t="shared" ca="1" si="423"/>
        <v>-1963.7486693630581</v>
      </c>
      <c r="DE84" s="40"/>
      <c r="DF84" s="36">
        <f t="shared" si="121"/>
        <v>200</v>
      </c>
      <c r="DG84" s="35">
        <f t="shared" si="416"/>
        <v>0.28399999999999997</v>
      </c>
      <c r="DH84" s="197">
        <f t="shared" si="129"/>
        <v>169.23611111111677</v>
      </c>
      <c r="DI84" s="41">
        <f t="shared" si="417"/>
        <v>0.46366057838662128</v>
      </c>
      <c r="DJ84" s="40">
        <f t="shared" ca="1" si="388"/>
        <v>-0.95451194469435285</v>
      </c>
      <c r="DK84" s="40">
        <f t="shared" si="389"/>
        <v>2.5189751902588361E-2</v>
      </c>
      <c r="DL84" s="40">
        <f t="shared" si="390"/>
        <v>0.19338305926412305</v>
      </c>
      <c r="DM84" s="42">
        <f t="shared" ca="1" si="391"/>
        <v>-4.8056029123135033</v>
      </c>
      <c r="DN84" s="42">
        <f t="shared" ca="1" si="392"/>
        <v>-4.9989859715776266</v>
      </c>
      <c r="DO84" s="42">
        <f t="shared" ca="1" si="393"/>
        <v>7.7142925008592392E-7</v>
      </c>
      <c r="DP84" s="42">
        <f t="shared" ca="1" si="394"/>
        <v>0.99999922857074997</v>
      </c>
      <c r="DQ84" s="42">
        <f t="shared" ca="1" si="395"/>
        <v>2.8816297574301026E-7</v>
      </c>
      <c r="DR84" s="42">
        <f t="shared" ca="1" si="396"/>
        <v>0.9999997118370243</v>
      </c>
      <c r="DS84" s="42">
        <f t="shared" si="397"/>
        <v>0.98162450344672281</v>
      </c>
      <c r="DT84" s="42">
        <f t="shared" si="398"/>
        <v>196.32490068934456</v>
      </c>
      <c r="DU84" s="42">
        <f t="shared" si="399"/>
        <v>0.98801719747153338</v>
      </c>
      <c r="DV84" s="42">
        <f t="shared" ca="1" si="400"/>
        <v>76.077324205308074</v>
      </c>
      <c r="DW84" s="42">
        <f t="shared" ca="1" si="401"/>
        <v>3.8561232882906382E-6</v>
      </c>
      <c r="DX84" s="42">
        <f t="shared" si="402"/>
        <v>0</v>
      </c>
      <c r="DY84" s="92">
        <f t="shared" si="111"/>
        <v>0</v>
      </c>
      <c r="DZ84" s="42">
        <f t="shared" si="112"/>
        <v>0</v>
      </c>
      <c r="EA84" s="42">
        <f t="shared" si="418"/>
        <v>0</v>
      </c>
      <c r="EB84" s="42">
        <f t="shared" si="114"/>
        <v>0</v>
      </c>
      <c r="EC84" s="42">
        <f t="shared" si="115"/>
        <v>0</v>
      </c>
      <c r="ED84" s="42">
        <f t="shared" ca="1" si="424"/>
        <v>0</v>
      </c>
      <c r="EE84" s="40"/>
      <c r="EF84" s="120">
        <f t="shared" ca="1" si="130"/>
        <v>77</v>
      </c>
      <c r="EG84" s="42">
        <f t="shared" ca="1" si="403"/>
        <v>145.00020862895326</v>
      </c>
      <c r="EH84" s="36">
        <f t="shared" ca="1" si="419"/>
        <v>145.00020862895326</v>
      </c>
      <c r="EI84" s="36">
        <f t="shared" ca="1" si="124"/>
        <v>13.169</v>
      </c>
      <c r="EJ84" s="153">
        <f t="shared" ca="1" si="131"/>
        <v>1</v>
      </c>
      <c r="EK84" s="153" t="str">
        <f t="shared" ca="1" si="229"/>
        <v/>
      </c>
      <c r="EL84" s="153" t="str">
        <f t="shared" ca="1" si="132"/>
        <v/>
      </c>
      <c r="EM84" s="153">
        <f t="shared" ca="1" si="230"/>
        <v>1</v>
      </c>
      <c r="EN84" s="153">
        <f t="shared" ca="1" si="231"/>
        <v>0</v>
      </c>
    </row>
    <row r="85" spans="1:146" x14ac:dyDescent="0.3">
      <c r="A85" s="36">
        <f ca="1">IF($M$22=1,A84+'Auto X'!$E$6,A$48)</f>
        <v>77.5</v>
      </c>
      <c r="B85" s="35">
        <f>IF($M$22=2,B84+'Auto X'!$E$6,B$48)</f>
        <v>0.28399999999999997</v>
      </c>
      <c r="C85" s="39">
        <f>IF($M$22=3,C84+'Auto X'!$E$6,C$48)</f>
        <v>45295.440972222219</v>
      </c>
      <c r="D85" s="35">
        <f>IF($M$22=4,D84+'Auto X'!$E$6,D$48)</f>
        <v>2.5999999999999999E-2</v>
      </c>
      <c r="E85" s="35">
        <f>IF($M$22=5,E84+'Auto X'!$E$6,E$48)</f>
        <v>0.04</v>
      </c>
      <c r="F85" s="36">
        <f t="shared" si="117"/>
        <v>75</v>
      </c>
      <c r="G85" s="35">
        <f t="shared" si="404"/>
        <v>0.28399999999999997</v>
      </c>
      <c r="H85" s="197">
        <f t="shared" si="125"/>
        <v>169.23611111111677</v>
      </c>
      <c r="I85" s="41">
        <f t="shared" si="405"/>
        <v>0.46366057838662128</v>
      </c>
      <c r="J85" s="40">
        <f t="shared" ca="1" si="328"/>
        <v>3.278982282299097E-2</v>
      </c>
      <c r="K85" s="40">
        <f t="shared" si="329"/>
        <v>2.5189751902588361E-2</v>
      </c>
      <c r="L85" s="40">
        <f t="shared" si="330"/>
        <v>0.19338305926412305</v>
      </c>
      <c r="M85" s="42">
        <f t="shared" ca="1" si="331"/>
        <v>0.29981723810869437</v>
      </c>
      <c r="N85" s="42">
        <f t="shared" ca="1" si="332"/>
        <v>0.10643417884457132</v>
      </c>
      <c r="O85" s="42">
        <f t="shared" ca="1" si="333"/>
        <v>0.61784171711996916</v>
      </c>
      <c r="P85" s="42">
        <f t="shared" ca="1" si="334"/>
        <v>0.38215828288003084</v>
      </c>
      <c r="Q85" s="42">
        <f t="shared" ca="1" si="335"/>
        <v>0.542381061857518</v>
      </c>
      <c r="R85" s="42">
        <f t="shared" ca="1" si="336"/>
        <v>0.45761893814248206</v>
      </c>
      <c r="S85" s="42">
        <f t="shared" si="337"/>
        <v>0.98162450344672281</v>
      </c>
      <c r="T85" s="42">
        <f t="shared" si="338"/>
        <v>73.621837758504213</v>
      </c>
      <c r="U85" s="42">
        <f t="shared" si="339"/>
        <v>0.98801719747153338</v>
      </c>
      <c r="V85" s="42">
        <f t="shared" ca="1" si="340"/>
        <v>76.571332804043834</v>
      </c>
      <c r="W85" s="42">
        <f t="shared" ca="1" si="341"/>
        <v>0.38140872061144587</v>
      </c>
      <c r="X85" s="42">
        <f t="shared" ca="1" si="342"/>
        <v>4.4283781569160219</v>
      </c>
      <c r="Y85" s="42">
        <f t="shared" ca="1" si="19"/>
        <v>-0.37757895564166155</v>
      </c>
      <c r="Z85" s="42">
        <f t="shared" ca="1" si="20"/>
        <v>2.5144036228552723E-2</v>
      </c>
      <c r="AA85" s="42">
        <f t="shared" ca="1" si="406"/>
        <v>-1.5078305258449337E-2</v>
      </c>
      <c r="AB85" s="42">
        <f t="shared" ca="1" si="22"/>
        <v>0.19886433920346933</v>
      </c>
      <c r="AC85" s="42">
        <f t="shared" ca="1" si="23"/>
        <v>-0.15621071341906126</v>
      </c>
      <c r="AD85" s="42">
        <f t="shared" ca="1" si="420"/>
        <v>414.1890784580109</v>
      </c>
      <c r="AF85" s="36">
        <f t="shared" si="118"/>
        <v>80</v>
      </c>
      <c r="AG85" s="35">
        <f t="shared" si="407"/>
        <v>0.28399999999999997</v>
      </c>
      <c r="AH85" s="197">
        <f t="shared" si="126"/>
        <v>169.23611111111677</v>
      </c>
      <c r="AI85" s="41">
        <f t="shared" si="408"/>
        <v>0.46366057838662128</v>
      </c>
      <c r="AJ85" s="40">
        <f t="shared" ca="1" si="343"/>
        <v>-3.1748698314580298E-2</v>
      </c>
      <c r="AK85" s="40">
        <f t="shared" si="344"/>
        <v>2.5189751902588361E-2</v>
      </c>
      <c r="AL85" s="40">
        <f t="shared" si="345"/>
        <v>0.19338305926412305</v>
      </c>
      <c r="AM85" s="42">
        <f t="shared" ca="1" si="346"/>
        <v>-3.3916861368056606E-2</v>
      </c>
      <c r="AN85" s="42">
        <f t="shared" ca="1" si="347"/>
        <v>-0.22729992063217966</v>
      </c>
      <c r="AO85" s="42">
        <f t="shared" ca="1" si="348"/>
        <v>0.48647172374810366</v>
      </c>
      <c r="AP85" s="42">
        <f t="shared" ca="1" si="349"/>
        <v>0.51352827625189634</v>
      </c>
      <c r="AQ85" s="42">
        <f t="shared" ca="1" si="350"/>
        <v>0.41009526740927138</v>
      </c>
      <c r="AR85" s="42">
        <f t="shared" ca="1" si="351"/>
        <v>0.58990473259072862</v>
      </c>
      <c r="AS85" s="42">
        <f t="shared" si="352"/>
        <v>0.98162450344672281</v>
      </c>
      <c r="AT85" s="42">
        <f t="shared" si="353"/>
        <v>78.529960275737821</v>
      </c>
      <c r="AU85" s="42">
        <f t="shared" si="354"/>
        <v>0.98801719747153338</v>
      </c>
      <c r="AV85" s="42">
        <f t="shared" ca="1" si="355"/>
        <v>76.571332804043834</v>
      </c>
      <c r="AW85" s="42">
        <f t="shared" ca="1" si="356"/>
        <v>0.3987128840581789</v>
      </c>
      <c r="AX85" s="42">
        <f t="shared" ca="1" si="357"/>
        <v>7.0036506716487423</v>
      </c>
      <c r="AY85" s="42">
        <f t="shared" ca="1" si="42"/>
        <v>-0.50737476832478601</v>
      </c>
      <c r="AZ85" s="42">
        <f t="shared" ca="1" si="43"/>
        <v>2.6284798065125153E-2</v>
      </c>
      <c r="BA85" s="42">
        <f t="shared" ca="1" si="409"/>
        <v>-1.5167280687879927E-2</v>
      </c>
      <c r="BB85" s="42">
        <f t="shared" ca="1" si="45"/>
        <v>0.20788663167697841</v>
      </c>
      <c r="BC85" s="42">
        <f t="shared" ca="1" si="46"/>
        <v>-0.21479166808103745</v>
      </c>
      <c r="BD85" s="42">
        <f t="shared" ca="1" si="421"/>
        <v>-676.825335824371</v>
      </c>
      <c r="BE85" s="40"/>
      <c r="BF85" s="36">
        <f t="shared" si="119"/>
        <v>90</v>
      </c>
      <c r="BG85" s="35">
        <f t="shared" si="410"/>
        <v>0.28399999999999997</v>
      </c>
      <c r="BH85" s="197">
        <f t="shared" si="127"/>
        <v>169.23611111111677</v>
      </c>
      <c r="BI85" s="41">
        <f t="shared" si="411"/>
        <v>0.46366057838662128</v>
      </c>
      <c r="BJ85" s="40">
        <f t="shared" ca="1" si="358"/>
        <v>-0.1495317339709637</v>
      </c>
      <c r="BK85" s="40">
        <f t="shared" si="359"/>
        <v>2.5189751902588361E-2</v>
      </c>
      <c r="BL85" s="40">
        <f t="shared" si="360"/>
        <v>0.19338305926412305</v>
      </c>
      <c r="BM85" s="42">
        <f t="shared" ca="1" si="361"/>
        <v>-0.64298280594759216</v>
      </c>
      <c r="BN85" s="42">
        <f t="shared" ca="1" si="362"/>
        <v>-0.83636586521171519</v>
      </c>
      <c r="BO85" s="42">
        <f t="shared" ca="1" si="363"/>
        <v>0.26011762836422531</v>
      </c>
      <c r="BP85" s="42">
        <f t="shared" ca="1" si="364"/>
        <v>0.73988237163577475</v>
      </c>
      <c r="BQ85" s="42">
        <f t="shared" ca="1" si="365"/>
        <v>0.20147455483468901</v>
      </c>
      <c r="BR85" s="42">
        <f t="shared" ca="1" si="366"/>
        <v>0.79852544516531099</v>
      </c>
      <c r="BS85" s="42">
        <f t="shared" si="367"/>
        <v>0.98162450344672281</v>
      </c>
      <c r="BT85" s="42">
        <f t="shared" si="368"/>
        <v>88.34620531020505</v>
      </c>
      <c r="BU85" s="42">
        <f t="shared" si="369"/>
        <v>0.98801719747153338</v>
      </c>
      <c r="BV85" s="42">
        <f t="shared" ca="1" si="370"/>
        <v>76.571332804043834</v>
      </c>
      <c r="BW85" s="42">
        <f t="shared" ca="1" si="371"/>
        <v>0.32444087021517359</v>
      </c>
      <c r="BX85" s="42">
        <f t="shared" ca="1" si="372"/>
        <v>2.1180411034680837</v>
      </c>
      <c r="BY85" s="42">
        <f t="shared" ca="1" si="65"/>
        <v>0.25700069018936372</v>
      </c>
      <c r="BZ85" s="42">
        <f t="shared" ca="1" si="66"/>
        <v>2.1388480529851546E-2</v>
      </c>
      <c r="CA85" s="42">
        <f t="shared" ca="1" si="412"/>
        <v>-1.472559706323672E-2</v>
      </c>
      <c r="CB85" s="42">
        <f t="shared" ca="1" si="68"/>
        <v>0.16916162578167029</v>
      </c>
      <c r="CC85" s="42">
        <f t="shared" ca="1" si="69"/>
        <v>8.2529322079888473E-2</v>
      </c>
      <c r="CD85" s="42">
        <f t="shared" ca="1" si="422"/>
        <v>2340.9794482659581</v>
      </c>
      <c r="CE85" s="40"/>
      <c r="CF85" s="36">
        <f t="shared" si="120"/>
        <v>95</v>
      </c>
      <c r="CG85" s="35">
        <f t="shared" si="413"/>
        <v>0.28399999999999997</v>
      </c>
      <c r="CH85" s="197">
        <f t="shared" si="128"/>
        <v>169.23611111111677</v>
      </c>
      <c r="CI85" s="41">
        <f t="shared" si="414"/>
        <v>0.46366057838662128</v>
      </c>
      <c r="CJ85" s="40">
        <f t="shared" ca="1" si="373"/>
        <v>-0.20359895524123955</v>
      </c>
      <c r="CK85" s="40">
        <f t="shared" si="374"/>
        <v>2.5189751902588361E-2</v>
      </c>
      <c r="CL85" s="40">
        <f t="shared" si="375"/>
        <v>0.19338305926412305</v>
      </c>
      <c r="CM85" s="42">
        <f t="shared" ca="1" si="376"/>
        <v>-0.92256893658394068</v>
      </c>
      <c r="CN85" s="42">
        <f t="shared" ca="1" si="377"/>
        <v>-1.1159519958480637</v>
      </c>
      <c r="CO85" s="42">
        <f t="shared" ca="1" si="378"/>
        <v>0.17811594498599406</v>
      </c>
      <c r="CP85" s="42">
        <f t="shared" ca="1" si="379"/>
        <v>0.82188405501400597</v>
      </c>
      <c r="CQ85" s="42">
        <f t="shared" ca="1" si="380"/>
        <v>0.13222134162497934</v>
      </c>
      <c r="CR85" s="42">
        <f t="shared" ca="1" si="381"/>
        <v>0.86777865837502066</v>
      </c>
      <c r="CS85" s="42">
        <f t="shared" si="382"/>
        <v>0.98162450344672281</v>
      </c>
      <c r="CT85" s="42">
        <f t="shared" si="383"/>
        <v>93.254327827438672</v>
      </c>
      <c r="CU85" s="42">
        <f t="shared" si="384"/>
        <v>0.98801719747153338</v>
      </c>
      <c r="CV85" s="42">
        <f t="shared" ca="1" si="385"/>
        <v>76.571332804043834</v>
      </c>
      <c r="CW85" s="42">
        <f t="shared" ca="1" si="386"/>
        <v>0.26066864057910805</v>
      </c>
      <c r="CX85" s="42">
        <f t="shared" ca="1" si="387"/>
        <v>1.3083629635497296</v>
      </c>
      <c r="CY85" s="42">
        <f t="shared" ca="1" si="88"/>
        <v>0.17598161679005567</v>
      </c>
      <c r="CZ85" s="42">
        <f t="shared" ca="1" si="89"/>
        <v>1.7184352082619876E-2</v>
      </c>
      <c r="DA85" s="42">
        <f t="shared" ca="1" si="415"/>
        <v>-1.1783562072178112E-2</v>
      </c>
      <c r="DB85" s="42">
        <f t="shared" ca="1" si="91"/>
        <v>0.13591114769669832</v>
      </c>
      <c r="DC85" s="42">
        <f t="shared" ca="1" si="92"/>
        <v>5.7170333841183689E-2</v>
      </c>
      <c r="DD85" s="42">
        <f t="shared" ca="1" si="423"/>
        <v>-1920.8185182251354</v>
      </c>
      <c r="DE85" s="40"/>
      <c r="DF85" s="36">
        <f t="shared" si="121"/>
        <v>200</v>
      </c>
      <c r="DG85" s="35">
        <f t="shared" si="416"/>
        <v>0.28399999999999997</v>
      </c>
      <c r="DH85" s="197">
        <f t="shared" si="129"/>
        <v>169.23611111111677</v>
      </c>
      <c r="DI85" s="41">
        <f t="shared" si="417"/>
        <v>0.46366057838662128</v>
      </c>
      <c r="DJ85" s="40">
        <f t="shared" ca="1" si="388"/>
        <v>-0.94803943018873538</v>
      </c>
      <c r="DK85" s="40">
        <f t="shared" si="389"/>
        <v>2.5189751902588361E-2</v>
      </c>
      <c r="DL85" s="40">
        <f t="shared" si="390"/>
        <v>0.19338305926412305</v>
      </c>
      <c r="DM85" s="42">
        <f t="shared" ca="1" si="391"/>
        <v>-4.7721329975740883</v>
      </c>
      <c r="DN85" s="42">
        <f t="shared" ca="1" si="392"/>
        <v>-4.9655160568382115</v>
      </c>
      <c r="DO85" s="42">
        <f t="shared" ca="1" si="393"/>
        <v>9.1142531947324579E-7</v>
      </c>
      <c r="DP85" s="42">
        <f t="shared" ca="1" si="394"/>
        <v>0.99999908857468056</v>
      </c>
      <c r="DQ85" s="42">
        <f t="shared" ca="1" si="395"/>
        <v>3.425931167405036E-7</v>
      </c>
      <c r="DR85" s="42">
        <f t="shared" ca="1" si="396"/>
        <v>0.99999965740688324</v>
      </c>
      <c r="DS85" s="42">
        <f t="shared" si="397"/>
        <v>0.98162450344672281</v>
      </c>
      <c r="DT85" s="42">
        <f t="shared" si="398"/>
        <v>196.32490068934456</v>
      </c>
      <c r="DU85" s="42">
        <f t="shared" si="399"/>
        <v>0.98801719747153338</v>
      </c>
      <c r="DV85" s="42">
        <f t="shared" ca="1" si="400"/>
        <v>76.571332804043834</v>
      </c>
      <c r="DW85" s="42">
        <f t="shared" ca="1" si="401"/>
        <v>4.5264834219889886E-6</v>
      </c>
      <c r="DX85" s="42">
        <f t="shared" si="402"/>
        <v>0</v>
      </c>
      <c r="DY85" s="92">
        <f t="shared" si="111"/>
        <v>0</v>
      </c>
      <c r="DZ85" s="42">
        <f t="shared" si="112"/>
        <v>0</v>
      </c>
      <c r="EA85" s="42">
        <f t="shared" si="418"/>
        <v>0</v>
      </c>
      <c r="EB85" s="42">
        <f t="shared" si="114"/>
        <v>0</v>
      </c>
      <c r="EC85" s="42">
        <f t="shared" si="115"/>
        <v>0</v>
      </c>
      <c r="ED85" s="42">
        <f t="shared" ca="1" si="424"/>
        <v>0</v>
      </c>
      <c r="EE85" s="40"/>
      <c r="EF85" s="120">
        <f t="shared" ca="1" si="130"/>
        <v>77.5</v>
      </c>
      <c r="EG85" s="42">
        <f t="shared" ca="1" si="403"/>
        <v>157.52467267446264</v>
      </c>
      <c r="EH85" s="36">
        <f t="shared" ca="1" si="419"/>
        <v>157.52467267446264</v>
      </c>
      <c r="EI85" s="36">
        <f t="shared" ca="1" si="124"/>
        <v>12.523999999999999</v>
      </c>
      <c r="EJ85" s="153">
        <f t="shared" ca="1" si="131"/>
        <v>1</v>
      </c>
      <c r="EK85" s="153" t="str">
        <f t="shared" ca="1" si="229"/>
        <v/>
      </c>
      <c r="EL85" s="153" t="str">
        <f t="shared" ca="1" si="132"/>
        <v/>
      </c>
      <c r="EM85" s="153">
        <f t="shared" ca="1" si="230"/>
        <v>1</v>
      </c>
      <c r="EN85" s="153">
        <f t="shared" ca="1" si="231"/>
        <v>0</v>
      </c>
    </row>
    <row r="86" spans="1:146" x14ac:dyDescent="0.3">
      <c r="A86" s="36">
        <f ca="1">IF($M$22=1,A85+'Auto X'!$E$6,A$48)</f>
        <v>78</v>
      </c>
      <c r="B86" s="35">
        <f>IF($M$22=2,B85+'Auto X'!$E$6,B$48)</f>
        <v>0.28399999999999997</v>
      </c>
      <c r="C86" s="39">
        <f>IF($M$22=3,C85+'Auto X'!$E$6,C$48)</f>
        <v>45295.440972222219</v>
      </c>
      <c r="D86" s="35">
        <f>IF($M$22=4,D85+'Auto X'!$E$6,D$48)</f>
        <v>2.5999999999999999E-2</v>
      </c>
      <c r="E86" s="35">
        <f>IF($M$22=5,E85+'Auto X'!$E$6,E$48)</f>
        <v>0.04</v>
      </c>
      <c r="F86" s="36">
        <f t="shared" si="117"/>
        <v>75</v>
      </c>
      <c r="G86" s="35">
        <f t="shared" si="404"/>
        <v>0.28399999999999997</v>
      </c>
      <c r="H86" s="197">
        <f t="shared" si="125"/>
        <v>169.23611111111677</v>
      </c>
      <c r="I86" s="41">
        <f t="shared" si="405"/>
        <v>0.46366057838662128</v>
      </c>
      <c r="J86" s="40">
        <f t="shared" ca="1" si="328"/>
        <v>3.9220713153281329E-2</v>
      </c>
      <c r="K86" s="40">
        <f t="shared" si="329"/>
        <v>2.5189751902588361E-2</v>
      </c>
      <c r="L86" s="40">
        <f t="shared" si="330"/>
        <v>0.19338305926412305</v>
      </c>
      <c r="M86" s="42">
        <f t="shared" ca="1" si="331"/>
        <v>0.33307191075045373</v>
      </c>
      <c r="N86" s="42">
        <f t="shared" ca="1" si="332"/>
        <v>0.13968885148633067</v>
      </c>
      <c r="O86" s="42">
        <f t="shared" ca="1" si="333"/>
        <v>0.6304599990226103</v>
      </c>
      <c r="P86" s="42">
        <f t="shared" ca="1" si="334"/>
        <v>0.3695400009773897</v>
      </c>
      <c r="Q86" s="42">
        <f t="shared" ca="1" si="335"/>
        <v>0.55554708236862671</v>
      </c>
      <c r="R86" s="42">
        <f t="shared" ca="1" si="336"/>
        <v>0.44445291763137329</v>
      </c>
      <c r="S86" s="42">
        <f t="shared" si="337"/>
        <v>0.98162450344672281</v>
      </c>
      <c r="T86" s="42">
        <f t="shared" si="338"/>
        <v>73.621837758504213</v>
      </c>
      <c r="U86" s="42">
        <f t="shared" si="339"/>
        <v>0.98801719747153338</v>
      </c>
      <c r="V86" s="42">
        <f t="shared" ca="1" si="340"/>
        <v>77.065341402779609</v>
      </c>
      <c r="W86" s="42">
        <f t="shared" ca="1" si="341"/>
        <v>0.37741610172860135</v>
      </c>
      <c r="X86" s="42">
        <f t="shared" ca="1" si="342"/>
        <v>4.2427142558447564</v>
      </c>
      <c r="Y86" s="42">
        <f t="shared" ca="1" si="19"/>
        <v>-0.36511187611930829</v>
      </c>
      <c r="Z86" s="42">
        <f t="shared" ca="1" si="20"/>
        <v>2.4721333845247349E-2</v>
      </c>
      <c r="AA86" s="42">
        <f t="shared" ca="1" si="406"/>
        <v>-1.5060563761153068E-2</v>
      </c>
      <c r="AB86" s="42">
        <f t="shared" ca="1" si="22"/>
        <v>0.19805217563831692</v>
      </c>
      <c r="AC86" s="42">
        <f t="shared" ca="1" si="23"/>
        <v>-0.15171642071063768</v>
      </c>
      <c r="AD86" s="42">
        <f t="shared" ca="1" si="420"/>
        <v>321.35712792237814</v>
      </c>
      <c r="AF86" s="36">
        <f t="shared" si="118"/>
        <v>80</v>
      </c>
      <c r="AG86" s="35">
        <f t="shared" si="407"/>
        <v>0.28399999999999997</v>
      </c>
      <c r="AH86" s="197">
        <f t="shared" si="126"/>
        <v>169.23611111111677</v>
      </c>
      <c r="AI86" s="41">
        <f t="shared" si="408"/>
        <v>0.46366057838662128</v>
      </c>
      <c r="AJ86" s="40">
        <f t="shared" ca="1" si="343"/>
        <v>-2.5317807984289897E-2</v>
      </c>
      <c r="AK86" s="40">
        <f t="shared" si="344"/>
        <v>2.5189751902588361E-2</v>
      </c>
      <c r="AL86" s="40">
        <f t="shared" si="345"/>
        <v>0.19338305926412305</v>
      </c>
      <c r="AM86" s="42">
        <f t="shared" ca="1" si="346"/>
        <v>-6.6218872629704602E-4</v>
      </c>
      <c r="AN86" s="42">
        <f t="shared" ca="1" si="347"/>
        <v>-0.19404524799042011</v>
      </c>
      <c r="AO86" s="42">
        <f t="shared" ca="1" si="348"/>
        <v>0.49973582493878144</v>
      </c>
      <c r="AP86" s="42">
        <f t="shared" ca="1" si="349"/>
        <v>0.50026417506121856</v>
      </c>
      <c r="AQ86" s="42">
        <f t="shared" ca="1" si="350"/>
        <v>0.42307022620671769</v>
      </c>
      <c r="AR86" s="42">
        <f t="shared" ca="1" si="351"/>
        <v>0.57692977379328236</v>
      </c>
      <c r="AS86" s="42">
        <f t="shared" si="352"/>
        <v>0.98162450344672281</v>
      </c>
      <c r="AT86" s="42">
        <f t="shared" si="353"/>
        <v>78.529960275737821</v>
      </c>
      <c r="AU86" s="42">
        <f t="shared" si="354"/>
        <v>0.98801719747153338</v>
      </c>
      <c r="AV86" s="42">
        <f t="shared" ca="1" si="355"/>
        <v>77.065341402779609</v>
      </c>
      <c r="AW86" s="42">
        <f t="shared" ca="1" si="356"/>
        <v>0.39894219293456223</v>
      </c>
      <c r="AX86" s="42">
        <f t="shared" ca="1" si="357"/>
        <v>6.7532427752041571</v>
      </c>
      <c r="AY86" s="42">
        <f t="shared" ca="1" si="42"/>
        <v>-0.49426960823939375</v>
      </c>
      <c r="AZ86" s="42">
        <f t="shared" ca="1" si="43"/>
        <v>2.6131325853135962E-2</v>
      </c>
      <c r="BA86" s="42">
        <f t="shared" ca="1" si="409"/>
        <v>-1.534683220817112E-2</v>
      </c>
      <c r="BB86" s="42">
        <f t="shared" ca="1" si="45"/>
        <v>0.20934816745425466</v>
      </c>
      <c r="BC86" s="42">
        <f t="shared" ca="1" si="46"/>
        <v>-0.21006732381082505</v>
      </c>
      <c r="BD86" s="42">
        <f t="shared" ca="1" si="421"/>
        <v>-551.62138760207836</v>
      </c>
      <c r="BE86" s="40"/>
      <c r="BF86" s="36">
        <f t="shared" si="119"/>
        <v>90</v>
      </c>
      <c r="BG86" s="35">
        <f t="shared" si="410"/>
        <v>0.28399999999999997</v>
      </c>
      <c r="BH86" s="197">
        <f t="shared" si="127"/>
        <v>169.23611111111677</v>
      </c>
      <c r="BI86" s="41">
        <f t="shared" si="411"/>
        <v>0.46366057838662128</v>
      </c>
      <c r="BJ86" s="40">
        <f t="shared" ca="1" si="358"/>
        <v>-0.1431008436406733</v>
      </c>
      <c r="BK86" s="40">
        <f t="shared" si="359"/>
        <v>2.5189751902588361E-2</v>
      </c>
      <c r="BL86" s="40">
        <f t="shared" si="360"/>
        <v>0.19338305926412305</v>
      </c>
      <c r="BM86" s="42">
        <f t="shared" ca="1" si="361"/>
        <v>-0.60972813330583253</v>
      </c>
      <c r="BN86" s="42">
        <f t="shared" ca="1" si="362"/>
        <v>-0.80311119256995556</v>
      </c>
      <c r="BO86" s="42">
        <f t="shared" ca="1" si="363"/>
        <v>0.27102095748904731</v>
      </c>
      <c r="BP86" s="42">
        <f t="shared" ca="1" si="364"/>
        <v>0.72897904251095269</v>
      </c>
      <c r="BQ86" s="42">
        <f t="shared" ca="1" si="365"/>
        <v>0.21095523452815207</v>
      </c>
      <c r="BR86" s="42">
        <f t="shared" ca="1" si="366"/>
        <v>0.78904476547184799</v>
      </c>
      <c r="BS86" s="42">
        <f t="shared" si="367"/>
        <v>0.98162450344672281</v>
      </c>
      <c r="BT86" s="42">
        <f t="shared" si="368"/>
        <v>88.34620531020505</v>
      </c>
      <c r="BU86" s="42">
        <f t="shared" si="369"/>
        <v>0.98801719747153338</v>
      </c>
      <c r="BV86" s="42">
        <f t="shared" ca="1" si="370"/>
        <v>77.065341402779609</v>
      </c>
      <c r="BW86" s="42">
        <f t="shared" ca="1" si="371"/>
        <v>0.33126960071019845</v>
      </c>
      <c r="BX86" s="42">
        <f t="shared" ca="1" si="372"/>
        <v>2.2492281553150697</v>
      </c>
      <c r="BY86" s="42">
        <f t="shared" ca="1" si="65"/>
        <v>0.26777336687438014</v>
      </c>
      <c r="BZ86" s="42">
        <f t="shared" ca="1" si="66"/>
        <v>2.1698667212210233E-2</v>
      </c>
      <c r="CA86" s="42">
        <f t="shared" ca="1" si="412"/>
        <v>-1.5140624279261265E-2</v>
      </c>
      <c r="CB86" s="42">
        <f t="shared" ca="1" si="68"/>
        <v>0.17383642309641129</v>
      </c>
      <c r="CC86" s="42">
        <f t="shared" ca="1" si="69"/>
        <v>8.6412859971807657E-2</v>
      </c>
      <c r="CD86" s="42">
        <f t="shared" ca="1" si="422"/>
        <v>2275.3859223424652</v>
      </c>
      <c r="CE86" s="40"/>
      <c r="CF86" s="36">
        <f t="shared" si="120"/>
        <v>95</v>
      </c>
      <c r="CG86" s="35">
        <f t="shared" si="413"/>
        <v>0.28399999999999997</v>
      </c>
      <c r="CH86" s="197">
        <f t="shared" si="128"/>
        <v>169.23611111111677</v>
      </c>
      <c r="CI86" s="41">
        <f t="shared" si="414"/>
        <v>0.46366057838662128</v>
      </c>
      <c r="CJ86" s="40">
        <f t="shared" ca="1" si="373"/>
        <v>-0.1971680649109491</v>
      </c>
      <c r="CK86" s="40">
        <f t="shared" si="374"/>
        <v>2.5189751902588361E-2</v>
      </c>
      <c r="CL86" s="40">
        <f t="shared" si="375"/>
        <v>0.19338305926412305</v>
      </c>
      <c r="CM86" s="42">
        <f t="shared" ca="1" si="376"/>
        <v>-0.88931426394218094</v>
      </c>
      <c r="CN86" s="42">
        <f t="shared" ca="1" si="377"/>
        <v>-1.082697323206304</v>
      </c>
      <c r="CO86" s="42">
        <f t="shared" ca="1" si="378"/>
        <v>0.18691710384928786</v>
      </c>
      <c r="CP86" s="42">
        <f t="shared" ca="1" si="379"/>
        <v>0.81308289615071216</v>
      </c>
      <c r="CQ86" s="42">
        <f t="shared" ca="1" si="380"/>
        <v>0.13947139627816549</v>
      </c>
      <c r="CR86" s="42">
        <f t="shared" ca="1" si="381"/>
        <v>0.86052860372183448</v>
      </c>
      <c r="CS86" s="42">
        <f t="shared" si="382"/>
        <v>0.98162450344672281</v>
      </c>
      <c r="CT86" s="42">
        <f t="shared" si="383"/>
        <v>93.254327827438672</v>
      </c>
      <c r="CU86" s="42">
        <f t="shared" si="384"/>
        <v>0.98801719747153338</v>
      </c>
      <c r="CV86" s="42">
        <f t="shared" ca="1" si="385"/>
        <v>77.065341402779609</v>
      </c>
      <c r="CW86" s="42">
        <f t="shared" ca="1" si="386"/>
        <v>0.26864124177051008</v>
      </c>
      <c r="CX86" s="42">
        <f t="shared" ca="1" si="387"/>
        <v>1.3985191110895254</v>
      </c>
      <c r="CY86" s="42">
        <f t="shared" ca="1" si="88"/>
        <v>0.18467731310466895</v>
      </c>
      <c r="CZ86" s="42">
        <f t="shared" ca="1" si="89"/>
        <v>1.7596413592301446E-2</v>
      </c>
      <c r="DA86" s="42">
        <f t="shared" ca="1" si="415"/>
        <v>-1.2227683922263401E-2</v>
      </c>
      <c r="DB86" s="42">
        <f t="shared" ca="1" si="91"/>
        <v>0.14097168126941267</v>
      </c>
      <c r="DC86" s="42">
        <f t="shared" ca="1" si="92"/>
        <v>6.0305138251693285E-2</v>
      </c>
      <c r="DD86" s="42">
        <f t="shared" ca="1" si="423"/>
        <v>-1875.7404444552374</v>
      </c>
      <c r="DE86" s="40"/>
      <c r="DF86" s="36">
        <f t="shared" si="121"/>
        <v>200</v>
      </c>
      <c r="DG86" s="35">
        <f t="shared" si="416"/>
        <v>0.28399999999999997</v>
      </c>
      <c r="DH86" s="197">
        <f t="shared" si="129"/>
        <v>169.23611111111677</v>
      </c>
      <c r="DI86" s="41">
        <f t="shared" si="417"/>
        <v>0.46366057838662128</v>
      </c>
      <c r="DJ86" s="40">
        <f t="shared" ca="1" si="388"/>
        <v>-0.94160853985844495</v>
      </c>
      <c r="DK86" s="40">
        <f t="shared" si="389"/>
        <v>2.5189751902588361E-2</v>
      </c>
      <c r="DL86" s="40">
        <f t="shared" si="390"/>
        <v>0.19338305926412305</v>
      </c>
      <c r="DM86" s="42">
        <f t="shared" ca="1" si="391"/>
        <v>-4.7388783249323287</v>
      </c>
      <c r="DN86" s="42">
        <f t="shared" ca="1" si="392"/>
        <v>-4.932261384196452</v>
      </c>
      <c r="DO86" s="42">
        <f t="shared" ca="1" si="393"/>
        <v>1.0745224604632423E-6</v>
      </c>
      <c r="DP86" s="42">
        <f t="shared" ca="1" si="394"/>
        <v>0.99999892547753955</v>
      </c>
      <c r="DQ86" s="42">
        <f t="shared" ca="1" si="395"/>
        <v>4.0641522633925581E-7</v>
      </c>
      <c r="DR86" s="42">
        <f t="shared" ca="1" si="396"/>
        <v>0.99999959358477364</v>
      </c>
      <c r="DS86" s="42">
        <f t="shared" si="397"/>
        <v>0.98162450344672281</v>
      </c>
      <c r="DT86" s="42">
        <f t="shared" si="398"/>
        <v>196.32490068934456</v>
      </c>
      <c r="DU86" s="42">
        <f t="shared" si="399"/>
        <v>0.98801719747153338</v>
      </c>
      <c r="DV86" s="42">
        <f t="shared" ca="1" si="400"/>
        <v>77.065341402779609</v>
      </c>
      <c r="DW86" s="42">
        <f t="shared" ca="1" si="401"/>
        <v>5.3020213545693455E-6</v>
      </c>
      <c r="DX86" s="42">
        <f t="shared" si="402"/>
        <v>0</v>
      </c>
      <c r="DY86" s="92">
        <f t="shared" si="111"/>
        <v>0</v>
      </c>
      <c r="DZ86" s="42">
        <f t="shared" si="112"/>
        <v>0</v>
      </c>
      <c r="EA86" s="42">
        <f t="shared" si="418"/>
        <v>0</v>
      </c>
      <c r="EB86" s="42">
        <f t="shared" si="114"/>
        <v>0</v>
      </c>
      <c r="EC86" s="42">
        <f t="shared" si="115"/>
        <v>0</v>
      </c>
      <c r="ED86" s="42">
        <f t="shared" ca="1" si="424"/>
        <v>0</v>
      </c>
      <c r="EE86" s="40"/>
      <c r="EF86" s="120">
        <f t="shared" ca="1" si="130"/>
        <v>78</v>
      </c>
      <c r="EG86" s="42">
        <f t="shared" ca="1" si="403"/>
        <v>169.38121820752758</v>
      </c>
      <c r="EH86" s="36">
        <f t="shared" ca="1" si="419"/>
        <v>169.38121820752758</v>
      </c>
      <c r="EI86" s="36">
        <f t="shared" ca="1" si="124"/>
        <v>11.856999999999999</v>
      </c>
      <c r="EJ86" s="153">
        <f t="shared" ca="1" si="131"/>
        <v>1</v>
      </c>
      <c r="EK86" s="153" t="str">
        <f t="shared" ca="1" si="229"/>
        <v/>
      </c>
      <c r="EL86" s="153" t="str">
        <f t="shared" ca="1" si="132"/>
        <v/>
      </c>
      <c r="EM86" s="153">
        <f t="shared" ca="1" si="230"/>
        <v>1</v>
      </c>
      <c r="EN86" s="153">
        <f t="shared" ca="1" si="231"/>
        <v>0</v>
      </c>
    </row>
    <row r="87" spans="1:146" x14ac:dyDescent="0.3">
      <c r="A87" s="36">
        <f ca="1">IF($M$22=1,A86+'Auto X'!$E$6,A$48)</f>
        <v>78.5</v>
      </c>
      <c r="B87" s="35">
        <f>IF($M$22=2,B86+'Auto X'!$E$6,B$48)</f>
        <v>0.28399999999999997</v>
      </c>
      <c r="C87" s="39">
        <f>IF($M$22=3,C86+'Auto X'!$E$6,C$48)</f>
        <v>45295.440972222219</v>
      </c>
      <c r="D87" s="35">
        <f>IF($M$22=4,D86+'Auto X'!$E$6,D$48)</f>
        <v>2.5999999999999999E-2</v>
      </c>
      <c r="E87" s="35">
        <f>IF($M$22=5,E86+'Auto X'!$E$6,E$48)</f>
        <v>0.04</v>
      </c>
      <c r="F87" s="36">
        <f t="shared" si="117"/>
        <v>75</v>
      </c>
      <c r="G87" s="35">
        <f t="shared" si="404"/>
        <v>0.28399999999999997</v>
      </c>
      <c r="H87" s="197">
        <f t="shared" si="125"/>
        <v>169.23611111111677</v>
      </c>
      <c r="I87" s="41">
        <f t="shared" si="405"/>
        <v>0.46366057838662128</v>
      </c>
      <c r="J87" s="40">
        <f t="shared" ca="1" si="328"/>
        <v>4.5610511252052274E-2</v>
      </c>
      <c r="K87" s="40">
        <f t="shared" si="329"/>
        <v>2.5189751902588361E-2</v>
      </c>
      <c r="L87" s="40">
        <f t="shared" si="330"/>
        <v>0.19338305926412305</v>
      </c>
      <c r="M87" s="42">
        <f t="shared" ca="1" si="331"/>
        <v>0.36611409202055006</v>
      </c>
      <c r="N87" s="42">
        <f t="shared" ca="1" si="332"/>
        <v>0.17273103275642701</v>
      </c>
      <c r="O87" s="42">
        <f t="shared" ca="1" si="333"/>
        <v>0.64286002872895387</v>
      </c>
      <c r="P87" s="42">
        <f t="shared" ca="1" si="334"/>
        <v>0.35713997127104613</v>
      </c>
      <c r="Q87" s="42">
        <f t="shared" ca="1" si="335"/>
        <v>0.56856857509716319</v>
      </c>
      <c r="R87" s="42">
        <f t="shared" ca="1" si="336"/>
        <v>0.43143142490283681</v>
      </c>
      <c r="S87" s="42">
        <f t="shared" si="337"/>
        <v>0.98162450344672281</v>
      </c>
      <c r="T87" s="42">
        <f t="shared" si="338"/>
        <v>73.621837758504213</v>
      </c>
      <c r="U87" s="42">
        <f t="shared" si="339"/>
        <v>0.98801719747153338</v>
      </c>
      <c r="V87" s="42">
        <f t="shared" ca="1" si="340"/>
        <v>77.559350001515369</v>
      </c>
      <c r="W87" s="42">
        <f t="shared" ca="1" si="341"/>
        <v>0.37308153251534909</v>
      </c>
      <c r="X87" s="42">
        <f t="shared" ca="1" si="342"/>
        <v>4.0632303367747369</v>
      </c>
      <c r="Y87" s="42">
        <f t="shared" ca="1" si="19"/>
        <v>-0.35286043352028296</v>
      </c>
      <c r="Z87" s="42">
        <f t="shared" ca="1" si="20"/>
        <v>2.4281760598429354E-2</v>
      </c>
      <c r="AA87" s="42">
        <f t="shared" ca="1" si="406"/>
        <v>-1.5024567319425499E-2</v>
      </c>
      <c r="AB87" s="42">
        <f t="shared" ca="1" si="22"/>
        <v>0.19703255956916049</v>
      </c>
      <c r="AC87" s="42">
        <f t="shared" ca="1" si="23"/>
        <v>-0.14727146334684851</v>
      </c>
      <c r="AD87" s="42">
        <f t="shared" ca="1" si="420"/>
        <v>231.61516838736839</v>
      </c>
      <c r="AF87" s="36">
        <f t="shared" si="118"/>
        <v>80</v>
      </c>
      <c r="AG87" s="35">
        <f t="shared" si="407"/>
        <v>0.28399999999999997</v>
      </c>
      <c r="AH87" s="197">
        <f t="shared" si="126"/>
        <v>169.23611111111677</v>
      </c>
      <c r="AI87" s="41">
        <f t="shared" si="408"/>
        <v>0.46366057838662128</v>
      </c>
      <c r="AJ87" s="40">
        <f t="shared" ca="1" si="343"/>
        <v>-1.8928009885518911E-2</v>
      </c>
      <c r="AK87" s="40">
        <f t="shared" si="344"/>
        <v>2.5189751902588361E-2</v>
      </c>
      <c r="AL87" s="40">
        <f t="shared" si="345"/>
        <v>0.19338305926412305</v>
      </c>
      <c r="AM87" s="42">
        <f t="shared" ca="1" si="346"/>
        <v>3.237999254379955E-2</v>
      </c>
      <c r="AN87" s="42">
        <f t="shared" ca="1" si="347"/>
        <v>-0.1610030667203235</v>
      </c>
      <c r="AO87" s="42">
        <f t="shared" ca="1" si="348"/>
        <v>0.51291549112097545</v>
      </c>
      <c r="AP87" s="42">
        <f t="shared" ca="1" si="349"/>
        <v>0.48708450887902449</v>
      </c>
      <c r="AQ87" s="42">
        <f t="shared" ca="1" si="350"/>
        <v>0.43604549263046272</v>
      </c>
      <c r="AR87" s="42">
        <f t="shared" ca="1" si="351"/>
        <v>0.56395450736953734</v>
      </c>
      <c r="AS87" s="42">
        <f t="shared" si="352"/>
        <v>0.98162450344672281</v>
      </c>
      <c r="AT87" s="42">
        <f t="shared" si="353"/>
        <v>78.529960275737821</v>
      </c>
      <c r="AU87" s="42">
        <f t="shared" si="354"/>
        <v>0.98801719747153338</v>
      </c>
      <c r="AV87" s="42">
        <f t="shared" ca="1" si="355"/>
        <v>77.559350001515369</v>
      </c>
      <c r="AW87" s="42">
        <f t="shared" ca="1" si="356"/>
        <v>0.39873319691733272</v>
      </c>
      <c r="AX87" s="42">
        <f t="shared" ca="1" si="357"/>
        <v>6.5093671565885813</v>
      </c>
      <c r="AY87" s="42">
        <f t="shared" ca="1" si="42"/>
        <v>-0.48124787139445208</v>
      </c>
      <c r="AZ87" s="42">
        <f t="shared" ca="1" si="43"/>
        <v>2.5951281921987746E-2</v>
      </c>
      <c r="BA87" s="42">
        <f t="shared" ca="1" si="409"/>
        <v>-1.5506626252516463E-2</v>
      </c>
      <c r="BB87" s="42">
        <f t="shared" ca="1" si="45"/>
        <v>0.21057976749514917</v>
      </c>
      <c r="BC87" s="42">
        <f t="shared" ca="1" si="46"/>
        <v>-0.20534286753004172</v>
      </c>
      <c r="BD87" s="42">
        <f t="shared" ca="1" si="421"/>
        <v>-429.6835782942905</v>
      </c>
      <c r="BE87" s="40"/>
      <c r="BF87" s="36">
        <f t="shared" si="119"/>
        <v>90</v>
      </c>
      <c r="BG87" s="35">
        <f t="shared" si="410"/>
        <v>0.28399999999999997</v>
      </c>
      <c r="BH87" s="197">
        <f t="shared" si="127"/>
        <v>169.23611111111677</v>
      </c>
      <c r="BI87" s="41">
        <f t="shared" si="411"/>
        <v>0.46366057838662128</v>
      </c>
      <c r="BJ87" s="40">
        <f t="shared" ca="1" si="358"/>
        <v>-0.1367110455419023</v>
      </c>
      <c r="BK87" s="40">
        <f t="shared" si="359"/>
        <v>2.5189751902588361E-2</v>
      </c>
      <c r="BL87" s="40">
        <f t="shared" si="360"/>
        <v>0.19338305926412305</v>
      </c>
      <c r="BM87" s="42">
        <f t="shared" ca="1" si="361"/>
        <v>-0.57668595203573592</v>
      </c>
      <c r="BN87" s="42">
        <f t="shared" ca="1" si="362"/>
        <v>-0.77006901129985894</v>
      </c>
      <c r="BO87" s="42">
        <f t="shared" ca="1" si="363"/>
        <v>0.28207581197831394</v>
      </c>
      <c r="BP87" s="42">
        <f t="shared" ca="1" si="364"/>
        <v>0.71792418802168601</v>
      </c>
      <c r="BQ87" s="42">
        <f t="shared" ca="1" si="365"/>
        <v>0.22062947849691456</v>
      </c>
      <c r="BR87" s="42">
        <f t="shared" ca="1" si="366"/>
        <v>0.7793705215030855</v>
      </c>
      <c r="BS87" s="42">
        <f t="shared" si="367"/>
        <v>0.98162450344672281</v>
      </c>
      <c r="BT87" s="42">
        <f t="shared" si="368"/>
        <v>88.34620531020505</v>
      </c>
      <c r="BU87" s="42">
        <f t="shared" si="369"/>
        <v>0.98801719747153338</v>
      </c>
      <c r="BV87" s="42">
        <f t="shared" ca="1" si="370"/>
        <v>77.559350001515369</v>
      </c>
      <c r="BW87" s="42">
        <f t="shared" ca="1" si="371"/>
        <v>0.33782682163015759</v>
      </c>
      <c r="BX87" s="42">
        <f t="shared" ca="1" si="372"/>
        <v>2.3858394234158098</v>
      </c>
      <c r="BY87" s="42">
        <f t="shared" ca="1" si="65"/>
        <v>0.27869575322532092</v>
      </c>
      <c r="BZ87" s="42">
        <f t="shared" ca="1" si="66"/>
        <v>2.1987231453795688E-2</v>
      </c>
      <c r="CA87" s="42">
        <f t="shared" ca="1" si="412"/>
        <v>-1.5547744451749786E-2</v>
      </c>
      <c r="CB87" s="42">
        <f t="shared" ca="1" si="68"/>
        <v>0.17841377167111772</v>
      </c>
      <c r="CC87" s="42">
        <f t="shared" ca="1" si="69"/>
        <v>9.03756869254769E-2</v>
      </c>
      <c r="CD87" s="42">
        <f t="shared" ca="1" si="422"/>
        <v>2207.0802882920948</v>
      </c>
      <c r="CE87" s="40"/>
      <c r="CF87" s="36">
        <f t="shared" si="120"/>
        <v>95</v>
      </c>
      <c r="CG87" s="35">
        <f t="shared" si="413"/>
        <v>0.28399999999999997</v>
      </c>
      <c r="CH87" s="197">
        <f t="shared" si="128"/>
        <v>169.23611111111677</v>
      </c>
      <c r="CI87" s="41">
        <f t="shared" si="414"/>
        <v>0.46366057838662128</v>
      </c>
      <c r="CJ87" s="40">
        <f t="shared" ca="1" si="373"/>
        <v>-0.19077826681217808</v>
      </c>
      <c r="CK87" s="40">
        <f t="shared" si="374"/>
        <v>2.5189751902588361E-2</v>
      </c>
      <c r="CL87" s="40">
        <f t="shared" si="375"/>
        <v>0.19338305926412305</v>
      </c>
      <c r="CM87" s="42">
        <f t="shared" ca="1" si="376"/>
        <v>-0.85627208267208399</v>
      </c>
      <c r="CN87" s="42">
        <f t="shared" ca="1" si="377"/>
        <v>-1.049655141936207</v>
      </c>
      <c r="CO87" s="42">
        <f t="shared" ca="1" si="378"/>
        <v>0.19592364972550955</v>
      </c>
      <c r="CP87" s="42">
        <f t="shared" ca="1" si="379"/>
        <v>0.80407635027449043</v>
      </c>
      <c r="CQ87" s="42">
        <f t="shared" ca="1" si="380"/>
        <v>0.14693834743908032</v>
      </c>
      <c r="CR87" s="42">
        <f t="shared" ca="1" si="381"/>
        <v>0.8530616525609197</v>
      </c>
      <c r="CS87" s="42">
        <f t="shared" si="382"/>
        <v>0.98162450344672281</v>
      </c>
      <c r="CT87" s="42">
        <f t="shared" si="383"/>
        <v>93.254327827438672</v>
      </c>
      <c r="CU87" s="42">
        <f t="shared" si="384"/>
        <v>0.98801719747153338</v>
      </c>
      <c r="CV87" s="42">
        <f t="shared" ca="1" si="385"/>
        <v>77.559350001515369</v>
      </c>
      <c r="CW87" s="42">
        <f t="shared" ca="1" si="386"/>
        <v>0.27650137836513772</v>
      </c>
      <c r="CX87" s="42">
        <f t="shared" ca="1" si="387"/>
        <v>1.4930741001290144</v>
      </c>
      <c r="CY87" s="42">
        <f t="shared" ca="1" si="88"/>
        <v>0.19357593532019229</v>
      </c>
      <c r="CZ87" s="42">
        <f t="shared" ca="1" si="89"/>
        <v>1.7995906228142736E-2</v>
      </c>
      <c r="DA87" s="42">
        <f t="shared" ca="1" si="415"/>
        <v>-1.2671785108715803E-2</v>
      </c>
      <c r="DB87" s="42">
        <f t="shared" ca="1" si="91"/>
        <v>0.14602645683472043</v>
      </c>
      <c r="DC87" s="42">
        <f t="shared" ca="1" si="92"/>
        <v>6.3533725145449832E-2</v>
      </c>
      <c r="DD87" s="42">
        <f t="shared" ca="1" si="423"/>
        <v>-1828.462949935493</v>
      </c>
      <c r="DE87" s="40"/>
      <c r="DF87" s="36">
        <f t="shared" si="121"/>
        <v>200</v>
      </c>
      <c r="DG87" s="35">
        <f t="shared" si="416"/>
        <v>0.28399999999999997</v>
      </c>
      <c r="DH87" s="197">
        <f t="shared" si="129"/>
        <v>169.23611111111677</v>
      </c>
      <c r="DI87" s="41">
        <f t="shared" si="417"/>
        <v>0.46366057838662128</v>
      </c>
      <c r="DJ87" s="40">
        <f t="shared" ca="1" si="388"/>
        <v>-0.9352187417596739</v>
      </c>
      <c r="DK87" s="40">
        <f t="shared" si="389"/>
        <v>2.5189751902588361E-2</v>
      </c>
      <c r="DL87" s="40">
        <f t="shared" si="390"/>
        <v>0.19338305926412305</v>
      </c>
      <c r="DM87" s="42">
        <f t="shared" ca="1" si="391"/>
        <v>-4.7058361436622311</v>
      </c>
      <c r="DN87" s="42">
        <f t="shared" ca="1" si="392"/>
        <v>-4.8992192029263544</v>
      </c>
      <c r="DO87" s="42">
        <f t="shared" ca="1" si="393"/>
        <v>1.2641376715952285E-6</v>
      </c>
      <c r="DP87" s="42">
        <f t="shared" ca="1" si="394"/>
        <v>0.99999873586232846</v>
      </c>
      <c r="DQ87" s="42">
        <f t="shared" ca="1" si="395"/>
        <v>4.8109125735963609E-7</v>
      </c>
      <c r="DR87" s="42">
        <f t="shared" ca="1" si="396"/>
        <v>0.99999951890874261</v>
      </c>
      <c r="DS87" s="42">
        <f t="shared" si="397"/>
        <v>0.98162450344672281</v>
      </c>
      <c r="DT87" s="42">
        <f t="shared" si="398"/>
        <v>196.32490068934456</v>
      </c>
      <c r="DU87" s="42">
        <f t="shared" si="399"/>
        <v>0.98801719747153338</v>
      </c>
      <c r="DV87" s="42">
        <f t="shared" ca="1" si="400"/>
        <v>77.559350001515369</v>
      </c>
      <c r="DW87" s="42">
        <f t="shared" ca="1" si="401"/>
        <v>6.1973706863808784E-6</v>
      </c>
      <c r="DX87" s="42">
        <f t="shared" si="402"/>
        <v>0</v>
      </c>
      <c r="DY87" s="92">
        <f t="shared" si="111"/>
        <v>0</v>
      </c>
      <c r="DZ87" s="42">
        <f t="shared" si="112"/>
        <v>0</v>
      </c>
      <c r="EA87" s="42">
        <f t="shared" si="418"/>
        <v>0</v>
      </c>
      <c r="EB87" s="42">
        <f t="shared" si="114"/>
        <v>0</v>
      </c>
      <c r="EC87" s="42">
        <f t="shared" si="115"/>
        <v>0</v>
      </c>
      <c r="ED87" s="42">
        <f t="shared" ca="1" si="424"/>
        <v>0</v>
      </c>
      <c r="EE87" s="40"/>
      <c r="EF87" s="120">
        <f t="shared" ca="1" si="130"/>
        <v>78.5</v>
      </c>
      <c r="EG87" s="42">
        <f t="shared" ca="1" si="403"/>
        <v>180.54892844967958</v>
      </c>
      <c r="EH87" s="36">
        <f t="shared" ca="1" si="419"/>
        <v>180.54892844967958</v>
      </c>
      <c r="EI87" s="36">
        <f t="shared" ca="1" si="124"/>
        <v>11.167999999999999</v>
      </c>
      <c r="EJ87" s="153">
        <f t="shared" ca="1" si="131"/>
        <v>1</v>
      </c>
      <c r="EK87" s="153" t="str">
        <f t="shared" ca="1" si="229"/>
        <v/>
      </c>
      <c r="EL87" s="153" t="str">
        <f t="shared" ca="1" si="132"/>
        <v/>
      </c>
      <c r="EM87" s="153">
        <f t="shared" ca="1" si="230"/>
        <v>1</v>
      </c>
      <c r="EN87" s="153">
        <f t="shared" ca="1" si="231"/>
        <v>0</v>
      </c>
    </row>
    <row r="88" spans="1:146" x14ac:dyDescent="0.3">
      <c r="A88" s="36">
        <f ca="1">IF($M$22=1,A87+'Auto X'!$E$6,A$48)</f>
        <v>79</v>
      </c>
      <c r="B88" s="35">
        <f>IF($M$22=2,B87+'Auto X'!$E$6,B$48)</f>
        <v>0.28399999999999997</v>
      </c>
      <c r="C88" s="39">
        <f>IF($M$22=3,C87+'Auto X'!$E$6,C$48)</f>
        <v>45295.440972222219</v>
      </c>
      <c r="D88" s="35">
        <f>IF($M$22=4,D87+'Auto X'!$E$6,D$48)</f>
        <v>2.5999999999999999E-2</v>
      </c>
      <c r="E88" s="35">
        <f>IF($M$22=5,E87+'Auto X'!$E$6,E$48)</f>
        <v>0.04</v>
      </c>
      <c r="F88" s="36">
        <f t="shared" si="117"/>
        <v>75</v>
      </c>
      <c r="G88" s="35">
        <f t="shared" si="404"/>
        <v>0.28399999999999997</v>
      </c>
      <c r="H88" s="197">
        <f t="shared" si="125"/>
        <v>169.23611111111677</v>
      </c>
      <c r="I88" s="41">
        <f t="shared" si="405"/>
        <v>0.46366057838662128</v>
      </c>
      <c r="J88" s="40">
        <f t="shared" ca="1" si="328"/>
        <v>5.1959738930710958E-2</v>
      </c>
      <c r="K88" s="40">
        <f t="shared" si="329"/>
        <v>2.5189751902588361E-2</v>
      </c>
      <c r="L88" s="40">
        <f t="shared" si="330"/>
        <v>0.19338305926412305</v>
      </c>
      <c r="M88" s="42">
        <f t="shared" ca="1" si="331"/>
        <v>0.39894648024948431</v>
      </c>
      <c r="N88" s="42">
        <f t="shared" ca="1" si="332"/>
        <v>0.20556342098536126</v>
      </c>
      <c r="O88" s="42">
        <f t="shared" ca="1" si="333"/>
        <v>0.65503368005540741</v>
      </c>
      <c r="P88" s="42">
        <f t="shared" ca="1" si="334"/>
        <v>0.34496631994459259</v>
      </c>
      <c r="Q88" s="42">
        <f t="shared" ca="1" si="335"/>
        <v>0.58143402346262185</v>
      </c>
      <c r="R88" s="42">
        <f t="shared" ca="1" si="336"/>
        <v>0.41856597653737809</v>
      </c>
      <c r="S88" s="42">
        <f t="shared" si="337"/>
        <v>0.98162450344672281</v>
      </c>
      <c r="T88" s="42">
        <f t="shared" si="338"/>
        <v>73.621837758504213</v>
      </c>
      <c r="U88" s="42">
        <f t="shared" si="339"/>
        <v>0.98801719747153338</v>
      </c>
      <c r="V88" s="42">
        <f t="shared" ca="1" si="340"/>
        <v>78.053358600251144</v>
      </c>
      <c r="W88" s="42">
        <f t="shared" ca="1" si="341"/>
        <v>0.36842516049569568</v>
      </c>
      <c r="X88" s="42">
        <f t="shared" ca="1" si="342"/>
        <v>3.8898165402204796</v>
      </c>
      <c r="Y88" s="42">
        <f t="shared" ca="1" si="19"/>
        <v>-0.3408326566537247</v>
      </c>
      <c r="Z88" s="42">
        <f t="shared" ca="1" si="20"/>
        <v>2.3826939809706967E-2</v>
      </c>
      <c r="AA88" s="42">
        <f t="shared" ca="1" si="406"/>
        <v>-1.4970900174550654E-2</v>
      </c>
      <c r="AB88" s="42">
        <f t="shared" ca="1" si="22"/>
        <v>0.19581274832655496</v>
      </c>
      <c r="AC88" s="42">
        <f t="shared" ca="1" si="23"/>
        <v>-0.14287977257508536</v>
      </c>
      <c r="AD88" s="42">
        <f t="shared" ca="1" si="420"/>
        <v>144.90827011023976</v>
      </c>
      <c r="AF88" s="36">
        <f t="shared" si="118"/>
        <v>80</v>
      </c>
      <c r="AG88" s="35">
        <f t="shared" si="407"/>
        <v>0.28399999999999997</v>
      </c>
      <c r="AH88" s="197">
        <f t="shared" si="126"/>
        <v>169.23611111111677</v>
      </c>
      <c r="AI88" s="41">
        <f t="shared" si="408"/>
        <v>0.46366057838662128</v>
      </c>
      <c r="AJ88" s="40">
        <f t="shared" ca="1" si="343"/>
        <v>-1.2578782206860073E-2</v>
      </c>
      <c r="AK88" s="40">
        <f t="shared" si="344"/>
        <v>2.5189751902588361E-2</v>
      </c>
      <c r="AL88" s="40">
        <f t="shared" si="345"/>
        <v>0.19338305926412305</v>
      </c>
      <c r="AM88" s="42">
        <f t="shared" ca="1" si="346"/>
        <v>6.5212380772734571E-2</v>
      </c>
      <c r="AN88" s="42">
        <f t="shared" ca="1" si="347"/>
        <v>-0.12817067849138847</v>
      </c>
      <c r="AO88" s="42">
        <f t="shared" ca="1" si="348"/>
        <v>0.52599754815916078</v>
      </c>
      <c r="AP88" s="42">
        <f t="shared" ca="1" si="349"/>
        <v>0.47400245184083928</v>
      </c>
      <c r="AQ88" s="42">
        <f t="shared" ca="1" si="350"/>
        <v>0.44900695191401274</v>
      </c>
      <c r="AR88" s="42">
        <f t="shared" ca="1" si="351"/>
        <v>0.55099304808598726</v>
      </c>
      <c r="AS88" s="42">
        <f t="shared" si="352"/>
        <v>0.98162450344672281</v>
      </c>
      <c r="AT88" s="42">
        <f t="shared" si="353"/>
        <v>78.529960275737821</v>
      </c>
      <c r="AU88" s="42">
        <f t="shared" si="354"/>
        <v>0.98801719747153338</v>
      </c>
      <c r="AV88" s="42">
        <f t="shared" ca="1" si="355"/>
        <v>78.053358600251144</v>
      </c>
      <c r="AW88" s="42">
        <f t="shared" ca="1" si="356"/>
        <v>0.39809489976184897</v>
      </c>
      <c r="AX88" s="42">
        <f t="shared" ca="1" si="357"/>
        <v>6.2719788274689705</v>
      </c>
      <c r="AY88" s="42">
        <f t="shared" ca="1" si="42"/>
        <v>-0.46832257406242145</v>
      </c>
      <c r="AZ88" s="42">
        <f t="shared" ca="1" si="43"/>
        <v>2.574575309247296E-2</v>
      </c>
      <c r="BA88" s="42">
        <f t="shared" ca="1" si="409"/>
        <v>-1.5646653902382443E-2</v>
      </c>
      <c r="BB88" s="42">
        <f t="shared" ca="1" si="45"/>
        <v>0.21158179401285154</v>
      </c>
      <c r="BC88" s="42">
        <f t="shared" ca="1" si="46"/>
        <v>-0.20062343860115109</v>
      </c>
      <c r="BD88" s="42">
        <f t="shared" ca="1" si="421"/>
        <v>-310.98941373448508</v>
      </c>
      <c r="BE88" s="40"/>
      <c r="BF88" s="36">
        <f t="shared" si="119"/>
        <v>90</v>
      </c>
      <c r="BG88" s="35">
        <f t="shared" si="410"/>
        <v>0.28399999999999997</v>
      </c>
      <c r="BH88" s="197">
        <f t="shared" si="127"/>
        <v>169.23611111111677</v>
      </c>
      <c r="BI88" s="41">
        <f t="shared" si="411"/>
        <v>0.46366057838662128</v>
      </c>
      <c r="BJ88" s="40">
        <f t="shared" ca="1" si="358"/>
        <v>-0.13036181786324358</v>
      </c>
      <c r="BK88" s="40">
        <f t="shared" si="359"/>
        <v>2.5189751902588361E-2</v>
      </c>
      <c r="BL88" s="40">
        <f t="shared" si="360"/>
        <v>0.19338305926412305</v>
      </c>
      <c r="BM88" s="42">
        <f t="shared" ca="1" si="361"/>
        <v>-0.5438535638068015</v>
      </c>
      <c r="BN88" s="42">
        <f t="shared" ca="1" si="362"/>
        <v>-0.73723662307092452</v>
      </c>
      <c r="BO88" s="42">
        <f t="shared" ca="1" si="363"/>
        <v>0.29327112291400237</v>
      </c>
      <c r="BP88" s="42">
        <f t="shared" ca="1" si="364"/>
        <v>0.70672887708599763</v>
      </c>
      <c r="BQ88" s="42">
        <f t="shared" ca="1" si="365"/>
        <v>0.23048923282810246</v>
      </c>
      <c r="BR88" s="42">
        <f t="shared" ca="1" si="366"/>
        <v>0.76951076717189748</v>
      </c>
      <c r="BS88" s="42">
        <f t="shared" si="367"/>
        <v>0.98162450344672281</v>
      </c>
      <c r="BT88" s="42">
        <f t="shared" si="368"/>
        <v>88.34620531020505</v>
      </c>
      <c r="BU88" s="42">
        <f t="shared" si="369"/>
        <v>0.98801719747153338</v>
      </c>
      <c r="BV88" s="42">
        <f t="shared" ca="1" si="370"/>
        <v>78.053358600251144</v>
      </c>
      <c r="BW88" s="42">
        <f t="shared" ca="1" si="371"/>
        <v>0.34409865234921766</v>
      </c>
      <c r="BX88" s="42">
        <f t="shared" ca="1" si="372"/>
        <v>2.5279470386817628</v>
      </c>
      <c r="BY88" s="42">
        <f t="shared" ca="1" si="65"/>
        <v>0.28975691296082223</v>
      </c>
      <c r="BZ88" s="42">
        <f t="shared" ca="1" si="66"/>
        <v>2.2253686113877336E-2</v>
      </c>
      <c r="CA88" s="42">
        <f t="shared" ca="1" si="412"/>
        <v>-1.594607624467884E-2</v>
      </c>
      <c r="CB88" s="42">
        <f t="shared" ca="1" si="68"/>
        <v>0.18288355421032995</v>
      </c>
      <c r="CC88" s="42">
        <f t="shared" ca="1" si="69"/>
        <v>9.4414503844540684E-2</v>
      </c>
      <c r="CD88" s="42">
        <f t="shared" ca="1" si="422"/>
        <v>2136.0264806591185</v>
      </c>
      <c r="CE88" s="40"/>
      <c r="CF88" s="36">
        <f t="shared" si="120"/>
        <v>95</v>
      </c>
      <c r="CG88" s="35">
        <f t="shared" si="413"/>
        <v>0.28399999999999997</v>
      </c>
      <c r="CH88" s="197">
        <f t="shared" si="128"/>
        <v>169.23611111111677</v>
      </c>
      <c r="CI88" s="41">
        <f t="shared" si="414"/>
        <v>0.46366057838662128</v>
      </c>
      <c r="CJ88" s="40">
        <f t="shared" ca="1" si="373"/>
        <v>-0.1844290391335193</v>
      </c>
      <c r="CK88" s="40">
        <f t="shared" si="374"/>
        <v>2.5189751902588361E-2</v>
      </c>
      <c r="CL88" s="40">
        <f t="shared" si="375"/>
        <v>0.19338305926412305</v>
      </c>
      <c r="CM88" s="42">
        <f t="shared" ca="1" si="376"/>
        <v>-0.82343969444314946</v>
      </c>
      <c r="CN88" s="42">
        <f t="shared" ca="1" si="377"/>
        <v>-1.0168227537072725</v>
      </c>
      <c r="CO88" s="42">
        <f t="shared" ca="1" si="378"/>
        <v>0.2051289989245102</v>
      </c>
      <c r="CP88" s="42">
        <f t="shared" ca="1" si="379"/>
        <v>0.7948710010754898</v>
      </c>
      <c r="CQ88" s="42">
        <f t="shared" ca="1" si="380"/>
        <v>0.1546188778865534</v>
      </c>
      <c r="CR88" s="42">
        <f t="shared" ca="1" si="381"/>
        <v>0.84538112211344663</v>
      </c>
      <c r="CS88" s="42">
        <f t="shared" si="382"/>
        <v>0.98162450344672281</v>
      </c>
      <c r="CT88" s="42">
        <f t="shared" si="383"/>
        <v>93.254327827438672</v>
      </c>
      <c r="CU88" s="42">
        <f t="shared" si="384"/>
        <v>0.98801719747153338</v>
      </c>
      <c r="CV88" s="42">
        <f t="shared" ca="1" si="385"/>
        <v>78.053358600251144</v>
      </c>
      <c r="CW88" s="42">
        <f t="shared" ca="1" si="386"/>
        <v>0.28423185063551132</v>
      </c>
      <c r="CX88" s="42">
        <f t="shared" ca="1" si="387"/>
        <v>1.5921277856219671</v>
      </c>
      <c r="CY88" s="42">
        <f t="shared" ca="1" si="88"/>
        <v>0.20267097863753575</v>
      </c>
      <c r="CZ88" s="42">
        <f t="shared" ca="1" si="89"/>
        <v>1.8381956291970106E-2</v>
      </c>
      <c r="DA88" s="42">
        <f t="shared" ca="1" si="415"/>
        <v>-1.3114984401477308E-2</v>
      </c>
      <c r="DB88" s="42">
        <f t="shared" ca="1" si="91"/>
        <v>0.15106519804456345</v>
      </c>
      <c r="DC88" s="42">
        <f t="shared" ca="1" si="92"/>
        <v>6.6854660210568378E-2</v>
      </c>
      <c r="DD88" s="42">
        <f t="shared" ca="1" si="423"/>
        <v>-1778.9361071890166</v>
      </c>
      <c r="DE88" s="40"/>
      <c r="DF88" s="36">
        <f t="shared" si="121"/>
        <v>200</v>
      </c>
      <c r="DG88" s="35">
        <f t="shared" si="416"/>
        <v>0.28399999999999997</v>
      </c>
      <c r="DH88" s="197">
        <f t="shared" si="129"/>
        <v>169.23611111111677</v>
      </c>
      <c r="DI88" s="41">
        <f t="shared" si="417"/>
        <v>0.46366057838662128</v>
      </c>
      <c r="DJ88" s="40">
        <f t="shared" ca="1" si="388"/>
        <v>-0.92886951408101515</v>
      </c>
      <c r="DK88" s="40">
        <f t="shared" si="389"/>
        <v>2.5189751902588361E-2</v>
      </c>
      <c r="DL88" s="40">
        <f t="shared" si="390"/>
        <v>0.19338305926412305</v>
      </c>
      <c r="DM88" s="42">
        <f t="shared" ca="1" si="391"/>
        <v>-4.6730037554332968</v>
      </c>
      <c r="DN88" s="42">
        <f t="shared" ca="1" si="392"/>
        <v>-4.8663868146974201</v>
      </c>
      <c r="DO88" s="42">
        <f t="shared" ca="1" si="393"/>
        <v>1.4841316858621868E-6</v>
      </c>
      <c r="DP88" s="42">
        <f t="shared" ca="1" si="394"/>
        <v>0.99999851586831412</v>
      </c>
      <c r="DQ88" s="42">
        <f t="shared" ca="1" si="395"/>
        <v>5.6828482511692637E-7</v>
      </c>
      <c r="DR88" s="42">
        <f t="shared" ca="1" si="396"/>
        <v>0.99999943171517491</v>
      </c>
      <c r="DS88" s="42">
        <f t="shared" si="397"/>
        <v>0.98162450344672281</v>
      </c>
      <c r="DT88" s="42">
        <f t="shared" si="398"/>
        <v>196.32490068934456</v>
      </c>
      <c r="DU88" s="42">
        <f t="shared" si="399"/>
        <v>0.98801719747153338</v>
      </c>
      <c r="DV88" s="42">
        <f t="shared" ca="1" si="400"/>
        <v>78.053358600251144</v>
      </c>
      <c r="DW88" s="42">
        <f t="shared" ca="1" si="401"/>
        <v>7.2289223724841181E-6</v>
      </c>
      <c r="DX88" s="42">
        <f t="shared" si="402"/>
        <v>0</v>
      </c>
      <c r="DY88" s="92">
        <f t="shared" si="111"/>
        <v>0</v>
      </c>
      <c r="DZ88" s="42">
        <f t="shared" si="112"/>
        <v>0</v>
      </c>
      <c r="EA88" s="42">
        <f t="shared" si="418"/>
        <v>0</v>
      </c>
      <c r="EB88" s="42">
        <f t="shared" si="114"/>
        <v>0</v>
      </c>
      <c r="EC88" s="42">
        <f t="shared" si="115"/>
        <v>0</v>
      </c>
      <c r="ED88" s="42">
        <f t="shared" ca="1" si="424"/>
        <v>0</v>
      </c>
      <c r="EE88" s="40"/>
      <c r="EF88" s="120">
        <f t="shared" ca="1" si="130"/>
        <v>79</v>
      </c>
      <c r="EG88" s="42">
        <f t="shared" ca="1" si="403"/>
        <v>191.00922984585668</v>
      </c>
      <c r="EH88" s="36">
        <f t="shared" ca="1" si="419"/>
        <v>191.00922984585668</v>
      </c>
      <c r="EI88" s="36">
        <f t="shared" ca="1" si="124"/>
        <v>10.46</v>
      </c>
      <c r="EJ88" s="153">
        <f t="shared" ca="1" si="131"/>
        <v>1</v>
      </c>
      <c r="EK88" s="153" t="str">
        <f t="shared" ca="1" si="229"/>
        <v/>
      </c>
      <c r="EL88" s="153" t="str">
        <f ca="1">IF(EK88="",IF(OR(AND(EH88=0,EH87&lt;&gt;0),AND(EH88&lt;&gt;0,SIGN(EH88)=-SIGN(EH87))),"B/E ALL",""),EK88)</f>
        <v/>
      </c>
      <c r="EM88" s="153">
        <f t="shared" ca="1" si="230"/>
        <v>1</v>
      </c>
      <c r="EN88" s="153">
        <f t="shared" ca="1" si="231"/>
        <v>0</v>
      </c>
      <c r="EP88" s="267"/>
    </row>
    <row r="89" spans="1:146" x14ac:dyDescent="0.3">
      <c r="A89" s="36">
        <f ca="1">IF($M$22=1,A88+'Auto X'!$E$6,A$48)</f>
        <v>79.5</v>
      </c>
      <c r="B89" s="35">
        <f>IF($M$22=2,B88+'Auto X'!$E$6,B$48)</f>
        <v>0.28399999999999997</v>
      </c>
      <c r="C89" s="39">
        <f>IF($M$22=3,C88+'Auto X'!$E$6,C$48)</f>
        <v>45295.440972222219</v>
      </c>
      <c r="D89" s="35">
        <f>IF($M$22=4,D88+'Auto X'!$E$6,D$48)</f>
        <v>2.5999999999999999E-2</v>
      </c>
      <c r="E89" s="35">
        <f>IF($M$22=5,E88+'Auto X'!$E$6,E$48)</f>
        <v>0.04</v>
      </c>
      <c r="F89" s="36">
        <f t="shared" si="117"/>
        <v>75</v>
      </c>
      <c r="G89" s="35">
        <f t="shared" si="404"/>
        <v>0.28399999999999997</v>
      </c>
      <c r="H89" s="197">
        <f t="shared" si="125"/>
        <v>169.23611111111677</v>
      </c>
      <c r="I89" s="41">
        <f t="shared" si="405"/>
        <v>0.46366057838662128</v>
      </c>
      <c r="J89" s="40">
        <f t="shared" ref="J89:J100" ca="1" si="425">LN($A89/F89)</f>
        <v>5.8268908123975824E-2</v>
      </c>
      <c r="K89" s="40">
        <f t="shared" ref="K89:K100" si="426">($E89-$D89+POWER(G89,2)/2)*I89</f>
        <v>2.5189751902588361E-2</v>
      </c>
      <c r="L89" s="40">
        <f t="shared" ref="L89:L100" si="427">MAX(0,0.000000000001,G89*SQRT(I89))</f>
        <v>0.19338305926412305</v>
      </c>
      <c r="M89" s="42">
        <f t="shared" ref="M89:M100" ca="1" si="428">(J89+K89)/L89</f>
        <v>0.43157172269457245</v>
      </c>
      <c r="N89" s="42">
        <f t="shared" ref="N89:N100" ca="1" si="429">M89-L89</f>
        <v>0.23818866343044939</v>
      </c>
      <c r="O89" s="42">
        <f t="shared" ref="O89:O100" ca="1" si="430">_xlfn.NORM.DIST(M89,0,1,TRUE)</f>
        <v>0.66697364295831962</v>
      </c>
      <c r="P89" s="42">
        <f t="shared" ref="P89:P100" ca="1" si="431">_xlfn.NORM.DIST(-M89,0,1,TRUE)</f>
        <v>0.33302635704168038</v>
      </c>
      <c r="Q89" s="42">
        <f t="shared" ref="Q89:Q100" ca="1" si="432">_xlfn.NORM.DIST(N89,0,1,TRUE)</f>
        <v>0.59413261530015915</v>
      </c>
      <c r="R89" s="42">
        <f t="shared" ref="R89:R100" ca="1" si="433">_xlfn.NORM.DIST(-N89,0,1,TRUE)</f>
        <v>0.40586738469984085</v>
      </c>
      <c r="S89" s="42">
        <f t="shared" ref="S89:S100" si="434">EXP(-$E89*I89)</f>
        <v>0.98162450344672281</v>
      </c>
      <c r="T89" s="42">
        <f t="shared" ref="T89:T100" si="435">F89*S89</f>
        <v>73.621837758504213</v>
      </c>
      <c r="U89" s="42">
        <f t="shared" ref="U89:U100" si="436">EXP(-$D89*I89)</f>
        <v>0.98801719747153338</v>
      </c>
      <c r="V89" s="42">
        <f t="shared" ref="V89:V100" ca="1" si="437">$A89*U89</f>
        <v>78.547367198986905</v>
      </c>
      <c r="W89" s="42">
        <f t="shared" ref="W89:W100" ca="1" si="438">EXP(-1*POWER(M89,2)/2)/SQRT(2*PI())</f>
        <v>0.36346742200514903</v>
      </c>
      <c r="X89" s="42">
        <f t="shared" ref="X89:X100" ca="1" si="439">IF($F$8=1,0,IF($F$8=2,$A89,IF($F$8=3,V89*O89-T89*Q89,T89*R89-V89*P89)))</f>
        <v>3.7223591943463106</v>
      </c>
      <c r="Y89" s="42">
        <f t="shared" ca="1" si="19"/>
        <v>-0.32903576796847528</v>
      </c>
      <c r="Z89" s="42">
        <f t="shared" ca="1" si="20"/>
        <v>2.3358472523069721E-2</v>
      </c>
      <c r="AA89" s="42">
        <f t="shared" ca="1" si="406"/>
        <v>-1.4900184535974411E-2</v>
      </c>
      <c r="AB89" s="42">
        <f t="shared" ca="1" si="22"/>
        <v>0.1944004248035161</v>
      </c>
      <c r="AC89" s="42">
        <f t="shared" ca="1" si="23"/>
        <v>-0.13854503918662242</v>
      </c>
      <c r="AD89" s="42">
        <f t="shared" ca="1" si="420"/>
        <v>61.179597173155244</v>
      </c>
      <c r="AF89" s="36">
        <f t="shared" si="118"/>
        <v>80</v>
      </c>
      <c r="AG89" s="35">
        <f t="shared" si="407"/>
        <v>0.28399999999999997</v>
      </c>
      <c r="AH89" s="197">
        <f t="shared" si="126"/>
        <v>169.23611111111677</v>
      </c>
      <c r="AI89" s="41">
        <f t="shared" si="408"/>
        <v>0.46366057838662128</v>
      </c>
      <c r="AJ89" s="40">
        <f t="shared" ref="AJ89:AJ100" ca="1" si="440">LN($A89/AF89)</f>
        <v>-6.2696130135953742E-3</v>
      </c>
      <c r="AK89" s="40">
        <f t="shared" ref="AK89:AK100" si="441">($E89-$D89+POWER(AG89,2)/2)*AI89</f>
        <v>2.5189751902588361E-2</v>
      </c>
      <c r="AL89" s="40">
        <f t="shared" ref="AL89:AL100" si="442">MAX(0,0.000000000001,AG89*SQRT(AI89))</f>
        <v>0.19338305926412305</v>
      </c>
      <c r="AM89" s="42">
        <f t="shared" ref="AM89:AM100" ca="1" si="443">(AJ89+AK89)/AL89</f>
        <v>9.7837623217821856E-2</v>
      </c>
      <c r="AN89" s="42">
        <f t="shared" ref="AN89:AN100" ca="1" si="444">AM89-AL89</f>
        <v>-9.5545436046301196E-2</v>
      </c>
      <c r="AO89" s="42">
        <f t="shared" ref="AO89:AO100" ca="1" si="445">_xlfn.NORM.DIST(AM89,0,1,TRUE)</f>
        <v>0.53896938416209594</v>
      </c>
      <c r="AP89" s="42">
        <f t="shared" ref="AP89:AP100" ca="1" si="446">_xlfn.NORM.DIST(-AM89,0,1,TRUE)</f>
        <v>0.46103061583790406</v>
      </c>
      <c r="AQ89" s="42">
        <f t="shared" ref="AQ89:AQ100" ca="1" si="447">_xlfn.NORM.DIST(AN89,0,1,TRUE)</f>
        <v>0.46194080128014886</v>
      </c>
      <c r="AR89" s="42">
        <f t="shared" ref="AR89:AR100" ca="1" si="448">_xlfn.NORM.DIST(-AN89,0,1,TRUE)</f>
        <v>0.53805919871985108</v>
      </c>
      <c r="AS89" s="42">
        <f t="shared" ref="AS89:AS100" si="449">EXP(-$E89*AI89)</f>
        <v>0.98162450344672281</v>
      </c>
      <c r="AT89" s="42">
        <f t="shared" ref="AT89:AT100" si="450">AF89*AS89</f>
        <v>78.529960275737821</v>
      </c>
      <c r="AU89" s="42">
        <f t="shared" ref="AU89:AU100" si="451">EXP(-$D89*AI89)</f>
        <v>0.98801719747153338</v>
      </c>
      <c r="AV89" s="42">
        <f t="shared" ref="AV89:AV100" ca="1" si="452">$A89*AU89</f>
        <v>78.547367198986905</v>
      </c>
      <c r="AW89" s="42">
        <f t="shared" ref="AW89:AW100" ca="1" si="453">EXP(-1*POWER(AM89,2)/2)/SQRT(2*PI())</f>
        <v>0.39703746460587447</v>
      </c>
      <c r="AX89" s="42">
        <f t="shared" ref="AX89:AX100" ca="1" si="454">IF($F$10=1,0,IF($F$10=2,$A89,IF($F$10=3,AV89*AO89-AT89*AQ89,AT89*AR89-AV89*AP89)))</f>
        <v>6.0410264292703104</v>
      </c>
      <c r="AY89" s="42">
        <f t="shared" ca="1" si="42"/>
        <v>-0.45550617700874108</v>
      </c>
      <c r="AZ89" s="42">
        <f t="shared" ca="1" si="43"/>
        <v>2.5515873352451941E-2</v>
      </c>
      <c r="BA89" s="42">
        <f t="shared" ca="1" si="409"/>
        <v>-1.5766969827885332E-2</v>
      </c>
      <c r="BB89" s="42">
        <f t="shared" ca="1" si="45"/>
        <v>0.21235535046439338</v>
      </c>
      <c r="BC89" s="42">
        <f t="shared" ca="1" si="46"/>
        <v>-0.1959140627874319</v>
      </c>
      <c r="BD89" s="42">
        <f t="shared" ca="1" si="421"/>
        <v>-195.51321463515504</v>
      </c>
      <c r="BE89" s="40"/>
      <c r="BF89" s="36">
        <f t="shared" si="119"/>
        <v>90</v>
      </c>
      <c r="BG89" s="35">
        <f t="shared" si="410"/>
        <v>0.28399999999999997</v>
      </c>
      <c r="BH89" s="197">
        <f t="shared" si="127"/>
        <v>169.23611111111677</v>
      </c>
      <c r="BI89" s="41">
        <f t="shared" si="411"/>
        <v>0.46366057838662128</v>
      </c>
      <c r="BJ89" s="40">
        <f t="shared" ref="BJ89:BJ100" ca="1" si="455">LN($A89/BF89)</f>
        <v>-0.12405264866997888</v>
      </c>
      <c r="BK89" s="40">
        <f t="shared" ref="BK89:BK100" si="456">($E89-$D89+POWER(BG89,2)/2)*BI89</f>
        <v>2.5189751902588361E-2</v>
      </c>
      <c r="BL89" s="40">
        <f t="shared" ref="BL89:BL100" si="457">MAX(0,0.000000000001,BG89*SQRT(BI89))</f>
        <v>0.19338305926412305</v>
      </c>
      <c r="BM89" s="42">
        <f t="shared" ref="BM89:BM100" ca="1" si="458">(BJ89+BK89)/BL89</f>
        <v>-0.51122832136171414</v>
      </c>
      <c r="BN89" s="42">
        <f t="shared" ref="BN89:BN100" ca="1" si="459">BM89-BL89</f>
        <v>-0.70461138062583717</v>
      </c>
      <c r="BO89" s="42">
        <f t="shared" ref="BO89:BO100" ca="1" si="460">_xlfn.NORM.DIST(BM89,0,1,TRUE)</f>
        <v>0.30459559475054071</v>
      </c>
      <c r="BP89" s="42">
        <f t="shared" ref="BP89:BP100" ca="1" si="461">_xlfn.NORM.DIST(-BM89,0,1,TRUE)</f>
        <v>0.69540440524945923</v>
      </c>
      <c r="BQ89" s="42">
        <f t="shared" ref="BQ89:BQ100" ca="1" si="462">_xlfn.NORM.DIST(BN89,0,1,TRUE)</f>
        <v>0.24052605708626235</v>
      </c>
      <c r="BR89" s="42">
        <f t="shared" ref="BR89:BR100" ca="1" si="463">_xlfn.NORM.DIST(-BN89,0,1,TRUE)</f>
        <v>0.7594739429137376</v>
      </c>
      <c r="BS89" s="42">
        <f t="shared" ref="BS89:BS100" si="464">EXP(-$E89*BI89)</f>
        <v>0.98162450344672281</v>
      </c>
      <c r="BT89" s="42">
        <f t="shared" ref="BT89:BT100" si="465">BF89*BS89</f>
        <v>88.34620531020505</v>
      </c>
      <c r="BU89" s="42">
        <f t="shared" ref="BU89:BU100" si="466">EXP(-$D89*BI89)</f>
        <v>0.98801719747153338</v>
      </c>
      <c r="BV89" s="42">
        <f t="shared" ref="BV89:BV100" ca="1" si="467">$A89*BU89</f>
        <v>78.547367198986905</v>
      </c>
      <c r="BW89" s="42">
        <f t="shared" ref="BW89:BW100" ca="1" si="468">EXP(-1*POWER(BM89,2)/2)/SQRT(2*PI())</f>
        <v>0.3500722450096726</v>
      </c>
      <c r="BX89" s="42">
        <f t="shared" ref="BX89:BX100" ca="1" si="469">IF($F$12=1,0,IF($F$12=2,$A89,IF($F$12=3,BV89*BO89-BT89*BQ89,BT89*BR89-BV89*BP89)))</f>
        <v>2.6756176062674975</v>
      </c>
      <c r="BY89" s="42">
        <f t="shared" ca="1" si="65"/>
        <v>0.30094568588760412</v>
      </c>
      <c r="BZ89" s="42">
        <f t="shared" ca="1" si="66"/>
        <v>2.2497622678359131E-2</v>
      </c>
      <c r="CA89" s="42">
        <f t="shared" ca="1" si="412"/>
        <v>-1.6334768082659084E-2</v>
      </c>
      <c r="CB89" s="42">
        <f t="shared" ca="1" si="68"/>
        <v>0.18723601902576248</v>
      </c>
      <c r="CC89" s="42">
        <f t="shared" ca="1" si="69"/>
        <v>9.8525853302741828E-2</v>
      </c>
      <c r="CD89" s="42">
        <f t="shared" ca="1" si="422"/>
        <v>2062.1911968662512</v>
      </c>
      <c r="CE89" s="40"/>
      <c r="CF89" s="36">
        <f t="shared" si="120"/>
        <v>95</v>
      </c>
      <c r="CG89" s="35">
        <f t="shared" si="413"/>
        <v>0.28399999999999997</v>
      </c>
      <c r="CH89" s="197">
        <f t="shared" si="128"/>
        <v>169.23611111111677</v>
      </c>
      <c r="CI89" s="41">
        <f t="shared" si="414"/>
        <v>0.46366057838662128</v>
      </c>
      <c r="CJ89" s="40">
        <f t="shared" ref="CJ89:CJ100" ca="1" si="470">LN($A89/CF89)</f>
        <v>-0.17811986994025455</v>
      </c>
      <c r="CK89" s="40">
        <f t="shared" ref="CK89:CK100" si="471">($E89-$D89+POWER(CG89,2)/2)*CI89</f>
        <v>2.5189751902588361E-2</v>
      </c>
      <c r="CL89" s="40">
        <f t="shared" ref="CL89:CL100" si="472">MAX(0,0.000000000001,CG89*SQRT(CI89))</f>
        <v>0.19338305926412305</v>
      </c>
      <c r="CM89" s="42">
        <f t="shared" ref="CM89:CM100" ca="1" si="473">(CJ89+CK89)/CL89</f>
        <v>-0.79081445199806188</v>
      </c>
      <c r="CN89" s="42">
        <f t="shared" ref="CN89:CN100" ca="1" si="474">CM89-CL89</f>
        <v>-0.98419751126218491</v>
      </c>
      <c r="CO89" s="42">
        <f t="shared" ref="CO89:CO100" ca="1" si="475">_xlfn.NORM.DIST(CM89,0,1,TRUE)</f>
        <v>0.21452613762154105</v>
      </c>
      <c r="CP89" s="42">
        <f t="shared" ref="CP89:CP100" ca="1" si="476">_xlfn.NORM.DIST(-CM89,0,1,TRUE)</f>
        <v>0.78547386237845895</v>
      </c>
      <c r="CQ89" s="42">
        <f t="shared" ref="CQ89:CQ100" ca="1" si="477">_xlfn.NORM.DIST(CN89,0,1,TRUE)</f>
        <v>0.16250920462055068</v>
      </c>
      <c r="CR89" s="42">
        <f t="shared" ref="CR89:CR100" ca="1" si="478">_xlfn.NORM.DIST(-CN89,0,1,TRUE)</f>
        <v>0.83749079537944926</v>
      </c>
      <c r="CS89" s="42">
        <f t="shared" ref="CS89:CS100" si="479">EXP(-$E89*CI89)</f>
        <v>0.98162450344672281</v>
      </c>
      <c r="CT89" s="42">
        <f t="shared" ref="CT89:CT100" si="480">CF89*CS89</f>
        <v>93.254327827438672</v>
      </c>
      <c r="CU89" s="42">
        <f t="shared" ref="CU89:CU100" si="481">EXP(-$D89*CI89)</f>
        <v>0.98801719747153338</v>
      </c>
      <c r="CV89" s="42">
        <f t="shared" ref="CV89:CV100" ca="1" si="482">$A89*CU89</f>
        <v>78.547367198986905</v>
      </c>
      <c r="CW89" s="42">
        <f t="shared" ref="CW89:CW100" ca="1" si="483">EXP(-1*POWER(CM89,2)/2)/SQRT(2*PI())</f>
        <v>0.29181586295470008</v>
      </c>
      <c r="CX89" s="42">
        <f t="shared" ref="CX89:CX100" ca="1" si="484">IF($F$14=1,0,IF($F$14=2,$A89,IF($F$14=3,CV89*CO89-CT89*CQ89,CT89*CR89-CV89*CP89)))</f>
        <v>1.6957766628784388</v>
      </c>
      <c r="CY89" s="42">
        <f t="shared" ca="1" si="88"/>
        <v>0.21195551327722748</v>
      </c>
      <c r="CZ89" s="42">
        <f t="shared" ca="1" si="89"/>
        <v>1.875373803522528E-2</v>
      </c>
      <c r="DA89" s="42">
        <f t="shared" ca="1" si="415"/>
        <v>-1.3556397860415724E-2</v>
      </c>
      <c r="DB89" s="42">
        <f t="shared" ca="1" si="91"/>
        <v>0.15607761325578909</v>
      </c>
      <c r="DC89" s="42">
        <f t="shared" ca="1" si="92"/>
        <v>7.0266307740042708E-2</v>
      </c>
      <c r="DD89" s="42">
        <f t="shared" ca="1" si="423"/>
        <v>-1727.1116685607808</v>
      </c>
      <c r="DE89" s="40"/>
      <c r="DF89" s="36">
        <f t="shared" si="121"/>
        <v>200</v>
      </c>
      <c r="DG89" s="35">
        <f t="shared" si="416"/>
        <v>0.28399999999999997</v>
      </c>
      <c r="DH89" s="197">
        <f t="shared" si="129"/>
        <v>169.23611111111677</v>
      </c>
      <c r="DI89" s="41">
        <f t="shared" si="417"/>
        <v>0.46366057838662128</v>
      </c>
      <c r="DJ89" s="40">
        <f t="shared" ref="DJ89:DJ100" ca="1" si="485">LN($A89/DF89)</f>
        <v>-0.92256034488775041</v>
      </c>
      <c r="DK89" s="40">
        <f t="shared" ref="DK89:DK100" si="486">($E89-$D89+POWER(DG89,2)/2)*DI89</f>
        <v>2.5189751902588361E-2</v>
      </c>
      <c r="DL89" s="40">
        <f t="shared" ref="DL89:DL100" si="487">MAX(0,0.000000000001,DG89*SQRT(DI89))</f>
        <v>0.19338305926412305</v>
      </c>
      <c r="DM89" s="42">
        <f t="shared" ref="DM89:DM100" ca="1" si="488">(DJ89+DK89)/DL89</f>
        <v>-4.6403785129882094</v>
      </c>
      <c r="DN89" s="42">
        <f t="shared" ref="DN89:DN100" ca="1" si="489">DM89-DL89</f>
        <v>-4.8337615722523326</v>
      </c>
      <c r="DO89" s="42">
        <f t="shared" ref="DO89:DO100" ca="1" si="490">_xlfn.NORM.DIST(DM89,0,1,TRUE)</f>
        <v>1.7388579052433696E-6</v>
      </c>
      <c r="DP89" s="42">
        <f t="shared" ref="DP89:DP100" ca="1" si="491">_xlfn.NORM.DIST(-DM89,0,1,TRUE)</f>
        <v>0.99999826114209478</v>
      </c>
      <c r="DQ89" s="42">
        <f t="shared" ref="DQ89:DQ100" ca="1" si="492">_xlfn.NORM.DIST(DN89,0,1,TRUE)</f>
        <v>6.6988519112496902E-7</v>
      </c>
      <c r="DR89" s="42">
        <f t="shared" ref="DR89:DR100" ca="1" si="493">_xlfn.NORM.DIST(-DN89,0,1,TRUE)</f>
        <v>0.9999993301148089</v>
      </c>
      <c r="DS89" s="42">
        <f t="shared" ref="DS89:DS100" si="494">EXP(-$E89*DI89)</f>
        <v>0.98162450344672281</v>
      </c>
      <c r="DT89" s="42">
        <f t="shared" ref="DT89:DT100" si="495">DF89*DS89</f>
        <v>196.32490068934456</v>
      </c>
      <c r="DU89" s="42">
        <f t="shared" ref="DU89:DU100" si="496">EXP(-$D89*DI89)</f>
        <v>0.98801719747153338</v>
      </c>
      <c r="DV89" s="42">
        <f t="shared" ref="DV89:DV100" ca="1" si="497">$A89*DU89</f>
        <v>78.547367198986905</v>
      </c>
      <c r="DW89" s="42">
        <f t="shared" ref="DW89:DW100" ca="1" si="498">EXP(-1*POWER(DM89,2)/2)/SQRT(2*PI())</f>
        <v>8.4149985291885597E-6</v>
      </c>
      <c r="DX89" s="42">
        <f t="shared" ref="DX89:DX100" si="499">IF($F$16=1,0,IF($F$16=2,$A89,IF($F$16=3,DV89*DO89-DT89*DQ89,DT89*DR89-DV89*DP89)))</f>
        <v>0</v>
      </c>
      <c r="DY89" s="92">
        <f t="shared" si="111"/>
        <v>0</v>
      </c>
      <c r="DZ89" s="42">
        <f t="shared" si="112"/>
        <v>0</v>
      </c>
      <c r="EA89" s="42">
        <f t="shared" si="418"/>
        <v>0</v>
      </c>
      <c r="EB89" s="42">
        <f t="shared" si="114"/>
        <v>0</v>
      </c>
      <c r="EC89" s="42">
        <f t="shared" si="115"/>
        <v>0</v>
      </c>
      <c r="ED89" s="42">
        <f t="shared" ca="1" si="424"/>
        <v>0</v>
      </c>
      <c r="EE89" s="40"/>
      <c r="EF89" s="120">
        <f t="shared" ca="1" si="130"/>
        <v>79.5</v>
      </c>
      <c r="EG89" s="42">
        <f t="shared" ref="EG89:EG100" ca="1" si="500">AD89+BD89+CD89+DD89+ED89</f>
        <v>200.74591084347048</v>
      </c>
      <c r="EH89" s="36">
        <f t="shared" ca="1" si="419"/>
        <v>200.74591084347048</v>
      </c>
      <c r="EI89" s="36">
        <f t="shared" ca="1" si="124"/>
        <v>9.7370000000000001</v>
      </c>
      <c r="EJ89" s="153">
        <f t="shared" ca="1" si="131"/>
        <v>1</v>
      </c>
      <c r="EK89" s="153" t="str">
        <f t="shared" ca="1" si="229"/>
        <v/>
      </c>
      <c r="EL89" s="153" t="str">
        <f t="shared" ref="EL89:EL149" ca="1" si="501">IF(EK89="",IF(OR(AND(EH89=0,EH88&lt;&gt;0),AND(EH89&lt;&gt;0,SIGN(EH89)=-SIGN(EH88))),"B/E ALL",""),EK89)</f>
        <v/>
      </c>
      <c r="EM89" s="153">
        <f t="shared" ca="1" si="230"/>
        <v>1</v>
      </c>
      <c r="EN89" s="153">
        <f t="shared" ca="1" si="231"/>
        <v>0</v>
      </c>
    </row>
    <row r="90" spans="1:146" x14ac:dyDescent="0.3">
      <c r="A90" s="36">
        <f ca="1">IF($M$22=1,A89+'Auto X'!$E$6,A$48)</f>
        <v>80</v>
      </c>
      <c r="B90" s="35">
        <f>IF($M$22=2,B89+'Auto X'!$E$6,B$48)</f>
        <v>0.28399999999999997</v>
      </c>
      <c r="C90" s="39">
        <f>IF($M$22=3,C89+'Auto X'!$E$6,C$48)</f>
        <v>45295.440972222219</v>
      </c>
      <c r="D90" s="35">
        <f>IF($M$22=4,D89+'Auto X'!$E$6,D$48)</f>
        <v>2.5999999999999999E-2</v>
      </c>
      <c r="E90" s="35">
        <f>IF($M$22=5,E89+'Auto X'!$E$6,E$48)</f>
        <v>0.04</v>
      </c>
      <c r="F90" s="36">
        <f t="shared" si="117"/>
        <v>75</v>
      </c>
      <c r="G90" s="35">
        <f t="shared" si="404"/>
        <v>0.28399999999999997</v>
      </c>
      <c r="H90" s="197">
        <f t="shared" si="125"/>
        <v>169.23611111111677</v>
      </c>
      <c r="I90" s="41">
        <f t="shared" si="405"/>
        <v>0.46366057838662128</v>
      </c>
      <c r="J90" s="40">
        <f t="shared" ca="1" si="425"/>
        <v>6.4538521137571164E-2</v>
      </c>
      <c r="K90" s="40">
        <f t="shared" si="426"/>
        <v>2.5189751902588361E-2</v>
      </c>
      <c r="L90" s="40">
        <f t="shared" si="427"/>
        <v>0.19338305926412305</v>
      </c>
      <c r="M90" s="42">
        <f t="shared" ca="1" si="428"/>
        <v>0.46399241682079523</v>
      </c>
      <c r="N90" s="42">
        <f t="shared" ca="1" si="429"/>
        <v>0.27060935755667215</v>
      </c>
      <c r="O90" s="42">
        <f t="shared" ca="1" si="430"/>
        <v>0.67867341067487852</v>
      </c>
      <c r="P90" s="42">
        <f t="shared" ca="1" si="431"/>
        <v>0.32132658932512148</v>
      </c>
      <c r="Q90" s="42">
        <f t="shared" ca="1" si="432"/>
        <v>0.60665425100175296</v>
      </c>
      <c r="R90" s="42">
        <f t="shared" ca="1" si="433"/>
        <v>0.39334574899824709</v>
      </c>
      <c r="S90" s="42">
        <f t="shared" si="434"/>
        <v>0.98162450344672281</v>
      </c>
      <c r="T90" s="42">
        <f t="shared" si="435"/>
        <v>73.621837758504213</v>
      </c>
      <c r="U90" s="42">
        <f t="shared" si="436"/>
        <v>0.98801719747153338</v>
      </c>
      <c r="V90" s="42">
        <f t="shared" ca="1" si="437"/>
        <v>79.041375797722665</v>
      </c>
      <c r="W90" s="42">
        <f t="shared" ca="1" si="438"/>
        <v>0.35822893467229883</v>
      </c>
      <c r="X90" s="42">
        <f t="shared" ca="1" si="439"/>
        <v>3.5607412150988402</v>
      </c>
      <c r="Y90" s="42">
        <f t="shared" ca="1" si="19"/>
        <v>-0.31747619625809287</v>
      </c>
      <c r="Z90" s="42">
        <f t="shared" ca="1" si="20"/>
        <v>2.2877931334508116E-2</v>
      </c>
      <c r="AA90" s="42">
        <f t="shared" ca="1" si="406"/>
        <v>-1.4813076127886191E-2</v>
      </c>
      <c r="AB90" s="42">
        <f t="shared" ca="1" si="22"/>
        <v>0.1928036444452271</v>
      </c>
      <c r="AC90" s="42">
        <f t="shared" ca="1" si="23"/>
        <v>-0.13427071073758756</v>
      </c>
      <c r="AD90" s="42">
        <f t="shared" ca="1" si="420"/>
        <v>-19.629392450579928</v>
      </c>
      <c r="AF90" s="36">
        <f t="shared" si="118"/>
        <v>80</v>
      </c>
      <c r="AG90" s="35">
        <f t="shared" si="407"/>
        <v>0.28399999999999997</v>
      </c>
      <c r="AH90" s="197">
        <f t="shared" si="126"/>
        <v>169.23611111111677</v>
      </c>
      <c r="AI90" s="41">
        <f t="shared" si="408"/>
        <v>0.46366057838662128</v>
      </c>
      <c r="AJ90" s="40">
        <f t="shared" ca="1" si="440"/>
        <v>0</v>
      </c>
      <c r="AK90" s="40">
        <f t="shared" si="441"/>
        <v>2.5189751902588361E-2</v>
      </c>
      <c r="AL90" s="40">
        <f t="shared" si="442"/>
        <v>0.19338305926412305</v>
      </c>
      <c r="AM90" s="42">
        <f t="shared" ca="1" si="443"/>
        <v>0.13025831734404478</v>
      </c>
      <c r="AN90" s="42">
        <f t="shared" ca="1" si="444"/>
        <v>-6.3124741920078276E-2</v>
      </c>
      <c r="AO90" s="42">
        <f t="shared" ca="1" si="445"/>
        <v>0.55181897151292092</v>
      </c>
      <c r="AP90" s="42">
        <f t="shared" ca="1" si="446"/>
        <v>0.44818102848707914</v>
      </c>
      <c r="AQ90" s="42">
        <f t="shared" ca="1" si="447"/>
        <v>0.47483358619092353</v>
      </c>
      <c r="AR90" s="42">
        <f t="shared" ca="1" si="448"/>
        <v>0.52516641380907647</v>
      </c>
      <c r="AS90" s="42">
        <f t="shared" si="449"/>
        <v>0.98162450344672281</v>
      </c>
      <c r="AT90" s="42">
        <f t="shared" si="450"/>
        <v>78.529960275737821</v>
      </c>
      <c r="AU90" s="42">
        <f t="shared" si="451"/>
        <v>0.98801719747153338</v>
      </c>
      <c r="AV90" s="42">
        <f t="shared" ca="1" si="452"/>
        <v>79.041375797722665</v>
      </c>
      <c r="AW90" s="42">
        <f t="shared" ca="1" si="453"/>
        <v>0.395572123608114</v>
      </c>
      <c r="AX90" s="42">
        <f t="shared" ca="1" si="454"/>
        <v>5.8164525165213945</v>
      </c>
      <c r="AY90" s="42">
        <f t="shared" ca="1" si="42"/>
        <v>-0.44281056372571331</v>
      </c>
      <c r="AZ90" s="42">
        <f t="shared" ca="1" si="43"/>
        <v>2.52628166120379E-2</v>
      </c>
      <c r="BA90" s="42">
        <f t="shared" ca="1" si="409"/>
        <v>-1.5867689932274075E-2</v>
      </c>
      <c r="BB90" s="42">
        <f t="shared" ca="1" si="45"/>
        <v>0.21290225241674171</v>
      </c>
      <c r="BC90" s="42">
        <f t="shared" ca="1" si="46"/>
        <v>-0.19121963905390235</v>
      </c>
      <c r="BD90" s="42">
        <f t="shared" ca="1" si="421"/>
        <v>-83.22625826069708</v>
      </c>
      <c r="BE90" s="40"/>
      <c r="BF90" s="36">
        <f t="shared" si="119"/>
        <v>90</v>
      </c>
      <c r="BG90" s="35">
        <f t="shared" si="410"/>
        <v>0.28399999999999997</v>
      </c>
      <c r="BH90" s="197">
        <f t="shared" si="127"/>
        <v>169.23611111111677</v>
      </c>
      <c r="BI90" s="41">
        <f t="shared" si="411"/>
        <v>0.46366057838662128</v>
      </c>
      <c r="BJ90" s="40">
        <f t="shared" ca="1" si="455"/>
        <v>-0.11778303565638351</v>
      </c>
      <c r="BK90" s="40">
        <f t="shared" si="456"/>
        <v>2.5189751902588361E-2</v>
      </c>
      <c r="BL90" s="40">
        <f t="shared" si="457"/>
        <v>0.19338305926412305</v>
      </c>
      <c r="BM90" s="42">
        <f t="shared" ca="1" si="458"/>
        <v>-0.47880762723549131</v>
      </c>
      <c r="BN90" s="42">
        <f t="shared" ca="1" si="459"/>
        <v>-0.67219068649961433</v>
      </c>
      <c r="BO90" s="42">
        <f t="shared" ca="1" si="460"/>
        <v>0.31603774505781046</v>
      </c>
      <c r="BP90" s="42">
        <f t="shared" ca="1" si="461"/>
        <v>0.68396225494218954</v>
      </c>
      <c r="BQ90" s="42">
        <f t="shared" ca="1" si="462"/>
        <v>0.2507311546903952</v>
      </c>
      <c r="BR90" s="42">
        <f t="shared" ca="1" si="463"/>
        <v>0.7492688453096048</v>
      </c>
      <c r="BS90" s="42">
        <f t="shared" si="464"/>
        <v>0.98162450344672281</v>
      </c>
      <c r="BT90" s="42">
        <f t="shared" si="465"/>
        <v>88.34620531020505</v>
      </c>
      <c r="BU90" s="42">
        <f t="shared" si="466"/>
        <v>0.98801719747153338</v>
      </c>
      <c r="BV90" s="42">
        <f t="shared" ca="1" si="467"/>
        <v>79.041375797722665</v>
      </c>
      <c r="BW90" s="42">
        <f t="shared" ca="1" si="468"/>
        <v>0.35573581896990764</v>
      </c>
      <c r="BX90" s="42">
        <f t="shared" ca="1" si="469"/>
        <v>2.8289121034368314</v>
      </c>
      <c r="BY90" s="42">
        <f t="shared" ca="1" si="65"/>
        <v>0.31225072716724084</v>
      </c>
      <c r="BZ90" s="42">
        <f t="shared" ca="1" si="66"/>
        <v>2.2718711002681864E-2</v>
      </c>
      <c r="CA90" s="42">
        <f t="shared" ca="1" si="412"/>
        <v>-1.6713001274282803E-2</v>
      </c>
      <c r="CB90" s="42">
        <f t="shared" ca="1" si="68"/>
        <v>0.19146181594696698</v>
      </c>
      <c r="CC90" s="42">
        <f t="shared" ca="1" si="69"/>
        <v>0.10270613198716044</v>
      </c>
      <c r="CD90" s="42">
        <f t="shared" ca="1" si="422"/>
        <v>1985.5439482815841</v>
      </c>
      <c r="CE90" s="40"/>
      <c r="CF90" s="36">
        <f t="shared" si="120"/>
        <v>95</v>
      </c>
      <c r="CG90" s="35">
        <f t="shared" si="413"/>
        <v>0.28399999999999997</v>
      </c>
      <c r="CH90" s="197">
        <f t="shared" si="128"/>
        <v>169.23611111111677</v>
      </c>
      <c r="CI90" s="41">
        <f t="shared" si="414"/>
        <v>0.46366057838662128</v>
      </c>
      <c r="CJ90" s="40">
        <f t="shared" ca="1" si="470"/>
        <v>-0.17185025692665928</v>
      </c>
      <c r="CK90" s="40">
        <f t="shared" si="471"/>
        <v>2.5189751902588361E-2</v>
      </c>
      <c r="CL90" s="40">
        <f t="shared" si="472"/>
        <v>0.19338305926412305</v>
      </c>
      <c r="CM90" s="42">
        <f t="shared" ca="1" si="473"/>
        <v>-0.75839375787183938</v>
      </c>
      <c r="CN90" s="42">
        <f t="shared" ca="1" si="474"/>
        <v>-0.95177681713596241</v>
      </c>
      <c r="CO90" s="42">
        <f t="shared" ca="1" si="475"/>
        <v>0.22410764681542483</v>
      </c>
      <c r="CP90" s="42">
        <f t="shared" ca="1" si="476"/>
        <v>0.77589235318457517</v>
      </c>
      <c r="CQ90" s="42">
        <f t="shared" ca="1" si="477"/>
        <v>0.17060509083650893</v>
      </c>
      <c r="CR90" s="42">
        <f t="shared" ca="1" si="478"/>
        <v>0.82939490916349112</v>
      </c>
      <c r="CS90" s="42">
        <f t="shared" si="479"/>
        <v>0.98162450344672281</v>
      </c>
      <c r="CT90" s="42">
        <f t="shared" si="480"/>
        <v>93.254327827438672</v>
      </c>
      <c r="CU90" s="42">
        <f t="shared" si="481"/>
        <v>0.98801719747153338</v>
      </c>
      <c r="CV90" s="42">
        <f t="shared" ca="1" si="482"/>
        <v>79.041375797722665</v>
      </c>
      <c r="CW90" s="42">
        <f t="shared" ca="1" si="483"/>
        <v>0.29923708924197367</v>
      </c>
      <c r="CX90" s="42">
        <f t="shared" ca="1" si="484"/>
        <v>1.8041136611835427</v>
      </c>
      <c r="CY90" s="42">
        <f t="shared" ca="1" si="88"/>
        <v>0.22142220913851626</v>
      </c>
      <c r="CZ90" s="42">
        <f t="shared" ca="1" si="89"/>
        <v>1.9110476340160734E-2</v>
      </c>
      <c r="DA90" s="42">
        <f t="shared" ca="1" si="415"/>
        <v>-1.399514241863619E-2</v>
      </c>
      <c r="DB90" s="42">
        <f t="shared" ca="1" si="91"/>
        <v>0.1610534375505194</v>
      </c>
      <c r="DC90" s="42">
        <f t="shared" ca="1" si="92"/>
        <v>7.3766835809250628E-2</v>
      </c>
      <c r="DD90" s="42">
        <f t="shared" ca="1" si="423"/>
        <v>-1672.9431694082289</v>
      </c>
      <c r="DE90" s="40"/>
      <c r="DF90" s="36">
        <f t="shared" si="121"/>
        <v>200</v>
      </c>
      <c r="DG90" s="35">
        <f t="shared" si="416"/>
        <v>0.28399999999999997</v>
      </c>
      <c r="DH90" s="197">
        <f t="shared" si="129"/>
        <v>169.23611111111677</v>
      </c>
      <c r="DI90" s="41">
        <f t="shared" si="417"/>
        <v>0.46366057838662128</v>
      </c>
      <c r="DJ90" s="40">
        <f t="shared" ca="1" si="485"/>
        <v>-0.916290731874155</v>
      </c>
      <c r="DK90" s="40">
        <f t="shared" si="486"/>
        <v>2.5189751902588361E-2</v>
      </c>
      <c r="DL90" s="40">
        <f t="shared" si="487"/>
        <v>0.19338305926412305</v>
      </c>
      <c r="DM90" s="42">
        <f t="shared" ca="1" si="488"/>
        <v>-4.6079578188619861</v>
      </c>
      <c r="DN90" s="42">
        <f t="shared" ca="1" si="489"/>
        <v>-4.8013408781261093</v>
      </c>
      <c r="DO90" s="42">
        <f t="shared" ca="1" si="490"/>
        <v>2.033215641954713E-6</v>
      </c>
      <c r="DP90" s="42">
        <f t="shared" ca="1" si="491"/>
        <v>0.99999796678435804</v>
      </c>
      <c r="DQ90" s="42">
        <f t="shared" ca="1" si="492"/>
        <v>7.8803359100613824E-7</v>
      </c>
      <c r="DR90" s="42">
        <f t="shared" ca="1" si="493"/>
        <v>0.99999921196640895</v>
      </c>
      <c r="DS90" s="42">
        <f t="shared" si="494"/>
        <v>0.98162450344672281</v>
      </c>
      <c r="DT90" s="42">
        <f t="shared" si="495"/>
        <v>196.32490068934456</v>
      </c>
      <c r="DU90" s="42">
        <f t="shared" si="496"/>
        <v>0.98801719747153338</v>
      </c>
      <c r="DV90" s="42">
        <f t="shared" ca="1" si="497"/>
        <v>79.041375797722665</v>
      </c>
      <c r="DW90" s="42">
        <f t="shared" ca="1" si="498"/>
        <v>9.7760390270890311E-6</v>
      </c>
      <c r="DX90" s="42">
        <f t="shared" si="499"/>
        <v>0</v>
      </c>
      <c r="DY90" s="92">
        <f t="shared" si="111"/>
        <v>0</v>
      </c>
      <c r="DZ90" s="42">
        <f t="shared" si="112"/>
        <v>0</v>
      </c>
      <c r="EA90" s="42">
        <f t="shared" si="418"/>
        <v>0</v>
      </c>
      <c r="EB90" s="42">
        <f t="shared" si="114"/>
        <v>0</v>
      </c>
      <c r="EC90" s="42">
        <f t="shared" si="115"/>
        <v>0</v>
      </c>
      <c r="ED90" s="42">
        <f t="shared" ca="1" si="424"/>
        <v>0</v>
      </c>
      <c r="EE90" s="40"/>
      <c r="EF90" s="120">
        <f t="shared" ca="1" si="130"/>
        <v>80</v>
      </c>
      <c r="EG90" s="42">
        <f t="shared" ca="1" si="500"/>
        <v>209.74512816207812</v>
      </c>
      <c r="EH90" s="36">
        <f t="shared" ca="1" si="419"/>
        <v>209.74512816207812</v>
      </c>
      <c r="EI90" s="36">
        <f t="shared" ca="1" si="124"/>
        <v>8.9990000000000006</v>
      </c>
      <c r="EJ90" s="153">
        <f t="shared" ca="1" si="131"/>
        <v>1</v>
      </c>
      <c r="EK90" s="153" t="str">
        <f t="shared" ca="1" si="229"/>
        <v/>
      </c>
      <c r="EL90" s="153" t="str">
        <f t="shared" ca="1" si="501"/>
        <v/>
      </c>
      <c r="EM90" s="153">
        <f t="shared" ca="1" si="230"/>
        <v>1</v>
      </c>
      <c r="EN90" s="153">
        <f t="shared" ca="1" si="231"/>
        <v>0</v>
      </c>
    </row>
    <row r="91" spans="1:146" x14ac:dyDescent="0.3">
      <c r="A91" s="36">
        <f ca="1">IF($M$22=1,A90+'Auto X'!$E$6,A$48)</f>
        <v>80.5</v>
      </c>
      <c r="B91" s="35">
        <f>IF($M$22=2,B90+'Auto X'!$E$6,B$48)</f>
        <v>0.28399999999999997</v>
      </c>
      <c r="C91" s="39">
        <f>IF($M$22=3,C90+'Auto X'!$E$6,C$48)</f>
        <v>45295.440972222219</v>
      </c>
      <c r="D91" s="35">
        <f>IF($M$22=4,D90+'Auto X'!$E$6,D$48)</f>
        <v>2.5999999999999999E-2</v>
      </c>
      <c r="E91" s="35">
        <f>IF($M$22=5,E90+'Auto X'!$E$6,E$48)</f>
        <v>0.04</v>
      </c>
      <c r="F91" s="36">
        <f t="shared" si="117"/>
        <v>75</v>
      </c>
      <c r="G91" s="35">
        <f t="shared" si="404"/>
        <v>0.28399999999999997</v>
      </c>
      <c r="H91" s="197">
        <f t="shared" si="125"/>
        <v>169.23611111111677</v>
      </c>
      <c r="I91" s="41">
        <f t="shared" si="405"/>
        <v>0.46366057838662128</v>
      </c>
      <c r="J91" s="40">
        <f t="shared" ca="1" si="425"/>
        <v>7.0769070888207164E-2</v>
      </c>
      <c r="K91" s="40">
        <f t="shared" si="426"/>
        <v>2.5189751902588361E-2</v>
      </c>
      <c r="L91" s="40">
        <f t="shared" si="427"/>
        <v>0.19338305926412305</v>
      </c>
      <c r="M91" s="42">
        <f t="shared" ca="1" si="428"/>
        <v>0.49621111154175473</v>
      </c>
      <c r="N91" s="42">
        <f t="shared" ca="1" si="429"/>
        <v>0.30282805227763165</v>
      </c>
      <c r="O91" s="42">
        <f t="shared" ca="1" si="430"/>
        <v>0.69012726388481693</v>
      </c>
      <c r="P91" s="42">
        <f t="shared" ca="1" si="431"/>
        <v>0.30987273611518307</v>
      </c>
      <c r="Q91" s="42">
        <f t="shared" ca="1" si="432"/>
        <v>0.61898954801760042</v>
      </c>
      <c r="R91" s="42">
        <f t="shared" ca="1" si="433"/>
        <v>0.38101045198239952</v>
      </c>
      <c r="S91" s="42">
        <f t="shared" si="434"/>
        <v>0.98162450344672281</v>
      </c>
      <c r="T91" s="42">
        <f t="shared" si="435"/>
        <v>73.621837758504213</v>
      </c>
      <c r="U91" s="42">
        <f t="shared" si="436"/>
        <v>0.98801719747153338</v>
      </c>
      <c r="V91" s="42">
        <f t="shared" ca="1" si="437"/>
        <v>79.53538439645844</v>
      </c>
      <c r="W91" s="42">
        <f t="shared" ca="1" si="438"/>
        <v>0.35273039520628285</v>
      </c>
      <c r="X91" s="42">
        <f t="shared" ca="1" si="439"/>
        <v>3.4048424992391624</v>
      </c>
      <c r="Y91" s="42">
        <f t="shared" ca="1" si="19"/>
        <v>-0.30615959230935919</v>
      </c>
      <c r="Z91" s="42">
        <f t="shared" ca="1" si="20"/>
        <v>2.2386854788335686E-2</v>
      </c>
      <c r="AA91" s="42">
        <f t="shared" ca="1" si="406"/>
        <v>-1.4710259785056691E-2</v>
      </c>
      <c r="AB91" s="42">
        <f t="shared" ca="1" si="22"/>
        <v>0.19103078294224743</v>
      </c>
      <c r="AC91" s="42">
        <f t="shared" ca="1" si="23"/>
        <v>-0.13005999001238536</v>
      </c>
      <c r="AD91" s="42">
        <f t="shared" ca="1" si="420"/>
        <v>-97.578750380418853</v>
      </c>
      <c r="AF91" s="36">
        <f t="shared" si="118"/>
        <v>80</v>
      </c>
      <c r="AG91" s="35">
        <f t="shared" si="407"/>
        <v>0.28399999999999997</v>
      </c>
      <c r="AH91" s="197">
        <f t="shared" si="126"/>
        <v>169.23611111111677</v>
      </c>
      <c r="AI91" s="41">
        <f t="shared" si="408"/>
        <v>0.46366057838662128</v>
      </c>
      <c r="AJ91" s="40">
        <f t="shared" ca="1" si="440"/>
        <v>6.2305497506361628E-3</v>
      </c>
      <c r="AK91" s="40">
        <f t="shared" si="441"/>
        <v>2.5189751902588361E-2</v>
      </c>
      <c r="AL91" s="40">
        <f t="shared" si="442"/>
        <v>0.19338305926412305</v>
      </c>
      <c r="AM91" s="42">
        <f t="shared" ca="1" si="443"/>
        <v>0.16247701206500514</v>
      </c>
      <c r="AN91" s="42">
        <f t="shared" ca="1" si="444"/>
        <v>-3.0906047199117909E-2</v>
      </c>
      <c r="AO91" s="42">
        <f t="shared" ca="1" si="445"/>
        <v>0.56453488527408946</v>
      </c>
      <c r="AP91" s="42">
        <f t="shared" ca="1" si="446"/>
        <v>0.43546511472591048</v>
      </c>
      <c r="AQ91" s="42">
        <f t="shared" ca="1" si="447"/>
        <v>0.48767223363045048</v>
      </c>
      <c r="AR91" s="42">
        <f t="shared" ca="1" si="448"/>
        <v>0.51232776636954958</v>
      </c>
      <c r="AS91" s="42">
        <f t="shared" si="449"/>
        <v>0.98162450344672281</v>
      </c>
      <c r="AT91" s="42">
        <f t="shared" si="450"/>
        <v>78.529960275737821</v>
      </c>
      <c r="AU91" s="42">
        <f t="shared" si="451"/>
        <v>0.98801719747153338</v>
      </c>
      <c r="AV91" s="42">
        <f t="shared" ca="1" si="452"/>
        <v>79.53538439645844</v>
      </c>
      <c r="AW91" s="42">
        <f t="shared" ca="1" si="453"/>
        <v>0.39371108600122551</v>
      </c>
      <c r="AX91" s="42">
        <f t="shared" ca="1" si="454"/>
        <v>5.5981938501850479</v>
      </c>
      <c r="AY91" s="42">
        <f t="shared" ca="1" si="42"/>
        <v>-0.4302470222481139</v>
      </c>
      <c r="AZ91" s="42">
        <f t="shared" ca="1" si="43"/>
        <v>2.4987789628145955E-2</v>
      </c>
      <c r="BA91" s="42">
        <f t="shared" ca="1" si="409"/>
        <v>-1.5948988761689542E-2</v>
      </c>
      <c r="BB91" s="42">
        <f t="shared" ca="1" si="45"/>
        <v>0.21322499573044154</v>
      </c>
      <c r="BC91" s="42">
        <f t="shared" ca="1" si="46"/>
        <v>-0.18654492744864126</v>
      </c>
      <c r="BD91" s="42">
        <f t="shared" ca="1" si="421"/>
        <v>25.903074907476231</v>
      </c>
      <c r="BE91" s="40"/>
      <c r="BF91" s="36">
        <f t="shared" si="119"/>
        <v>90</v>
      </c>
      <c r="BG91" s="35">
        <f t="shared" si="410"/>
        <v>0.28399999999999997</v>
      </c>
      <c r="BH91" s="197">
        <f t="shared" si="127"/>
        <v>169.23611111111677</v>
      </c>
      <c r="BI91" s="41">
        <f t="shared" si="411"/>
        <v>0.46366057838662128</v>
      </c>
      <c r="BJ91" s="40">
        <f t="shared" ca="1" si="455"/>
        <v>-0.11155248590574733</v>
      </c>
      <c r="BK91" s="40">
        <f t="shared" si="456"/>
        <v>2.5189751902588361E-2</v>
      </c>
      <c r="BL91" s="40">
        <f t="shared" si="457"/>
        <v>0.19338305926412305</v>
      </c>
      <c r="BM91" s="42">
        <f t="shared" ca="1" si="458"/>
        <v>-0.44658893251453086</v>
      </c>
      <c r="BN91" s="42">
        <f t="shared" ca="1" si="459"/>
        <v>-0.63997199177865394</v>
      </c>
      <c r="BO91" s="42">
        <f t="shared" ca="1" si="460"/>
        <v>0.32758594402820795</v>
      </c>
      <c r="BP91" s="42">
        <f t="shared" ca="1" si="461"/>
        <v>0.67241405597179205</v>
      </c>
      <c r="BQ91" s="42">
        <f t="shared" ca="1" si="462"/>
        <v>0.26109540419030408</v>
      </c>
      <c r="BR91" s="42">
        <f t="shared" ca="1" si="463"/>
        <v>0.73890459580969592</v>
      </c>
      <c r="BS91" s="42">
        <f t="shared" si="464"/>
        <v>0.98162450344672281</v>
      </c>
      <c r="BT91" s="42">
        <f t="shared" si="465"/>
        <v>88.34620531020505</v>
      </c>
      <c r="BU91" s="42">
        <f t="shared" si="466"/>
        <v>0.98801719747153338</v>
      </c>
      <c r="BV91" s="42">
        <f t="shared" ca="1" si="467"/>
        <v>79.53538439645844</v>
      </c>
      <c r="BW91" s="42">
        <f t="shared" ca="1" si="468"/>
        <v>0.36107868856894826</v>
      </c>
      <c r="BX91" s="42">
        <f t="shared" ca="1" si="469"/>
        <v>2.9878857970126624</v>
      </c>
      <c r="BY91" s="42">
        <f t="shared" ca="1" si="65"/>
        <v>0.32366054634981661</v>
      </c>
      <c r="BZ91" s="42">
        <f t="shared" ca="1" si="66"/>
        <v>2.2916698640128269E-2</v>
      </c>
      <c r="CA91" s="42">
        <f t="shared" ca="1" si="412"/>
        <v>-1.7079992891754374E-2</v>
      </c>
      <c r="CB91" s="42">
        <f t="shared" ca="1" si="68"/>
        <v>0.19555202930767301</v>
      </c>
      <c r="CC91" s="42">
        <f t="shared" ca="1" si="69"/>
        <v>0.10695160350983547</v>
      </c>
      <c r="CD91" s="42">
        <f t="shared" ca="1" si="422"/>
        <v>1906.0571014936686</v>
      </c>
      <c r="CE91" s="40"/>
      <c r="CF91" s="36">
        <f t="shared" si="120"/>
        <v>95</v>
      </c>
      <c r="CG91" s="35">
        <f t="shared" si="413"/>
        <v>0.28399999999999997</v>
      </c>
      <c r="CH91" s="197">
        <f t="shared" si="128"/>
        <v>169.23611111111677</v>
      </c>
      <c r="CI91" s="41">
        <f t="shared" si="414"/>
        <v>0.46366057838662128</v>
      </c>
      <c r="CJ91" s="40">
        <f t="shared" ca="1" si="470"/>
        <v>-0.16561970717602317</v>
      </c>
      <c r="CK91" s="40">
        <f t="shared" si="471"/>
        <v>2.5189751902588361E-2</v>
      </c>
      <c r="CL91" s="40">
        <f t="shared" si="472"/>
        <v>0.19338305926412305</v>
      </c>
      <c r="CM91" s="42">
        <f t="shared" ca="1" si="473"/>
        <v>-0.72617506315087943</v>
      </c>
      <c r="CN91" s="42">
        <f t="shared" ca="1" si="474"/>
        <v>-0.91955812241500245</v>
      </c>
      <c r="CO91" s="42">
        <f t="shared" ca="1" si="475"/>
        <v>0.23386572855818571</v>
      </c>
      <c r="CP91" s="42">
        <f t="shared" ca="1" si="476"/>
        <v>0.76613427144181423</v>
      </c>
      <c r="CQ91" s="42">
        <f t="shared" ca="1" si="477"/>
        <v>0.17890185964170913</v>
      </c>
      <c r="CR91" s="42">
        <f t="shared" ca="1" si="478"/>
        <v>0.82109814035829087</v>
      </c>
      <c r="CS91" s="42">
        <f t="shared" si="479"/>
        <v>0.98162450344672281</v>
      </c>
      <c r="CT91" s="42">
        <f t="shared" si="480"/>
        <v>93.254327827438672</v>
      </c>
      <c r="CU91" s="42">
        <f t="shared" si="481"/>
        <v>0.98801719747153338</v>
      </c>
      <c r="CV91" s="42">
        <f t="shared" ca="1" si="482"/>
        <v>79.53538439645844</v>
      </c>
      <c r="CW91" s="42">
        <f t="shared" ca="1" si="483"/>
        <v>0.30647973465401518</v>
      </c>
      <c r="CX91" s="42">
        <f t="shared" ca="1" si="484"/>
        <v>1.9172279500667457</v>
      </c>
      <c r="CY91" s="42">
        <f t="shared" ca="1" si="88"/>
        <v>0.23106336171469699</v>
      </c>
      <c r="CZ91" s="42">
        <f t="shared" ca="1" si="89"/>
        <v>1.9451449062830521E-2</v>
      </c>
      <c r="DA91" s="42">
        <f t="shared" ca="1" si="415"/>
        <v>-1.4430339411345257E-2</v>
      </c>
      <c r="DB91" s="42">
        <f t="shared" ca="1" si="91"/>
        <v>0.16598247404409086</v>
      </c>
      <c r="DC91" s="42">
        <f t="shared" ca="1" si="92"/>
        <v>7.7354222206688319E-2</v>
      </c>
      <c r="DD91" s="42">
        <f t="shared" ca="1" si="423"/>
        <v>-1616.3860249666272</v>
      </c>
      <c r="DE91" s="40"/>
      <c r="DF91" s="36">
        <f t="shared" si="121"/>
        <v>200</v>
      </c>
      <c r="DG91" s="35">
        <f t="shared" si="416"/>
        <v>0.28399999999999997</v>
      </c>
      <c r="DH91" s="197">
        <f t="shared" si="129"/>
        <v>169.23611111111677</v>
      </c>
      <c r="DI91" s="41">
        <f t="shared" si="417"/>
        <v>0.46366057838662128</v>
      </c>
      <c r="DJ91" s="40">
        <f t="shared" ca="1" si="485"/>
        <v>-0.91006018212351891</v>
      </c>
      <c r="DK91" s="40">
        <f t="shared" si="486"/>
        <v>2.5189751902588361E-2</v>
      </c>
      <c r="DL91" s="40">
        <f t="shared" si="487"/>
        <v>0.19338305926412305</v>
      </c>
      <c r="DM91" s="42">
        <f t="shared" ca="1" si="488"/>
        <v>-4.5757391241410259</v>
      </c>
      <c r="DN91" s="42">
        <f t="shared" ca="1" si="489"/>
        <v>-4.7691221834051492</v>
      </c>
      <c r="DO91" s="42">
        <f t="shared" ca="1" si="490"/>
        <v>2.3727079252059688E-6</v>
      </c>
      <c r="DP91" s="42">
        <f t="shared" ca="1" si="491"/>
        <v>0.99999762729207475</v>
      </c>
      <c r="DQ91" s="42">
        <f t="shared" ca="1" si="492"/>
        <v>9.251520761454172E-7</v>
      </c>
      <c r="DR91" s="42">
        <f t="shared" ca="1" si="493"/>
        <v>0.99999907484792383</v>
      </c>
      <c r="DS91" s="42">
        <f t="shared" si="494"/>
        <v>0.98162450344672281</v>
      </c>
      <c r="DT91" s="42">
        <f t="shared" si="495"/>
        <v>196.32490068934456</v>
      </c>
      <c r="DU91" s="42">
        <f t="shared" si="496"/>
        <v>0.98801719747153338</v>
      </c>
      <c r="DV91" s="42">
        <f t="shared" ca="1" si="497"/>
        <v>79.53538439645844</v>
      </c>
      <c r="DW91" s="42">
        <f t="shared" ca="1" si="498"/>
        <v>1.1334801352495415E-5</v>
      </c>
      <c r="DX91" s="42">
        <f t="shared" si="499"/>
        <v>0</v>
      </c>
      <c r="DY91" s="92">
        <f t="shared" si="111"/>
        <v>0</v>
      </c>
      <c r="DZ91" s="42">
        <f t="shared" si="112"/>
        <v>0</v>
      </c>
      <c r="EA91" s="42">
        <f t="shared" si="418"/>
        <v>0</v>
      </c>
      <c r="EB91" s="42">
        <f t="shared" si="114"/>
        <v>0</v>
      </c>
      <c r="EC91" s="42">
        <f t="shared" si="115"/>
        <v>0</v>
      </c>
      <c r="ED91" s="42">
        <f t="shared" ca="1" si="424"/>
        <v>0</v>
      </c>
      <c r="EE91" s="40"/>
      <c r="EF91" s="120">
        <f t="shared" ca="1" si="130"/>
        <v>80.5</v>
      </c>
      <c r="EG91" s="42">
        <f t="shared" ca="1" si="500"/>
        <v>217.99540105409869</v>
      </c>
      <c r="EH91" s="36">
        <f t="shared" ca="1" si="419"/>
        <v>217.99540105409869</v>
      </c>
      <c r="EI91" s="36">
        <f t="shared" ca="1" si="124"/>
        <v>8.25</v>
      </c>
      <c r="EJ91" s="153">
        <f t="shared" ca="1" si="131"/>
        <v>1</v>
      </c>
      <c r="EK91" s="153" t="str">
        <f t="shared" ca="1" si="229"/>
        <v/>
      </c>
      <c r="EL91" s="153" t="str">
        <f t="shared" ca="1" si="501"/>
        <v/>
      </c>
      <c r="EM91" s="153">
        <f t="shared" ca="1" si="230"/>
        <v>1</v>
      </c>
      <c r="EN91" s="153">
        <f t="shared" ca="1" si="231"/>
        <v>0</v>
      </c>
    </row>
    <row r="92" spans="1:146" x14ac:dyDescent="0.3">
      <c r="A92" s="36">
        <f ca="1">IF($M$22=1,A91+'Auto X'!$E$6,A$48)</f>
        <v>81</v>
      </c>
      <c r="B92" s="35">
        <f>IF($M$22=2,B91+'Auto X'!$E$6,B$48)</f>
        <v>0.28399999999999997</v>
      </c>
      <c r="C92" s="39">
        <f>IF($M$22=3,C91+'Auto X'!$E$6,C$48)</f>
        <v>45295.440972222219</v>
      </c>
      <c r="D92" s="35">
        <f>IF($M$22=4,D91+'Auto X'!$E$6,D$48)</f>
        <v>2.5999999999999999E-2</v>
      </c>
      <c r="E92" s="35">
        <f>IF($M$22=5,E91+'Auto X'!$E$6,E$48)</f>
        <v>0.04</v>
      </c>
      <c r="F92" s="36">
        <f t="shared" si="117"/>
        <v>75</v>
      </c>
      <c r="G92" s="35">
        <f t="shared" si="404"/>
        <v>0.28399999999999997</v>
      </c>
      <c r="H92" s="197">
        <f t="shared" si="125"/>
        <v>169.23611111111677</v>
      </c>
      <c r="I92" s="41">
        <f t="shared" si="405"/>
        <v>0.46366057838662128</v>
      </c>
      <c r="J92" s="40">
        <f t="shared" ca="1" si="425"/>
        <v>7.6961041136128394E-2</v>
      </c>
      <c r="K92" s="40">
        <f t="shared" si="426"/>
        <v>2.5189751902588361E-2</v>
      </c>
      <c r="L92" s="40">
        <f t="shared" si="427"/>
        <v>0.19338305926412305</v>
      </c>
      <c r="M92" s="42">
        <f t="shared" ca="1" si="428"/>
        <v>0.52823030842220231</v>
      </c>
      <c r="N92" s="42">
        <f t="shared" ca="1" si="429"/>
        <v>0.33484724915807929</v>
      </c>
      <c r="O92" s="42">
        <f t="shared" ca="1" si="430"/>
        <v>0.70133025217919642</v>
      </c>
      <c r="P92" s="42">
        <f t="shared" ca="1" si="431"/>
        <v>0.29866974782080363</v>
      </c>
      <c r="Q92" s="42">
        <f t="shared" ca="1" si="432"/>
        <v>0.63112984190803212</v>
      </c>
      <c r="R92" s="42">
        <f t="shared" ca="1" si="433"/>
        <v>0.36887015809196788</v>
      </c>
      <c r="S92" s="42">
        <f t="shared" si="434"/>
        <v>0.98162450344672281</v>
      </c>
      <c r="T92" s="42">
        <f t="shared" si="435"/>
        <v>73.621837758504213</v>
      </c>
      <c r="U92" s="42">
        <f t="shared" si="436"/>
        <v>0.98801719747153338</v>
      </c>
      <c r="V92" s="42">
        <f t="shared" ca="1" si="437"/>
        <v>80.0293929951942</v>
      </c>
      <c r="W92" s="42">
        <f t="shared" ca="1" si="438"/>
        <v>0.3469924828339806</v>
      </c>
      <c r="X92" s="42">
        <f t="shared" ca="1" si="439"/>
        <v>3.2545403088740166</v>
      </c>
      <c r="Y92" s="42">
        <f t="shared" ca="1" si="19"/>
        <v>-0.29509084721143997</v>
      </c>
      <c r="Z92" s="42">
        <f t="shared" ca="1" si="20"/>
        <v>2.1886742337414392E-2</v>
      </c>
      <c r="AA92" s="42">
        <f t="shared" ca="1" si="406"/>
        <v>-1.4592445124773572E-2</v>
      </c>
      <c r="AB92" s="42">
        <f t="shared" ca="1" si="22"/>
        <v>0.18909048493953498</v>
      </c>
      <c r="AC92" s="42">
        <f t="shared" ca="1" si="23"/>
        <v>-0.12591583466462106</v>
      </c>
      <c r="AD92" s="42">
        <f t="shared" ca="1" si="420"/>
        <v>-172.72984556299176</v>
      </c>
      <c r="AF92" s="36">
        <f t="shared" si="118"/>
        <v>80</v>
      </c>
      <c r="AG92" s="35">
        <f t="shared" si="407"/>
        <v>0.28399999999999997</v>
      </c>
      <c r="AH92" s="197">
        <f t="shared" si="126"/>
        <v>169.23611111111677</v>
      </c>
      <c r="AI92" s="41">
        <f t="shared" si="408"/>
        <v>0.46366057838662128</v>
      </c>
      <c r="AJ92" s="40">
        <f t="shared" ca="1" si="440"/>
        <v>1.242251999855711E-2</v>
      </c>
      <c r="AK92" s="40">
        <f t="shared" si="441"/>
        <v>2.5189751902588361E-2</v>
      </c>
      <c r="AL92" s="40">
        <f t="shared" si="442"/>
        <v>0.19338305926412305</v>
      </c>
      <c r="AM92" s="42">
        <f t="shared" ca="1" si="443"/>
        <v>0.19449620894545133</v>
      </c>
      <c r="AN92" s="42">
        <f t="shared" ca="1" si="444"/>
        <v>1.1131496813282793E-3</v>
      </c>
      <c r="AO92" s="42">
        <f t="shared" ca="1" si="445"/>
        <v>0.57710631806253443</v>
      </c>
      <c r="AP92" s="42">
        <f t="shared" ca="1" si="446"/>
        <v>0.42289368193746552</v>
      </c>
      <c r="AQ92" s="42">
        <f t="shared" ca="1" si="447"/>
        <v>0.50044408238058669</v>
      </c>
      <c r="AR92" s="42">
        <f t="shared" ca="1" si="448"/>
        <v>0.49955591761941337</v>
      </c>
      <c r="AS92" s="42">
        <f t="shared" si="449"/>
        <v>0.98162450344672281</v>
      </c>
      <c r="AT92" s="42">
        <f t="shared" si="450"/>
        <v>78.529960275737821</v>
      </c>
      <c r="AU92" s="42">
        <f t="shared" si="451"/>
        <v>0.98801719747153338</v>
      </c>
      <c r="AV92" s="42">
        <f t="shared" ca="1" si="452"/>
        <v>80.0293929951942</v>
      </c>
      <c r="AW92" s="42">
        <f t="shared" ca="1" si="453"/>
        <v>0.39146744527046656</v>
      </c>
      <c r="AX92" s="42">
        <f t="shared" ca="1" si="454"/>
        <v>5.3861816992042009</v>
      </c>
      <c r="AY92" s="42">
        <f t="shared" ca="1" si="42"/>
        <v>-0.41782623045627276</v>
      </c>
      <c r="AZ92" s="42">
        <f t="shared" ca="1" si="43"/>
        <v>2.4692025135944883E-2</v>
      </c>
      <c r="BA92" s="42">
        <f t="shared" ca="1" si="409"/>
        <v>-1.6011096709590542E-2</v>
      </c>
      <c r="BB92" s="42">
        <f t="shared" ca="1" si="45"/>
        <v>0.21332672241101477</v>
      </c>
      <c r="BC92" s="42">
        <f t="shared" ca="1" si="46"/>
        <v>-0.1818945380790348</v>
      </c>
      <c r="BD92" s="42">
        <f t="shared" ca="1" si="421"/>
        <v>131.90915039789974</v>
      </c>
      <c r="BE92" s="40"/>
      <c r="BF92" s="36">
        <f t="shared" si="119"/>
        <v>90</v>
      </c>
      <c r="BG92" s="35">
        <f t="shared" si="410"/>
        <v>0.28399999999999997</v>
      </c>
      <c r="BH92" s="197">
        <f t="shared" si="127"/>
        <v>169.23611111111677</v>
      </c>
      <c r="BI92" s="41">
        <f t="shared" si="411"/>
        <v>0.46366057838662128</v>
      </c>
      <c r="BJ92" s="40">
        <f t="shared" ca="1" si="455"/>
        <v>-0.10536051565782628</v>
      </c>
      <c r="BK92" s="40">
        <f t="shared" si="456"/>
        <v>2.5189751902588361E-2</v>
      </c>
      <c r="BL92" s="40">
        <f t="shared" si="457"/>
        <v>0.19338305926412305</v>
      </c>
      <c r="BM92" s="42">
        <f t="shared" ca="1" si="458"/>
        <v>-0.41456973563408411</v>
      </c>
      <c r="BN92" s="42">
        <f t="shared" ca="1" si="459"/>
        <v>-0.60795279489820719</v>
      </c>
      <c r="BO92" s="42">
        <f t="shared" ca="1" si="460"/>
        <v>0.33922845354367981</v>
      </c>
      <c r="BP92" s="42">
        <f t="shared" ca="1" si="461"/>
        <v>0.66077154645632019</v>
      </c>
      <c r="BQ92" s="42">
        <f t="shared" ca="1" si="462"/>
        <v>0.27160939125004235</v>
      </c>
      <c r="BR92" s="42">
        <f t="shared" ca="1" si="463"/>
        <v>0.72839060874995765</v>
      </c>
      <c r="BS92" s="42">
        <f t="shared" si="464"/>
        <v>0.98162450344672281</v>
      </c>
      <c r="BT92" s="42">
        <f t="shared" si="465"/>
        <v>88.34620531020505</v>
      </c>
      <c r="BU92" s="42">
        <f t="shared" si="466"/>
        <v>0.98801719747153338</v>
      </c>
      <c r="BV92" s="42">
        <f t="shared" ca="1" si="467"/>
        <v>80.0293929951942</v>
      </c>
      <c r="BW92" s="42">
        <f t="shared" ca="1" si="468"/>
        <v>0.36609128428761523</v>
      </c>
      <c r="BX92" s="42">
        <f t="shared" ca="1" si="469"/>
        <v>3.1525881802430789</v>
      </c>
      <c r="BY92" s="42">
        <f t="shared" ca="1" si="65"/>
        <v>0.33516354597282877</v>
      </c>
      <c r="BZ92" s="42">
        <f t="shared" ca="1" si="66"/>
        <v>2.3091409778493038E-2</v>
      </c>
      <c r="CA92" s="42">
        <f t="shared" ca="1" si="412"/>
        <v>-1.7434998396618551E-2</v>
      </c>
      <c r="CB92" s="42">
        <f t="shared" ca="1" si="68"/>
        <v>0.1994982078940393</v>
      </c>
      <c r="CC92" s="42">
        <f t="shared" ca="1" si="69"/>
        <v>0.11125841150903358</v>
      </c>
      <c r="CD92" s="42">
        <f t="shared" ca="1" si="422"/>
        <v>1823.7059098784605</v>
      </c>
      <c r="CE92" s="40"/>
      <c r="CF92" s="36">
        <f t="shared" si="120"/>
        <v>95</v>
      </c>
      <c r="CG92" s="35">
        <f t="shared" si="413"/>
        <v>0.28399999999999997</v>
      </c>
      <c r="CH92" s="197">
        <f t="shared" si="128"/>
        <v>169.23611111111677</v>
      </c>
      <c r="CI92" s="41">
        <f t="shared" si="414"/>
        <v>0.46366057838662128</v>
      </c>
      <c r="CJ92" s="40">
        <f t="shared" ca="1" si="470"/>
        <v>-0.15942773692810208</v>
      </c>
      <c r="CK92" s="40">
        <f t="shared" si="471"/>
        <v>2.5189751902588361E-2</v>
      </c>
      <c r="CL92" s="40">
        <f t="shared" si="472"/>
        <v>0.19338305926412305</v>
      </c>
      <c r="CM92" s="42">
        <f t="shared" ca="1" si="473"/>
        <v>-0.69415586627043235</v>
      </c>
      <c r="CN92" s="42">
        <f t="shared" ca="1" si="474"/>
        <v>-0.88753892553455538</v>
      </c>
      <c r="CO92" s="42">
        <f t="shared" ca="1" si="475"/>
        <v>0.24379223328415406</v>
      </c>
      <c r="CP92" s="42">
        <f t="shared" ca="1" si="476"/>
        <v>0.756207766715846</v>
      </c>
      <c r="CQ92" s="42">
        <f t="shared" ca="1" si="477"/>
        <v>0.18739440940696098</v>
      </c>
      <c r="CR92" s="42">
        <f t="shared" ca="1" si="478"/>
        <v>0.81260559059303905</v>
      </c>
      <c r="CS92" s="42">
        <f t="shared" si="479"/>
        <v>0.98162450344672281</v>
      </c>
      <c r="CT92" s="42">
        <f t="shared" si="480"/>
        <v>93.254327827438672</v>
      </c>
      <c r="CU92" s="42">
        <f t="shared" si="481"/>
        <v>0.98801719747153338</v>
      </c>
      <c r="CV92" s="42">
        <f t="shared" ca="1" si="482"/>
        <v>80.0293929951942</v>
      </c>
      <c r="CW92" s="42">
        <f t="shared" ca="1" si="483"/>
        <v>0.31352859324550097</v>
      </c>
      <c r="CX92" s="42">
        <f t="shared" ca="1" si="484"/>
        <v>2.0352047588076339</v>
      </c>
      <c r="CY92" s="42">
        <f t="shared" ca="1" si="88"/>
        <v>0.24087091909473618</v>
      </c>
      <c r="CZ92" s="42">
        <f t="shared" ca="1" si="89"/>
        <v>1.9775989035069327E-2</v>
      </c>
      <c r="DA92" s="42">
        <f t="shared" ca="1" si="415"/>
        <v>-1.4861118029797536E-2</v>
      </c>
      <c r="DB92" s="42">
        <f t="shared" ca="1" si="91"/>
        <v>0.17085463424165062</v>
      </c>
      <c r="DC92" s="42">
        <f t="shared" ca="1" si="92"/>
        <v>8.1026261071786246E-2</v>
      </c>
      <c r="DD92" s="42">
        <f t="shared" ca="1" si="423"/>
        <v>-1557.3976205961833</v>
      </c>
      <c r="DE92" s="40"/>
      <c r="DF92" s="36">
        <f t="shared" si="121"/>
        <v>200</v>
      </c>
      <c r="DG92" s="35">
        <f t="shared" si="416"/>
        <v>0.28399999999999997</v>
      </c>
      <c r="DH92" s="197">
        <f t="shared" si="129"/>
        <v>169.23611111111677</v>
      </c>
      <c r="DI92" s="41">
        <f t="shared" si="417"/>
        <v>0.46366057838662128</v>
      </c>
      <c r="DJ92" s="40">
        <f t="shared" ca="1" si="485"/>
        <v>-0.90386821187559785</v>
      </c>
      <c r="DK92" s="40">
        <f t="shared" si="486"/>
        <v>2.5189751902588361E-2</v>
      </c>
      <c r="DL92" s="40">
        <f t="shared" si="487"/>
        <v>0.19338305926412305</v>
      </c>
      <c r="DM92" s="42">
        <f t="shared" ca="1" si="488"/>
        <v>-4.5437199272605797</v>
      </c>
      <c r="DN92" s="42">
        <f t="shared" ca="1" si="489"/>
        <v>-4.737102986524703</v>
      </c>
      <c r="DO92" s="42">
        <f t="shared" ca="1" si="490"/>
        <v>2.7635041360587537E-6</v>
      </c>
      <c r="DP92" s="42">
        <f t="shared" ca="1" si="491"/>
        <v>0.99999723649586392</v>
      </c>
      <c r="DQ92" s="42">
        <f t="shared" ca="1" si="492"/>
        <v>1.0839750447306089E-6</v>
      </c>
      <c r="DR92" s="42">
        <f t="shared" ca="1" si="493"/>
        <v>0.99999891602495528</v>
      </c>
      <c r="DS92" s="42">
        <f t="shared" si="494"/>
        <v>0.98162450344672281</v>
      </c>
      <c r="DT92" s="42">
        <f t="shared" si="495"/>
        <v>196.32490068934456</v>
      </c>
      <c r="DU92" s="42">
        <f t="shared" si="496"/>
        <v>0.98801719747153338</v>
      </c>
      <c r="DV92" s="42">
        <f t="shared" ca="1" si="497"/>
        <v>80.0293929951942</v>
      </c>
      <c r="DW92" s="42">
        <f t="shared" ca="1" si="498"/>
        <v>1.311657419281182E-5</v>
      </c>
      <c r="DX92" s="42">
        <f t="shared" si="499"/>
        <v>0</v>
      </c>
      <c r="DY92" s="92">
        <f t="shared" si="111"/>
        <v>0</v>
      </c>
      <c r="DZ92" s="42">
        <f t="shared" si="112"/>
        <v>0</v>
      </c>
      <c r="EA92" s="42">
        <f t="shared" si="418"/>
        <v>0</v>
      </c>
      <c r="EB92" s="42">
        <f t="shared" si="114"/>
        <v>0</v>
      </c>
      <c r="EC92" s="42">
        <f t="shared" si="115"/>
        <v>0</v>
      </c>
      <c r="ED92" s="42">
        <f t="shared" ca="1" si="424"/>
        <v>0</v>
      </c>
      <c r="EE92" s="40"/>
      <c r="EF92" s="120">
        <f t="shared" ca="1" si="130"/>
        <v>81</v>
      </c>
      <c r="EG92" s="42">
        <f t="shared" ca="1" si="500"/>
        <v>225.48759411718515</v>
      </c>
      <c r="EH92" s="36">
        <f t="shared" ca="1" si="419"/>
        <v>225.48759411718515</v>
      </c>
      <c r="EI92" s="36">
        <f t="shared" ca="1" si="124"/>
        <v>7.492</v>
      </c>
      <c r="EJ92" s="153">
        <f t="shared" ca="1" si="131"/>
        <v>1</v>
      </c>
      <c r="EK92" s="153" t="str">
        <f t="shared" ca="1" si="229"/>
        <v/>
      </c>
      <c r="EL92" s="153" t="str">
        <f t="shared" ca="1" si="501"/>
        <v/>
      </c>
      <c r="EM92" s="153">
        <f t="shared" ca="1" si="230"/>
        <v>1</v>
      </c>
      <c r="EN92" s="153">
        <f t="shared" ca="1" si="231"/>
        <v>0</v>
      </c>
    </row>
    <row r="93" spans="1:146" x14ac:dyDescent="0.3">
      <c r="A93" s="36">
        <f ca="1">IF($M$22=1,A92+'Auto X'!$E$6,A$48)</f>
        <v>81.5</v>
      </c>
      <c r="B93" s="35">
        <f>IF($M$22=2,B92+'Auto X'!$E$6,B$48)</f>
        <v>0.28399999999999997</v>
      </c>
      <c r="C93" s="39">
        <f>IF($M$22=3,C92+'Auto X'!$E$6,C$48)</f>
        <v>45295.440972222219</v>
      </c>
      <c r="D93" s="35">
        <f>IF($M$22=4,D92+'Auto X'!$E$6,D$48)</f>
        <v>2.5999999999999999E-2</v>
      </c>
      <c r="E93" s="35">
        <f>IF($M$22=5,E92+'Auto X'!$E$6,E$48)</f>
        <v>0.04</v>
      </c>
      <c r="F93" s="36">
        <f t="shared" si="117"/>
        <v>75</v>
      </c>
      <c r="G93" s="35">
        <f t="shared" si="404"/>
        <v>0.28399999999999997</v>
      </c>
      <c r="H93" s="197">
        <f t="shared" si="125"/>
        <v>169.23611111111677</v>
      </c>
      <c r="I93" s="41">
        <f t="shared" si="405"/>
        <v>0.46366057838662128</v>
      </c>
      <c r="J93" s="40">
        <f t="shared" ca="1" si="425"/>
        <v>8.3114906710506586E-2</v>
      </c>
      <c r="K93" s="40">
        <f t="shared" si="426"/>
        <v>2.5189751902588361E-2</v>
      </c>
      <c r="L93" s="40">
        <f t="shared" si="427"/>
        <v>0.19338305926412305</v>
      </c>
      <c r="M93" s="42">
        <f t="shared" ca="1" si="428"/>
        <v>0.56005246284356369</v>
      </c>
      <c r="N93" s="42">
        <f t="shared" ca="1" si="429"/>
        <v>0.36666940357944067</v>
      </c>
      <c r="O93" s="42">
        <f t="shared" ca="1" si="430"/>
        <v>0.71227817311999464</v>
      </c>
      <c r="P93" s="42">
        <f t="shared" ca="1" si="431"/>
        <v>0.28772182688000536</v>
      </c>
      <c r="Q93" s="42">
        <f t="shared" ca="1" si="432"/>
        <v>0.64306718414689401</v>
      </c>
      <c r="R93" s="42">
        <f t="shared" ca="1" si="433"/>
        <v>0.35693281585310599</v>
      </c>
      <c r="S93" s="42">
        <f t="shared" si="434"/>
        <v>0.98162450344672281</v>
      </c>
      <c r="T93" s="42">
        <f t="shared" si="435"/>
        <v>73.621837758504213</v>
      </c>
      <c r="U93" s="42">
        <f t="shared" si="436"/>
        <v>0.98801719747153338</v>
      </c>
      <c r="V93" s="42">
        <f t="shared" ca="1" si="437"/>
        <v>80.523401593929975</v>
      </c>
      <c r="W93" s="42">
        <f t="shared" ca="1" si="438"/>
        <v>0.34103576865837093</v>
      </c>
      <c r="X93" s="42">
        <f t="shared" ca="1" si="439"/>
        <v>3.1097096462255607</v>
      </c>
      <c r="Y93" s="42">
        <f t="shared" ca="1" si="19"/>
        <v>-0.28427411304537259</v>
      </c>
      <c r="Z93" s="42">
        <f t="shared" ca="1" si="20"/>
        <v>2.1379049860082582E-2</v>
      </c>
      <c r="AA93" s="42">
        <f t="shared" ca="1" si="406"/>
        <v>-1.4460362319182509E-2</v>
      </c>
      <c r="AB93" s="42">
        <f t="shared" ca="1" si="22"/>
        <v>0.18699161404314399</v>
      </c>
      <c r="AC93" s="42">
        <f t="shared" ca="1" si="23"/>
        <v>-0.1218409579669274</v>
      </c>
      <c r="AD93" s="42">
        <f t="shared" ca="1" si="420"/>
        <v>-245.14517688721972</v>
      </c>
      <c r="AF93" s="36">
        <f t="shared" si="118"/>
        <v>80</v>
      </c>
      <c r="AG93" s="35">
        <f t="shared" si="407"/>
        <v>0.28399999999999997</v>
      </c>
      <c r="AH93" s="197">
        <f t="shared" si="126"/>
        <v>169.23611111111677</v>
      </c>
      <c r="AI93" s="41">
        <f t="shared" si="408"/>
        <v>0.46366057838662128</v>
      </c>
      <c r="AJ93" s="40">
        <f t="shared" ca="1" si="440"/>
        <v>1.8576385572935457E-2</v>
      </c>
      <c r="AK93" s="40">
        <f t="shared" si="441"/>
        <v>2.5189751902588361E-2</v>
      </c>
      <c r="AL93" s="40">
        <f t="shared" si="442"/>
        <v>0.19338305926412305</v>
      </c>
      <c r="AM93" s="42">
        <f t="shared" ca="1" si="443"/>
        <v>0.22631836336681344</v>
      </c>
      <c r="AN93" s="42">
        <f t="shared" ca="1" si="444"/>
        <v>3.2935304102690383E-2</v>
      </c>
      <c r="AO93" s="42">
        <f t="shared" ca="1" si="445"/>
        <v>0.58952309150834115</v>
      </c>
      <c r="AP93" s="42">
        <f t="shared" ca="1" si="446"/>
        <v>0.41047690849165891</v>
      </c>
      <c r="AQ93" s="42">
        <f t="shared" ca="1" si="447"/>
        <v>0.51313691027208419</v>
      </c>
      <c r="AR93" s="42">
        <f t="shared" ca="1" si="448"/>
        <v>0.48686308972791581</v>
      </c>
      <c r="AS93" s="42">
        <f t="shared" si="449"/>
        <v>0.98162450344672281</v>
      </c>
      <c r="AT93" s="42">
        <f t="shared" si="450"/>
        <v>78.529960275737821</v>
      </c>
      <c r="AU93" s="42">
        <f t="shared" si="451"/>
        <v>0.98801719747153338</v>
      </c>
      <c r="AV93" s="42">
        <f t="shared" ca="1" si="452"/>
        <v>80.523401593929975</v>
      </c>
      <c r="AW93" s="42">
        <f t="shared" ca="1" si="453"/>
        <v>0.38885508612826736</v>
      </c>
      <c r="AX93" s="42">
        <f t="shared" ca="1" si="454"/>
        <v>5.1803421485475099</v>
      </c>
      <c r="AY93" s="42">
        <f t="shared" ca="1" si="42"/>
        <v>-0.40555824475470786</v>
      </c>
      <c r="AZ93" s="42">
        <f t="shared" ca="1" si="43"/>
        <v>2.4376775220345728E-2</v>
      </c>
      <c r="BA93" s="42">
        <f t="shared" ca="1" si="409"/>
        <v>-1.6054297045026415E-2</v>
      </c>
      <c r="BB93" s="42">
        <f t="shared" ca="1" si="45"/>
        <v>0.21321118447505025</v>
      </c>
      <c r="BC93" s="42">
        <f t="shared" ca="1" si="46"/>
        <v>-0.17727292118929242</v>
      </c>
      <c r="BD93" s="42">
        <f t="shared" ca="1" si="421"/>
        <v>234.82892572624525</v>
      </c>
      <c r="BE93" s="40"/>
      <c r="BF93" s="36">
        <f t="shared" si="119"/>
        <v>90</v>
      </c>
      <c r="BG93" s="35">
        <f t="shared" si="410"/>
        <v>0.28399999999999997</v>
      </c>
      <c r="BH93" s="197">
        <f t="shared" si="127"/>
        <v>169.23611111111677</v>
      </c>
      <c r="BI93" s="41">
        <f t="shared" si="411"/>
        <v>0.46366057838662128</v>
      </c>
      <c r="BJ93" s="40">
        <f t="shared" ca="1" si="455"/>
        <v>-9.9206650083448034E-2</v>
      </c>
      <c r="BK93" s="40">
        <f t="shared" si="456"/>
        <v>2.5189751902588361E-2</v>
      </c>
      <c r="BL93" s="40">
        <f t="shared" si="457"/>
        <v>0.19338305926412305</v>
      </c>
      <c r="BM93" s="42">
        <f t="shared" ca="1" si="458"/>
        <v>-0.38274758121272251</v>
      </c>
      <c r="BN93" s="42">
        <f t="shared" ca="1" si="459"/>
        <v>-0.57613064047684559</v>
      </c>
      <c r="BO93" s="42">
        <f t="shared" ca="1" si="460"/>
        <v>0.35095346561072982</v>
      </c>
      <c r="BP93" s="42">
        <f t="shared" ca="1" si="461"/>
        <v>0.64904653438927018</v>
      </c>
      <c r="BQ93" s="42">
        <f t="shared" ca="1" si="462"/>
        <v>0.2822634411492404</v>
      </c>
      <c r="BR93" s="42">
        <f t="shared" ca="1" si="463"/>
        <v>0.7177365588507596</v>
      </c>
      <c r="BS93" s="42">
        <f t="shared" si="464"/>
        <v>0.98162450344672281</v>
      </c>
      <c r="BT93" s="42">
        <f t="shared" si="465"/>
        <v>88.34620531020505</v>
      </c>
      <c r="BU93" s="42">
        <f t="shared" si="466"/>
        <v>0.98801719747153338</v>
      </c>
      <c r="BV93" s="42">
        <f t="shared" ca="1" si="467"/>
        <v>80.523401593929975</v>
      </c>
      <c r="BW93" s="42">
        <f t="shared" ca="1" si="468"/>
        <v>0.37076516743222676</v>
      </c>
      <c r="BX93" s="42">
        <f t="shared" ca="1" si="469"/>
        <v>3.3230629288185156</v>
      </c>
      <c r="BY93" s="42">
        <f t="shared" ca="1" si="65"/>
        <v>0.34674805953563542</v>
      </c>
      <c r="BZ93" s="42">
        <f t="shared" ca="1" si="66"/>
        <v>2.3242743809831396E-2</v>
      </c>
      <c r="CA93" s="42">
        <f t="shared" ca="1" si="412"/>
        <v>-1.7777314003711676E-2</v>
      </c>
      <c r="CB93" s="42">
        <f t="shared" ca="1" si="68"/>
        <v>0.20329239176838132</v>
      </c>
      <c r="CC93" s="42">
        <f t="shared" ca="1" si="69"/>
        <v>0.11562259296265472</v>
      </c>
      <c r="CD93" s="42">
        <f t="shared" ca="1" si="422"/>
        <v>1738.468535590742</v>
      </c>
      <c r="CE93" s="40"/>
      <c r="CF93" s="36">
        <f t="shared" si="120"/>
        <v>95</v>
      </c>
      <c r="CG93" s="35">
        <f t="shared" si="413"/>
        <v>0.28399999999999997</v>
      </c>
      <c r="CH93" s="197">
        <f t="shared" si="128"/>
        <v>169.23611111111677</v>
      </c>
      <c r="CI93" s="41">
        <f t="shared" si="414"/>
        <v>0.46366057838662128</v>
      </c>
      <c r="CJ93" s="40">
        <f t="shared" ca="1" si="470"/>
        <v>-0.15327387135372381</v>
      </c>
      <c r="CK93" s="40">
        <f t="shared" si="471"/>
        <v>2.5189751902588361E-2</v>
      </c>
      <c r="CL93" s="40">
        <f t="shared" si="472"/>
        <v>0.19338305926412305</v>
      </c>
      <c r="CM93" s="42">
        <f t="shared" ca="1" si="473"/>
        <v>-0.66233371184907075</v>
      </c>
      <c r="CN93" s="42">
        <f t="shared" ca="1" si="474"/>
        <v>-0.85571677111319377</v>
      </c>
      <c r="CO93" s="42">
        <f t="shared" ca="1" si="475"/>
        <v>0.25387868806583547</v>
      </c>
      <c r="CP93" s="42">
        <f t="shared" ca="1" si="476"/>
        <v>0.74612131193416453</v>
      </c>
      <c r="CQ93" s="42">
        <f t="shared" ca="1" si="477"/>
        <v>0.19607723063987101</v>
      </c>
      <c r="CR93" s="42">
        <f t="shared" ca="1" si="478"/>
        <v>0.80392276936012896</v>
      </c>
      <c r="CS93" s="42">
        <f t="shared" si="479"/>
        <v>0.98162450344672281</v>
      </c>
      <c r="CT93" s="42">
        <f t="shared" si="480"/>
        <v>93.254327827438672</v>
      </c>
      <c r="CU93" s="42">
        <f t="shared" si="481"/>
        <v>0.98801719747153338</v>
      </c>
      <c r="CV93" s="42">
        <f t="shared" ca="1" si="482"/>
        <v>80.523401593929975</v>
      </c>
      <c r="CW93" s="42">
        <f t="shared" ca="1" si="483"/>
        <v>0.32036910136341579</v>
      </c>
      <c r="CX93" s="42">
        <f t="shared" ca="1" si="484"/>
        <v>2.1581252096785128</v>
      </c>
      <c r="CY93" s="42">
        <f t="shared" ca="1" si="88"/>
        <v>0.25083650988055639</v>
      </c>
      <c r="CZ93" s="42">
        <f t="shared" ca="1" si="89"/>
        <v>2.0083485725332875E-2</v>
      </c>
      <c r="DA93" s="42">
        <f t="shared" ca="1" si="415"/>
        <v>-1.5286618681078487E-2</v>
      </c>
      <c r="DB93" s="42">
        <f t="shared" ca="1" si="91"/>
        <v>0.1756599772193024</v>
      </c>
      <c r="DC93" s="42">
        <f t="shared" ca="1" si="92"/>
        <v>8.4780570190632801E-2</v>
      </c>
      <c r="DD93" s="42">
        <f t="shared" ca="1" si="423"/>
        <v>-1495.9373951607438</v>
      </c>
      <c r="DE93" s="40"/>
      <c r="DF93" s="36">
        <f t="shared" si="121"/>
        <v>200</v>
      </c>
      <c r="DG93" s="35">
        <f t="shared" si="416"/>
        <v>0.28399999999999997</v>
      </c>
      <c r="DH93" s="197">
        <f t="shared" si="129"/>
        <v>169.23611111111677</v>
      </c>
      <c r="DI93" s="41">
        <f t="shared" si="417"/>
        <v>0.46366057838662128</v>
      </c>
      <c r="DJ93" s="40">
        <f t="shared" ca="1" si="485"/>
        <v>-0.89771434630121971</v>
      </c>
      <c r="DK93" s="40">
        <f t="shared" si="486"/>
        <v>2.5189751902588361E-2</v>
      </c>
      <c r="DL93" s="40">
        <f t="shared" si="487"/>
        <v>0.19338305926412305</v>
      </c>
      <c r="DM93" s="42">
        <f t="shared" ca="1" si="488"/>
        <v>-4.5118977728392187</v>
      </c>
      <c r="DN93" s="42">
        <f t="shared" ca="1" si="489"/>
        <v>-4.7052808321033419</v>
      </c>
      <c r="DO93" s="42">
        <f t="shared" ca="1" si="490"/>
        <v>3.2125077356799061E-6</v>
      </c>
      <c r="DP93" s="42">
        <f t="shared" ca="1" si="491"/>
        <v>0.99999678749226428</v>
      </c>
      <c r="DQ93" s="42">
        <f t="shared" ca="1" si="492"/>
        <v>1.267583643550031E-6</v>
      </c>
      <c r="DR93" s="42">
        <f t="shared" ca="1" si="493"/>
        <v>0.9999987324163564</v>
      </c>
      <c r="DS93" s="42">
        <f t="shared" si="494"/>
        <v>0.98162450344672281</v>
      </c>
      <c r="DT93" s="42">
        <f t="shared" si="495"/>
        <v>196.32490068934456</v>
      </c>
      <c r="DU93" s="42">
        <f t="shared" si="496"/>
        <v>0.98801719747153338</v>
      </c>
      <c r="DV93" s="42">
        <f t="shared" ca="1" si="497"/>
        <v>80.523401593929975</v>
      </c>
      <c r="DW93" s="42">
        <f t="shared" ca="1" si="498"/>
        <v>1.5149405170083985E-5</v>
      </c>
      <c r="DX93" s="42">
        <f t="shared" si="499"/>
        <v>0</v>
      </c>
      <c r="DY93" s="92">
        <f t="shared" si="111"/>
        <v>0</v>
      </c>
      <c r="DZ93" s="42">
        <f t="shared" si="112"/>
        <v>0</v>
      </c>
      <c r="EA93" s="42">
        <f t="shared" si="418"/>
        <v>0</v>
      </c>
      <c r="EB93" s="42">
        <f t="shared" si="114"/>
        <v>0</v>
      </c>
      <c r="EC93" s="42">
        <f t="shared" si="115"/>
        <v>0</v>
      </c>
      <c r="ED93" s="42">
        <f t="shared" ca="1" si="424"/>
        <v>0</v>
      </c>
      <c r="EE93" s="40"/>
      <c r="EF93" s="120">
        <f t="shared" ca="1" si="130"/>
        <v>81.5</v>
      </c>
      <c r="EG93" s="42">
        <f t="shared" ca="1" si="500"/>
        <v>232.21488926902384</v>
      </c>
      <c r="EH93" s="36">
        <f t="shared" ca="1" si="419"/>
        <v>232.21488926902384</v>
      </c>
      <c r="EI93" s="36">
        <f t="shared" ca="1" si="124"/>
        <v>6.7270000000000003</v>
      </c>
      <c r="EJ93" s="153">
        <f t="shared" ca="1" si="131"/>
        <v>1</v>
      </c>
      <c r="EK93" s="153" t="str">
        <f t="shared" ca="1" si="229"/>
        <v/>
      </c>
      <c r="EL93" s="153" t="str">
        <f t="shared" ca="1" si="501"/>
        <v/>
      </c>
      <c r="EM93" s="153">
        <f t="shared" ca="1" si="230"/>
        <v>1</v>
      </c>
      <c r="EN93" s="153">
        <f t="shared" ca="1" si="231"/>
        <v>0</v>
      </c>
    </row>
    <row r="94" spans="1:146" x14ac:dyDescent="0.3">
      <c r="A94" s="36">
        <f ca="1">IF($M$22=1,A93+'Auto X'!$E$6,A$48)</f>
        <v>82</v>
      </c>
      <c r="B94" s="35">
        <f>IF($M$22=2,B93+'Auto X'!$E$6,B$48)</f>
        <v>0.28399999999999997</v>
      </c>
      <c r="C94" s="39">
        <f>IF($M$22=3,C93+'Auto X'!$E$6,C$48)</f>
        <v>45295.440972222219</v>
      </c>
      <c r="D94" s="35">
        <f>IF($M$22=4,D93+'Auto X'!$E$6,D$48)</f>
        <v>2.5999999999999999E-2</v>
      </c>
      <c r="E94" s="35">
        <f>IF($M$22=5,E93+'Auto X'!$E$6,E$48)</f>
        <v>0.04</v>
      </c>
      <c r="F94" s="36">
        <f t="shared" si="117"/>
        <v>75</v>
      </c>
      <c r="G94" s="35">
        <f t="shared" si="404"/>
        <v>0.28399999999999997</v>
      </c>
      <c r="H94" s="197">
        <f t="shared" si="125"/>
        <v>169.23611111111677</v>
      </c>
      <c r="I94" s="41">
        <f t="shared" si="405"/>
        <v>0.46366057838662128</v>
      </c>
      <c r="J94" s="40">
        <f t="shared" ca="1" si="425"/>
        <v>8.9231133727942613E-2</v>
      </c>
      <c r="K94" s="40">
        <f t="shared" si="426"/>
        <v>2.5189751902588361E-2</v>
      </c>
      <c r="L94" s="40">
        <f t="shared" si="427"/>
        <v>0.19338305926412305</v>
      </c>
      <c r="M94" s="42">
        <f t="shared" ca="1" si="428"/>
        <v>0.59167998513383047</v>
      </c>
      <c r="N94" s="42">
        <f t="shared" ca="1" si="429"/>
        <v>0.39829692586970744</v>
      </c>
      <c r="O94" s="42">
        <f t="shared" ca="1" si="430"/>
        <v>0.72296754916956918</v>
      </c>
      <c r="P94" s="42">
        <f t="shared" ca="1" si="431"/>
        <v>0.27703245083043082</v>
      </c>
      <c r="Q94" s="42">
        <f t="shared" ca="1" si="432"/>
        <v>0.65479433688556898</v>
      </c>
      <c r="R94" s="42">
        <f t="shared" ca="1" si="433"/>
        <v>0.34520566311443102</v>
      </c>
      <c r="S94" s="42">
        <f t="shared" si="434"/>
        <v>0.98162450344672281</v>
      </c>
      <c r="T94" s="42">
        <f t="shared" si="435"/>
        <v>73.621837758504213</v>
      </c>
      <c r="U94" s="42">
        <f t="shared" si="436"/>
        <v>0.98801719747153338</v>
      </c>
      <c r="V94" s="42">
        <f t="shared" ca="1" si="437"/>
        <v>81.017410192665736</v>
      </c>
      <c r="W94" s="42">
        <f t="shared" ca="1" si="438"/>
        <v>0.33488063114082323</v>
      </c>
      <c r="X94" s="42">
        <f t="shared" ca="1" si="439"/>
        <v>2.9702236175189896</v>
      </c>
      <c r="Y94" s="42">
        <f t="shared" ca="1" si="19"/>
        <v>-0.27371282567815264</v>
      </c>
      <c r="Z94" s="42">
        <f t="shared" ca="1" si="20"/>
        <v>2.0865185722657657E-2</v>
      </c>
      <c r="AA94" s="42">
        <f t="shared" ca="1" si="406"/>
        <v>-1.4314757989788618E-2</v>
      </c>
      <c r="AB94" s="42">
        <f t="shared" ca="1" si="22"/>
        <v>0.18474320437588554</v>
      </c>
      <c r="AC94" s="42">
        <f t="shared" ca="1" si="23"/>
        <v>-0.11783783059829486</v>
      </c>
      <c r="AD94" s="42">
        <f t="shared" ca="1" si="420"/>
        <v>-314.88819124050525</v>
      </c>
      <c r="AF94" s="36">
        <f t="shared" si="118"/>
        <v>80</v>
      </c>
      <c r="AG94" s="35">
        <f t="shared" si="407"/>
        <v>0.28399999999999997</v>
      </c>
      <c r="AH94" s="197">
        <f t="shared" si="126"/>
        <v>169.23611111111677</v>
      </c>
      <c r="AI94" s="41">
        <f t="shared" si="408"/>
        <v>0.46366057838662128</v>
      </c>
      <c r="AJ94" s="40">
        <f t="shared" ca="1" si="440"/>
        <v>2.4692612590371414E-2</v>
      </c>
      <c r="AK94" s="40">
        <f t="shared" si="441"/>
        <v>2.5189751902588361E-2</v>
      </c>
      <c r="AL94" s="40">
        <f t="shared" si="442"/>
        <v>0.19338305926412305</v>
      </c>
      <c r="AM94" s="42">
        <f t="shared" ca="1" si="443"/>
        <v>0.25794588565707982</v>
      </c>
      <c r="AN94" s="42">
        <f t="shared" ca="1" si="444"/>
        <v>6.4562826392956768E-2</v>
      </c>
      <c r="AO94" s="42">
        <f t="shared" ca="1" si="445"/>
        <v>0.60177566442586228</v>
      </c>
      <c r="AP94" s="42">
        <f t="shared" ca="1" si="446"/>
        <v>0.39822433557413772</v>
      </c>
      <c r="AQ94" s="42">
        <f t="shared" ca="1" si="447"/>
        <v>0.52573895841487595</v>
      </c>
      <c r="AR94" s="42">
        <f t="shared" ca="1" si="448"/>
        <v>0.47426104158512411</v>
      </c>
      <c r="AS94" s="42">
        <f t="shared" si="449"/>
        <v>0.98162450344672281</v>
      </c>
      <c r="AT94" s="42">
        <f t="shared" si="450"/>
        <v>78.529960275737821</v>
      </c>
      <c r="AU94" s="42">
        <f t="shared" si="451"/>
        <v>0.98801719747153338</v>
      </c>
      <c r="AV94" s="42">
        <f t="shared" ca="1" si="452"/>
        <v>81.017410192665736</v>
      </c>
      <c r="AW94" s="42">
        <f t="shared" ca="1" si="453"/>
        <v>0.38588859191119185</v>
      </c>
      <c r="AX94" s="42">
        <f t="shared" ca="1" si="454"/>
        <v>4.9805964120981514</v>
      </c>
      <c r="AY94" s="42">
        <f t="shared" ca="1" si="42"/>
        <v>-0.39345249199892302</v>
      </c>
      <c r="AZ94" s="42">
        <f t="shared" ca="1" si="43"/>
        <v>2.4043304956314453E-2</v>
      </c>
      <c r="BA94" s="42">
        <f t="shared" ca="1" si="409"/>
        <v>-1.6078922793480156E-2</v>
      </c>
      <c r="BB94" s="42">
        <f t="shared" ca="1" si="45"/>
        <v>0.21288270617177965</v>
      </c>
      <c r="BC94" s="42">
        <f t="shared" ca="1" si="46"/>
        <v>-0.17268435833789769</v>
      </c>
      <c r="BD94" s="42">
        <f t="shared" ca="1" si="421"/>
        <v>334.70179395092447</v>
      </c>
      <c r="BE94" s="40"/>
      <c r="BF94" s="36">
        <f t="shared" si="119"/>
        <v>90</v>
      </c>
      <c r="BG94" s="35">
        <f t="shared" si="410"/>
        <v>0.28399999999999997</v>
      </c>
      <c r="BH94" s="197">
        <f t="shared" si="127"/>
        <v>169.23611111111677</v>
      </c>
      <c r="BI94" s="41">
        <f t="shared" si="411"/>
        <v>0.46366057838662128</v>
      </c>
      <c r="BJ94" s="40">
        <f t="shared" ca="1" si="455"/>
        <v>-9.3090423066011979E-2</v>
      </c>
      <c r="BK94" s="40">
        <f t="shared" si="456"/>
        <v>2.5189751902588361E-2</v>
      </c>
      <c r="BL94" s="40">
        <f t="shared" si="457"/>
        <v>0.19338305926412305</v>
      </c>
      <c r="BM94" s="42">
        <f t="shared" ca="1" si="458"/>
        <v>-0.35112005892245562</v>
      </c>
      <c r="BN94" s="42">
        <f t="shared" ca="1" si="459"/>
        <v>-0.54450311818657871</v>
      </c>
      <c r="BO94" s="42">
        <f t="shared" ca="1" si="460"/>
        <v>0.36274913998426783</v>
      </c>
      <c r="BP94" s="42">
        <f t="shared" ca="1" si="461"/>
        <v>0.63725086001573217</v>
      </c>
      <c r="BQ94" s="42">
        <f t="shared" ca="1" si="462"/>
        <v>0.29304765161734392</v>
      </c>
      <c r="BR94" s="42">
        <f t="shared" ca="1" si="463"/>
        <v>0.70695234838265608</v>
      </c>
      <c r="BS94" s="42">
        <f t="shared" si="464"/>
        <v>0.98162450344672281</v>
      </c>
      <c r="BT94" s="42">
        <f t="shared" si="465"/>
        <v>88.34620531020505</v>
      </c>
      <c r="BU94" s="42">
        <f t="shared" si="466"/>
        <v>0.98801719747153338</v>
      </c>
      <c r="BV94" s="42">
        <f t="shared" ca="1" si="467"/>
        <v>81.017410192665736</v>
      </c>
      <c r="BW94" s="42">
        <f t="shared" ca="1" si="468"/>
        <v>0.3750930385089683</v>
      </c>
      <c r="BX94" s="42">
        <f t="shared" ca="1" si="469"/>
        <v>3.4993478756828402</v>
      </c>
      <c r="BY94" s="42">
        <f t="shared" ca="1" si="65"/>
        <v>0.35840238867246527</v>
      </c>
      <c r="BZ94" s="42">
        <f t="shared" ca="1" si="66"/>
        <v>2.3370673559422642E-2</v>
      </c>
      <c r="CA94" s="42">
        <f t="shared" ca="1" si="412"/>
        <v>-1.8106278777719004E-2</v>
      </c>
      <c r="CB94" s="42">
        <f t="shared" ca="1" si="68"/>
        <v>0.20692713590859807</v>
      </c>
      <c r="CC94" s="42">
        <f t="shared" ca="1" si="69"/>
        <v>0.12004009163800694</v>
      </c>
      <c r="CD94" s="42">
        <f t="shared" ca="1" si="422"/>
        <v>1650.3260621585798</v>
      </c>
      <c r="CE94" s="40"/>
      <c r="CF94" s="36">
        <f t="shared" si="120"/>
        <v>95</v>
      </c>
      <c r="CG94" s="35">
        <f t="shared" si="413"/>
        <v>0.28399999999999997</v>
      </c>
      <c r="CH94" s="197">
        <f t="shared" si="128"/>
        <v>169.23611111111677</v>
      </c>
      <c r="CI94" s="41">
        <f t="shared" si="414"/>
        <v>0.46366057838662128</v>
      </c>
      <c r="CJ94" s="40">
        <f t="shared" ca="1" si="470"/>
        <v>-0.1471576443362877</v>
      </c>
      <c r="CK94" s="40">
        <f t="shared" si="471"/>
        <v>2.5189751902588361E-2</v>
      </c>
      <c r="CL94" s="40">
        <f t="shared" si="472"/>
        <v>0.19338305926412305</v>
      </c>
      <c r="CM94" s="42">
        <f t="shared" ca="1" si="473"/>
        <v>-0.63070618955880353</v>
      </c>
      <c r="CN94" s="42">
        <f t="shared" ca="1" si="474"/>
        <v>-0.82408924882292656</v>
      </c>
      <c r="CO94" s="42">
        <f t="shared" ca="1" si="475"/>
        <v>0.26411632562440646</v>
      </c>
      <c r="CP94" s="42">
        <f t="shared" ca="1" si="476"/>
        <v>0.73588367437559354</v>
      </c>
      <c r="CQ94" s="42">
        <f t="shared" ca="1" si="477"/>
        <v>0.20494442426005938</v>
      </c>
      <c r="CR94" s="42">
        <f t="shared" ca="1" si="478"/>
        <v>0.79505557573994068</v>
      </c>
      <c r="CS94" s="42">
        <f t="shared" si="479"/>
        <v>0.98162450344672281</v>
      </c>
      <c r="CT94" s="42">
        <f t="shared" si="480"/>
        <v>93.254327827438672</v>
      </c>
      <c r="CU94" s="42">
        <f t="shared" si="481"/>
        <v>0.98801719747153338</v>
      </c>
      <c r="CV94" s="42">
        <f t="shared" ca="1" si="482"/>
        <v>81.017410192665736</v>
      </c>
      <c r="CW94" s="42">
        <f t="shared" ca="1" si="483"/>
        <v>0.32698738658004201</v>
      </c>
      <c r="CX94" s="42">
        <f t="shared" ca="1" si="484"/>
        <v>2.2860661653389585</v>
      </c>
      <c r="CY94" s="42">
        <f t="shared" ca="1" si="88"/>
        <v>0.26095147184990503</v>
      </c>
      <c r="CZ94" s="42">
        <f t="shared" ca="1" si="89"/>
        <v>2.0373386560807054E-2</v>
      </c>
      <c r="DA94" s="42">
        <f t="shared" ca="1" si="415"/>
        <v>-1.5705996235807762E-2</v>
      </c>
      <c r="DB94" s="42">
        <f t="shared" ca="1" si="91"/>
        <v>0.18038874742173566</v>
      </c>
      <c r="DC94" s="42">
        <f t="shared" ca="1" si="92"/>
        <v>8.8614598897877511E-2</v>
      </c>
      <c r="DD94" s="42">
        <f t="shared" ca="1" si="423"/>
        <v>-1431.966917330521</v>
      </c>
      <c r="DE94" s="40"/>
      <c r="DF94" s="36">
        <f t="shared" si="121"/>
        <v>200</v>
      </c>
      <c r="DG94" s="35">
        <f t="shared" si="416"/>
        <v>0.28399999999999997</v>
      </c>
      <c r="DH94" s="197">
        <f t="shared" si="129"/>
        <v>169.23611111111677</v>
      </c>
      <c r="DI94" s="41">
        <f t="shared" si="417"/>
        <v>0.46366057838662128</v>
      </c>
      <c r="DJ94" s="40">
        <f t="shared" ca="1" si="485"/>
        <v>-0.89159811928378363</v>
      </c>
      <c r="DK94" s="40">
        <f t="shared" si="486"/>
        <v>2.5189751902588361E-2</v>
      </c>
      <c r="DL94" s="40">
        <f t="shared" si="487"/>
        <v>0.19338305926412305</v>
      </c>
      <c r="DM94" s="42">
        <f t="shared" ca="1" si="488"/>
        <v>-4.4802702505489513</v>
      </c>
      <c r="DN94" s="42">
        <f t="shared" ca="1" si="489"/>
        <v>-4.6736533098130746</v>
      </c>
      <c r="DO94" s="42">
        <f t="shared" ca="1" si="490"/>
        <v>3.7274293537807405E-6</v>
      </c>
      <c r="DP94" s="42">
        <f t="shared" ca="1" si="491"/>
        <v>0.99999627257064627</v>
      </c>
      <c r="DQ94" s="42">
        <f t="shared" ca="1" si="492"/>
        <v>1.4794432272072615E-6</v>
      </c>
      <c r="DR94" s="42">
        <f t="shared" ca="1" si="493"/>
        <v>0.99999852055677274</v>
      </c>
      <c r="DS94" s="42">
        <f t="shared" si="494"/>
        <v>0.98162450344672281</v>
      </c>
      <c r="DT94" s="42">
        <f t="shared" si="495"/>
        <v>196.32490068934456</v>
      </c>
      <c r="DU94" s="42">
        <f t="shared" si="496"/>
        <v>0.98801719747153338</v>
      </c>
      <c r="DV94" s="42">
        <f t="shared" ca="1" si="497"/>
        <v>81.017410192665736</v>
      </c>
      <c r="DW94" s="42">
        <f t="shared" ca="1" si="498"/>
        <v>1.7464343110457307E-5</v>
      </c>
      <c r="DX94" s="42">
        <f t="shared" si="499"/>
        <v>0</v>
      </c>
      <c r="DY94" s="92">
        <f t="shared" si="111"/>
        <v>0</v>
      </c>
      <c r="DZ94" s="42">
        <f t="shared" si="112"/>
        <v>0</v>
      </c>
      <c r="EA94" s="42">
        <f t="shared" si="418"/>
        <v>0</v>
      </c>
      <c r="EB94" s="42">
        <f t="shared" si="114"/>
        <v>0</v>
      </c>
      <c r="EC94" s="42">
        <f t="shared" si="115"/>
        <v>0</v>
      </c>
      <c r="ED94" s="42">
        <f t="shared" ca="1" si="424"/>
        <v>0</v>
      </c>
      <c r="EE94" s="40"/>
      <c r="EF94" s="120">
        <f t="shared" ca="1" si="130"/>
        <v>82</v>
      </c>
      <c r="EG94" s="42">
        <f t="shared" ca="1" si="500"/>
        <v>238.17274753847801</v>
      </c>
      <c r="EH94" s="36">
        <f t="shared" ca="1" si="419"/>
        <v>238.17274753847801</v>
      </c>
      <c r="EI94" s="36">
        <f t="shared" ca="1" si="124"/>
        <v>5.9580000000000002</v>
      </c>
      <c r="EJ94" s="153">
        <f t="shared" ca="1" si="131"/>
        <v>1</v>
      </c>
      <c r="EK94" s="153" t="str">
        <f t="shared" ca="1" si="229"/>
        <v/>
      </c>
      <c r="EL94" s="153" t="str">
        <f t="shared" ca="1" si="501"/>
        <v/>
      </c>
      <c r="EM94" s="153">
        <f t="shared" ca="1" si="230"/>
        <v>1</v>
      </c>
      <c r="EN94" s="153">
        <f t="shared" ca="1" si="231"/>
        <v>0</v>
      </c>
    </row>
    <row r="95" spans="1:146" x14ac:dyDescent="0.3">
      <c r="A95" s="36">
        <f ca="1">IF($M$22=1,A94+'Auto X'!$E$6,A$48)</f>
        <v>82.5</v>
      </c>
      <c r="B95" s="35">
        <f>IF($M$22=2,B94+'Auto X'!$E$6,B$48)</f>
        <v>0.28399999999999997</v>
      </c>
      <c r="C95" s="39">
        <f>IF($M$22=3,C94+'Auto X'!$E$6,C$48)</f>
        <v>45295.440972222219</v>
      </c>
      <c r="D95" s="35">
        <f>IF($M$22=4,D94+'Auto X'!$E$6,D$48)</f>
        <v>2.5999999999999999E-2</v>
      </c>
      <c r="E95" s="35">
        <f>IF($M$22=5,E94+'Auto X'!$E$6,E$48)</f>
        <v>0.04</v>
      </c>
      <c r="F95" s="36">
        <f t="shared" si="117"/>
        <v>75</v>
      </c>
      <c r="G95" s="35">
        <f t="shared" si="404"/>
        <v>0.28399999999999997</v>
      </c>
      <c r="H95" s="197">
        <f t="shared" si="125"/>
        <v>169.23611111111677</v>
      </c>
      <c r="I95" s="41">
        <f t="shared" si="405"/>
        <v>0.46366057838662128</v>
      </c>
      <c r="J95" s="40">
        <f t="shared" ca="1" si="425"/>
        <v>9.5310179804324935E-2</v>
      </c>
      <c r="K95" s="40">
        <f t="shared" si="426"/>
        <v>2.5189751902588361E-2</v>
      </c>
      <c r="L95" s="40">
        <f t="shared" si="427"/>
        <v>0.19338305926412305</v>
      </c>
      <c r="M95" s="42">
        <f t="shared" ca="1" si="428"/>
        <v>0.62311524166309828</v>
      </c>
      <c r="N95" s="42">
        <f t="shared" ca="1" si="429"/>
        <v>0.42973218239897526</v>
      </c>
      <c r="O95" s="42">
        <f t="shared" ca="1" si="430"/>
        <v>0.73339560276253013</v>
      </c>
      <c r="P95" s="42">
        <f t="shared" ca="1" si="431"/>
        <v>0.26660439723746987</v>
      </c>
      <c r="Q95" s="42">
        <f t="shared" ca="1" si="432"/>
        <v>0.66630476489269841</v>
      </c>
      <c r="R95" s="42">
        <f t="shared" ca="1" si="433"/>
        <v>0.33369523510730159</v>
      </c>
      <c r="S95" s="42">
        <f t="shared" si="434"/>
        <v>0.98162450344672281</v>
      </c>
      <c r="T95" s="42">
        <f t="shared" si="435"/>
        <v>73.621837758504213</v>
      </c>
      <c r="U95" s="42">
        <f t="shared" si="436"/>
        <v>0.98801719747153338</v>
      </c>
      <c r="V95" s="42">
        <f t="shared" ca="1" si="437"/>
        <v>81.51141879140151</v>
      </c>
      <c r="W95" s="42">
        <f t="shared" ca="1" si="438"/>
        <v>0.32854717784553872</v>
      </c>
      <c r="X95" s="42">
        <f t="shared" ca="1" si="439"/>
        <v>2.8359537850031025</v>
      </c>
      <c r="Y95" s="42">
        <f t="shared" ca="1" si="19"/>
        <v>-0.2634097293921524</v>
      </c>
      <c r="Z95" s="42">
        <f t="shared" ca="1" si="20"/>
        <v>2.0346507372927394E-2</v>
      </c>
      <c r="AA95" s="42">
        <f t="shared" ca="1" si="406"/>
        <v>-1.4156391243331816E-2</v>
      </c>
      <c r="AB95" s="42">
        <f t="shared" ca="1" si="22"/>
        <v>0.18235441390286419</v>
      </c>
      <c r="AC95" s="42">
        <f t="shared" ca="1" si="23"/>
        <v>-0.11390868339549141</v>
      </c>
      <c r="AD95" s="42">
        <f t="shared" ca="1" si="420"/>
        <v>-382.02310749844884</v>
      </c>
      <c r="AF95" s="36">
        <f t="shared" si="118"/>
        <v>80</v>
      </c>
      <c r="AG95" s="35">
        <f t="shared" si="407"/>
        <v>0.28399999999999997</v>
      </c>
      <c r="AH95" s="197">
        <f t="shared" si="126"/>
        <v>169.23611111111677</v>
      </c>
      <c r="AI95" s="41">
        <f t="shared" si="408"/>
        <v>0.46366057838662128</v>
      </c>
      <c r="AJ95" s="40">
        <f t="shared" ca="1" si="440"/>
        <v>3.0771658666753687E-2</v>
      </c>
      <c r="AK95" s="40">
        <f t="shared" si="441"/>
        <v>2.5189751902588361E-2</v>
      </c>
      <c r="AL95" s="40">
        <f t="shared" si="442"/>
        <v>0.19338305926412305</v>
      </c>
      <c r="AM95" s="42">
        <f t="shared" ca="1" si="443"/>
        <v>0.28938114218634747</v>
      </c>
      <c r="AN95" s="42">
        <f t="shared" ca="1" si="444"/>
        <v>9.599808292222442E-2</v>
      </c>
      <c r="AO95" s="42">
        <f t="shared" ca="1" si="445"/>
        <v>0.61385513783971368</v>
      </c>
      <c r="AP95" s="42">
        <f t="shared" ca="1" si="446"/>
        <v>0.38614486216028632</v>
      </c>
      <c r="AQ95" s="42">
        <f t="shared" ca="1" si="447"/>
        <v>0.53823895243081499</v>
      </c>
      <c r="AR95" s="42">
        <f t="shared" ca="1" si="448"/>
        <v>0.46176104756918501</v>
      </c>
      <c r="AS95" s="42">
        <f t="shared" si="449"/>
        <v>0.98162450344672281</v>
      </c>
      <c r="AT95" s="42">
        <f t="shared" si="450"/>
        <v>78.529960275737821</v>
      </c>
      <c r="AU95" s="42">
        <f t="shared" si="451"/>
        <v>0.98801719747153338</v>
      </c>
      <c r="AV95" s="42">
        <f t="shared" ca="1" si="452"/>
        <v>81.51141879140151</v>
      </c>
      <c r="AW95" s="42">
        <f t="shared" ca="1" si="453"/>
        <v>0.3825831529796539</v>
      </c>
      <c r="AX95" s="42">
        <f t="shared" ca="1" si="454"/>
        <v>4.7868611487960706</v>
      </c>
      <c r="AY95" s="42">
        <f t="shared" ca="1" si="42"/>
        <v>-0.38151776452963765</v>
      </c>
      <c r="AZ95" s="42">
        <f t="shared" ca="1" si="43"/>
        <v>2.3692886342545214E-2</v>
      </c>
      <c r="BA95" s="42">
        <f t="shared" ca="1" si="409"/>
        <v>-1.6085353498328146E-2</v>
      </c>
      <c r="BB95" s="42">
        <f t="shared" ca="1" si="45"/>
        <v>0.21234614489220746</v>
      </c>
      <c r="BC95" s="42">
        <f t="shared" ca="1" si="46"/>
        <v>-0.16813295466650299</v>
      </c>
      <c r="BD95" s="42">
        <f t="shared" ca="1" si="421"/>
        <v>431.56942560196489</v>
      </c>
      <c r="BE95" s="40"/>
      <c r="BF95" s="36">
        <f t="shared" si="119"/>
        <v>90</v>
      </c>
      <c r="BG95" s="35">
        <f t="shared" si="410"/>
        <v>0.28399999999999997</v>
      </c>
      <c r="BH95" s="197">
        <f t="shared" si="127"/>
        <v>169.23611111111677</v>
      </c>
      <c r="BI95" s="41">
        <f t="shared" si="411"/>
        <v>0.46366057838662128</v>
      </c>
      <c r="BJ95" s="40">
        <f t="shared" ca="1" si="455"/>
        <v>-8.701137698962981E-2</v>
      </c>
      <c r="BK95" s="40">
        <f t="shared" si="456"/>
        <v>2.5189751902588361E-2</v>
      </c>
      <c r="BL95" s="40">
        <f t="shared" si="457"/>
        <v>0.19338305926412305</v>
      </c>
      <c r="BM95" s="42">
        <f t="shared" ca="1" si="458"/>
        <v>-0.31968480239318853</v>
      </c>
      <c r="BN95" s="42">
        <f t="shared" ca="1" si="459"/>
        <v>-0.51306786165731155</v>
      </c>
      <c r="BO95" s="42">
        <f t="shared" ca="1" si="460"/>
        <v>0.37460364081469683</v>
      </c>
      <c r="BP95" s="42">
        <f t="shared" ca="1" si="461"/>
        <v>0.62539635918530312</v>
      </c>
      <c r="BQ95" s="42">
        <f t="shared" ca="1" si="462"/>
        <v>0.3039519258212261</v>
      </c>
      <c r="BR95" s="42">
        <f t="shared" ca="1" si="463"/>
        <v>0.6960480741787739</v>
      </c>
      <c r="BS95" s="42">
        <f t="shared" si="464"/>
        <v>0.98162450344672281</v>
      </c>
      <c r="BT95" s="42">
        <f t="shared" si="465"/>
        <v>88.34620531020505</v>
      </c>
      <c r="BU95" s="42">
        <f t="shared" si="466"/>
        <v>0.98801719747153338</v>
      </c>
      <c r="BV95" s="42">
        <f t="shared" ca="1" si="467"/>
        <v>81.51141879140151</v>
      </c>
      <c r="BW95" s="42">
        <f t="shared" ca="1" si="468"/>
        <v>0.37906873949534892</v>
      </c>
      <c r="BX95" s="42">
        <f t="shared" ca="1" si="469"/>
        <v>3.6814750041962441</v>
      </c>
      <c r="BY95" s="42">
        <f t="shared" ca="1" si="65"/>
        <v>0.37011483936036965</v>
      </c>
      <c r="BZ95" s="42">
        <f t="shared" ca="1" si="66"/>
        <v>2.3475243201189287E-2</v>
      </c>
      <c r="CA95" s="42">
        <f t="shared" ca="1" si="412"/>
        <v>-1.8421276458908644E-2</v>
      </c>
      <c r="CB95" s="42">
        <f t="shared" ca="1" si="68"/>
        <v>0.21039553062930227</v>
      </c>
      <c r="CC95" s="42">
        <f t="shared" ca="1" si="69"/>
        <v>0.12450677160440766</v>
      </c>
      <c r="CD95" s="42">
        <f t="shared" ca="1" si="422"/>
        <v>1559.2624979018779</v>
      </c>
      <c r="CE95" s="40"/>
      <c r="CF95" s="36">
        <f t="shared" si="120"/>
        <v>95</v>
      </c>
      <c r="CG95" s="35">
        <f t="shared" si="413"/>
        <v>0.28399999999999997</v>
      </c>
      <c r="CH95" s="197">
        <f t="shared" si="128"/>
        <v>169.23611111111677</v>
      </c>
      <c r="CI95" s="41">
        <f t="shared" si="414"/>
        <v>0.46366057838662128</v>
      </c>
      <c r="CJ95" s="40">
        <f t="shared" ca="1" si="470"/>
        <v>-0.14107859825990549</v>
      </c>
      <c r="CK95" s="40">
        <f t="shared" si="471"/>
        <v>2.5189751902588361E-2</v>
      </c>
      <c r="CL95" s="40">
        <f t="shared" si="472"/>
        <v>0.19338305926412305</v>
      </c>
      <c r="CM95" s="42">
        <f t="shared" ca="1" si="473"/>
        <v>-0.59927093302953627</v>
      </c>
      <c r="CN95" s="42">
        <f t="shared" ca="1" si="474"/>
        <v>-0.79265399229365929</v>
      </c>
      <c r="CO95" s="42">
        <f t="shared" ca="1" si="475"/>
        <v>0.27449611392453377</v>
      </c>
      <c r="CP95" s="42">
        <f t="shared" ca="1" si="476"/>
        <v>0.72550388607546623</v>
      </c>
      <c r="CQ95" s="42">
        <f t="shared" ca="1" si="477"/>
        <v>0.21398972115190168</v>
      </c>
      <c r="CR95" s="42">
        <f t="shared" ca="1" si="478"/>
        <v>0.78601027884809826</v>
      </c>
      <c r="CS95" s="42">
        <f t="shared" si="479"/>
        <v>0.98162450344672281</v>
      </c>
      <c r="CT95" s="42">
        <f t="shared" si="480"/>
        <v>93.254327827438672</v>
      </c>
      <c r="CU95" s="42">
        <f t="shared" si="481"/>
        <v>0.98801719747153338</v>
      </c>
      <c r="CV95" s="42">
        <f t="shared" ca="1" si="482"/>
        <v>81.51141879140151</v>
      </c>
      <c r="CW95" s="42">
        <f t="shared" ca="1" si="483"/>
        <v>0.33337031200977929</v>
      </c>
      <c r="CX95" s="42">
        <f t="shared" ca="1" si="484"/>
        <v>2.4191000907133038</v>
      </c>
      <c r="CY95" s="42">
        <f t="shared" ca="1" si="88"/>
        <v>0.27120688119654462</v>
      </c>
      <c r="CZ95" s="42">
        <f t="shared" ca="1" si="89"/>
        <v>2.0645197915566831E-2</v>
      </c>
      <c r="DA95" s="42">
        <f t="shared" ca="1" si="415"/>
        <v>-1.6118423147268909E-2</v>
      </c>
      <c r="DB95" s="42">
        <f t="shared" ca="1" si="91"/>
        <v>0.18503141088534464</v>
      </c>
      <c r="DC95" s="42">
        <f t="shared" ca="1" si="92"/>
        <v>9.2525636531015198E-2</v>
      </c>
      <c r="DD95" s="42">
        <f t="shared" ca="1" si="423"/>
        <v>-1365.4499546433483</v>
      </c>
      <c r="DE95" s="40"/>
      <c r="DF95" s="36">
        <f t="shared" si="121"/>
        <v>200</v>
      </c>
      <c r="DG95" s="35">
        <f t="shared" si="416"/>
        <v>0.28399999999999997</v>
      </c>
      <c r="DH95" s="197">
        <f t="shared" si="129"/>
        <v>169.23611111111677</v>
      </c>
      <c r="DI95" s="41">
        <f t="shared" si="417"/>
        <v>0.46366057838662128</v>
      </c>
      <c r="DJ95" s="40">
        <f t="shared" ca="1" si="485"/>
        <v>-0.88551907320740142</v>
      </c>
      <c r="DK95" s="40">
        <f t="shared" si="486"/>
        <v>2.5189751902588361E-2</v>
      </c>
      <c r="DL95" s="40">
        <f t="shared" si="487"/>
        <v>0.19338305926412305</v>
      </c>
      <c r="DM95" s="42">
        <f t="shared" ca="1" si="488"/>
        <v>-4.4488349940196841</v>
      </c>
      <c r="DN95" s="42">
        <f t="shared" ca="1" si="489"/>
        <v>-4.6422180532838073</v>
      </c>
      <c r="DO95" s="42">
        <f t="shared" ca="1" si="490"/>
        <v>4.3168655042278556E-6</v>
      </c>
      <c r="DP95" s="42">
        <f t="shared" ca="1" si="491"/>
        <v>0.99999568313449583</v>
      </c>
      <c r="DQ95" s="42">
        <f t="shared" ca="1" si="492"/>
        <v>1.7234440661919403E-6</v>
      </c>
      <c r="DR95" s="42">
        <f t="shared" ca="1" si="493"/>
        <v>0.99999827655593376</v>
      </c>
      <c r="DS95" s="42">
        <f t="shared" si="494"/>
        <v>0.98162450344672281</v>
      </c>
      <c r="DT95" s="42">
        <f t="shared" si="495"/>
        <v>196.32490068934456</v>
      </c>
      <c r="DU95" s="42">
        <f t="shared" si="496"/>
        <v>0.98801719747153338</v>
      </c>
      <c r="DV95" s="42">
        <f t="shared" ca="1" si="497"/>
        <v>81.51141879140151</v>
      </c>
      <c r="DW95" s="42">
        <f t="shared" ca="1" si="498"/>
        <v>2.0095695195563412E-5</v>
      </c>
      <c r="DX95" s="42">
        <f t="shared" si="499"/>
        <v>0</v>
      </c>
      <c r="DY95" s="92">
        <f t="shared" si="111"/>
        <v>0</v>
      </c>
      <c r="DZ95" s="42">
        <f t="shared" si="112"/>
        <v>0</v>
      </c>
      <c r="EA95" s="42">
        <f t="shared" si="418"/>
        <v>0</v>
      </c>
      <c r="EB95" s="42">
        <f t="shared" si="114"/>
        <v>0</v>
      </c>
      <c r="EC95" s="42">
        <f t="shared" si="115"/>
        <v>0</v>
      </c>
      <c r="ED95" s="42">
        <f t="shared" ca="1" si="424"/>
        <v>0</v>
      </c>
      <c r="EE95" s="40"/>
      <c r="EF95" s="120">
        <f t="shared" ca="1" si="130"/>
        <v>82.5</v>
      </c>
      <c r="EG95" s="42">
        <f t="shared" ca="1" si="500"/>
        <v>243.35886136204567</v>
      </c>
      <c r="EH95" s="36">
        <f t="shared" ca="1" si="419"/>
        <v>243.35886136204567</v>
      </c>
      <c r="EI95" s="36">
        <f t="shared" ca="1" si="124"/>
        <v>5.1859999999999999</v>
      </c>
      <c r="EJ95" s="153">
        <f t="shared" ca="1" si="131"/>
        <v>1</v>
      </c>
      <c r="EK95" s="153" t="str">
        <f t="shared" ca="1" si="229"/>
        <v/>
      </c>
      <c r="EL95" s="153" t="str">
        <f t="shared" ca="1" si="501"/>
        <v/>
      </c>
      <c r="EM95" s="153">
        <f t="shared" ca="1" si="230"/>
        <v>1</v>
      </c>
      <c r="EN95" s="153">
        <f t="shared" ca="1" si="231"/>
        <v>0</v>
      </c>
    </row>
    <row r="96" spans="1:146" x14ac:dyDescent="0.3">
      <c r="A96" s="36">
        <f ca="1">IF($M$22=1,A95+'Auto X'!$E$6,A$48)</f>
        <v>83</v>
      </c>
      <c r="B96" s="35">
        <f>IF($M$22=2,B95+'Auto X'!$E$6,B$48)</f>
        <v>0.28399999999999997</v>
      </c>
      <c r="C96" s="39">
        <f>IF($M$22=3,C95+'Auto X'!$E$6,C$48)</f>
        <v>45295.440972222219</v>
      </c>
      <c r="D96" s="35">
        <f>IF($M$22=4,D95+'Auto X'!$E$6,D$48)</f>
        <v>2.5999999999999999E-2</v>
      </c>
      <c r="E96" s="35">
        <f>IF($M$22=5,E95+'Auto X'!$E$6,E$48)</f>
        <v>0.04</v>
      </c>
      <c r="F96" s="36">
        <f t="shared" si="117"/>
        <v>75</v>
      </c>
      <c r="G96" s="35">
        <f t="shared" si="404"/>
        <v>0.28399999999999997</v>
      </c>
      <c r="H96" s="197">
        <f t="shared" si="125"/>
        <v>169.23611111111677</v>
      </c>
      <c r="I96" s="41">
        <f t="shared" si="405"/>
        <v>0.46366057838662128</v>
      </c>
      <c r="J96" s="40">
        <f t="shared" ca="1" si="425"/>
        <v>0.1013524942602875</v>
      </c>
      <c r="K96" s="40">
        <f t="shared" si="426"/>
        <v>2.5189751902588361E-2</v>
      </c>
      <c r="L96" s="40">
        <f t="shared" si="427"/>
        <v>0.19338305926412305</v>
      </c>
      <c r="M96" s="42">
        <f t="shared" ca="1" si="428"/>
        <v>0.65436055590600695</v>
      </c>
      <c r="N96" s="42">
        <f t="shared" ca="1" si="429"/>
        <v>0.46097749664188392</v>
      </c>
      <c r="O96" s="42">
        <f t="shared" ca="1" si="430"/>
        <v>0.74356022978440794</v>
      </c>
      <c r="P96" s="42">
        <f t="shared" ca="1" si="431"/>
        <v>0.25643977021559206</v>
      </c>
      <c r="Q96" s="42">
        <f t="shared" ca="1" si="432"/>
        <v>0.67759262488841543</v>
      </c>
      <c r="R96" s="42">
        <f t="shared" ca="1" si="433"/>
        <v>0.32240737511158457</v>
      </c>
      <c r="S96" s="42">
        <f t="shared" si="434"/>
        <v>0.98162450344672281</v>
      </c>
      <c r="T96" s="42">
        <f t="shared" si="435"/>
        <v>73.621837758504213</v>
      </c>
      <c r="U96" s="42">
        <f t="shared" si="436"/>
        <v>0.98801719747153338</v>
      </c>
      <c r="V96" s="42">
        <f t="shared" ca="1" si="437"/>
        <v>82.005427390137271</v>
      </c>
      <c r="W96" s="42">
        <f t="shared" ca="1" si="438"/>
        <v>0.32205517352417057</v>
      </c>
      <c r="X96" s="42">
        <f t="shared" ca="1" si="439"/>
        <v>2.7067705062520666</v>
      </c>
      <c r="Y96" s="42">
        <f t="shared" ca="1" si="19"/>
        <v>-0.25336690308865328</v>
      </c>
      <c r="Z96" s="42">
        <f t="shared" ca="1" si="20"/>
        <v>1.9824318447042012E-2</v>
      </c>
      <c r="AA96" s="42">
        <f t="shared" ca="1" si="406"/>
        <v>-1.3986029865742978E-2</v>
      </c>
      <c r="AB96" s="42">
        <f t="shared" ca="1" si="22"/>
        <v>0.17983447971791652</v>
      </c>
      <c r="AC96" s="42">
        <f t="shared" ca="1" si="23"/>
        <v>-0.11005551099387975</v>
      </c>
      <c r="AD96" s="42">
        <f t="shared" ca="1" si="420"/>
        <v>-446.61474687396674</v>
      </c>
      <c r="AF96" s="36">
        <f t="shared" si="118"/>
        <v>80</v>
      </c>
      <c r="AG96" s="35">
        <f t="shared" si="407"/>
        <v>0.28399999999999997</v>
      </c>
      <c r="AH96" s="197">
        <f t="shared" si="126"/>
        <v>169.23611111111677</v>
      </c>
      <c r="AI96" s="41">
        <f t="shared" si="408"/>
        <v>0.46366057838662128</v>
      </c>
      <c r="AJ96" s="40">
        <f t="shared" ca="1" si="440"/>
        <v>3.6813973122716399E-2</v>
      </c>
      <c r="AK96" s="40">
        <f t="shared" si="441"/>
        <v>2.5189751902588361E-2</v>
      </c>
      <c r="AL96" s="40">
        <f t="shared" si="442"/>
        <v>0.19338305926412305</v>
      </c>
      <c r="AM96" s="42">
        <f t="shared" ca="1" si="443"/>
        <v>0.32062645642925691</v>
      </c>
      <c r="AN96" s="42">
        <f t="shared" ca="1" si="444"/>
        <v>0.12724339716513386</v>
      </c>
      <c r="AO96" s="42">
        <f t="shared" ca="1" si="445"/>
        <v>0.62575325701943196</v>
      </c>
      <c r="AP96" s="42">
        <f t="shared" ca="1" si="446"/>
        <v>0.37424674298056798</v>
      </c>
      <c r="AQ96" s="42">
        <f t="shared" ca="1" si="447"/>
        <v>0.55062612073026884</v>
      </c>
      <c r="AR96" s="42">
        <f t="shared" ca="1" si="448"/>
        <v>0.44937387926973116</v>
      </c>
      <c r="AS96" s="42">
        <f t="shared" si="449"/>
        <v>0.98162450344672281</v>
      </c>
      <c r="AT96" s="42">
        <f t="shared" si="450"/>
        <v>78.529960275737821</v>
      </c>
      <c r="AU96" s="42">
        <f t="shared" si="451"/>
        <v>0.98801719747153338</v>
      </c>
      <c r="AV96" s="42">
        <f t="shared" ca="1" si="452"/>
        <v>82.005427390137271</v>
      </c>
      <c r="AW96" s="42">
        <f t="shared" ca="1" si="453"/>
        <v>0.37895447665307103</v>
      </c>
      <c r="AX96" s="42">
        <f t="shared" ca="1" si="454"/>
        <v>4.5990487805178617</v>
      </c>
      <c r="AY96" s="42">
        <f t="shared" ca="1" si="42"/>
        <v>-0.36976221816251009</v>
      </c>
      <c r="AZ96" s="42">
        <f t="shared" ca="1" si="43"/>
        <v>2.3326792548913379E-2</v>
      </c>
      <c r="BA96" s="42">
        <f t="shared" ca="1" si="409"/>
        <v>-1.6074011890088228E-2</v>
      </c>
      <c r="BB96" s="42">
        <f t="shared" ca="1" si="45"/>
        <v>0.21160685108685484</v>
      </c>
      <c r="BC96" s="42">
        <f t="shared" ca="1" si="46"/>
        <v>-0.16362263224519402</v>
      </c>
      <c r="BD96" s="42">
        <f t="shared" ca="1" si="421"/>
        <v>525.47560974106932</v>
      </c>
      <c r="BE96" s="40"/>
      <c r="BF96" s="36">
        <f t="shared" si="119"/>
        <v>90</v>
      </c>
      <c r="BG96" s="35">
        <f t="shared" si="410"/>
        <v>0.28399999999999997</v>
      </c>
      <c r="BH96" s="197">
        <f t="shared" si="127"/>
        <v>169.23611111111677</v>
      </c>
      <c r="BI96" s="41">
        <f t="shared" si="411"/>
        <v>0.46366057838662128</v>
      </c>
      <c r="BJ96" s="40">
        <f t="shared" ca="1" si="455"/>
        <v>-8.0969062533667091E-2</v>
      </c>
      <c r="BK96" s="40">
        <f t="shared" si="456"/>
        <v>2.5189751902588361E-2</v>
      </c>
      <c r="BL96" s="40">
        <f t="shared" si="457"/>
        <v>0.19338305926412305</v>
      </c>
      <c r="BM96" s="42">
        <f t="shared" ca="1" si="458"/>
        <v>-0.28843948815027903</v>
      </c>
      <c r="BN96" s="42">
        <f t="shared" ca="1" si="459"/>
        <v>-0.48182254741440211</v>
      </c>
      <c r="BO96" s="42">
        <f t="shared" ca="1" si="460"/>
        <v>0.3865051721666305</v>
      </c>
      <c r="BP96" s="42">
        <f t="shared" ca="1" si="461"/>
        <v>0.6134948278333695</v>
      </c>
      <c r="BQ96" s="42">
        <f t="shared" ca="1" si="462"/>
        <v>0.31496600533310809</v>
      </c>
      <c r="BR96" s="42">
        <f t="shared" ca="1" si="463"/>
        <v>0.68503399466689197</v>
      </c>
      <c r="BS96" s="42">
        <f t="shared" si="464"/>
        <v>0.98162450344672281</v>
      </c>
      <c r="BT96" s="42">
        <f t="shared" si="465"/>
        <v>88.34620531020505</v>
      </c>
      <c r="BU96" s="42">
        <f t="shared" si="466"/>
        <v>0.98801719747153338</v>
      </c>
      <c r="BV96" s="42">
        <f t="shared" ca="1" si="467"/>
        <v>82.005427390137271</v>
      </c>
      <c r="BW96" s="42">
        <f t="shared" ca="1" si="468"/>
        <v>0.38268725024945305</v>
      </c>
      <c r="BX96" s="42">
        <f t="shared" ca="1" si="469"/>
        <v>3.8694704591292144</v>
      </c>
      <c r="BY96" s="42">
        <f t="shared" ca="1" si="65"/>
        <v>0.38187375701232679</v>
      </c>
      <c r="BZ96" s="42">
        <f t="shared" ca="1" si="66"/>
        <v>2.3556565887610681E-2</v>
      </c>
      <c r="CA96" s="42">
        <f t="shared" ca="1" si="412"/>
        <v>-1.8721737016713071E-2</v>
      </c>
      <c r="CB96" s="42">
        <f t="shared" ca="1" si="68"/>
        <v>0.21369121877536135</v>
      </c>
      <c r="CC96" s="42">
        <f t="shared" ca="1" si="69"/>
        <v>0.12901843073771826</v>
      </c>
      <c r="CD96" s="42">
        <f t="shared" ca="1" si="422"/>
        <v>1465.2647704353926</v>
      </c>
      <c r="CE96" s="40"/>
      <c r="CF96" s="36">
        <f t="shared" si="120"/>
        <v>95</v>
      </c>
      <c r="CG96" s="35">
        <f t="shared" si="413"/>
        <v>0.28399999999999997</v>
      </c>
      <c r="CH96" s="197">
        <f t="shared" si="128"/>
        <v>169.23611111111677</v>
      </c>
      <c r="CI96" s="41">
        <f t="shared" si="414"/>
        <v>0.46366057838662128</v>
      </c>
      <c r="CJ96" s="40">
        <f t="shared" ca="1" si="470"/>
        <v>-0.13503628380394286</v>
      </c>
      <c r="CK96" s="40">
        <f t="shared" si="471"/>
        <v>2.5189751902588361E-2</v>
      </c>
      <c r="CL96" s="40">
        <f t="shared" si="472"/>
        <v>0.19338305926412305</v>
      </c>
      <c r="CM96" s="42">
        <f t="shared" ca="1" si="473"/>
        <v>-0.56802561878662727</v>
      </c>
      <c r="CN96" s="42">
        <f t="shared" ca="1" si="474"/>
        <v>-0.7614086780507503</v>
      </c>
      <c r="CO96" s="42">
        <f t="shared" ca="1" si="475"/>
        <v>0.28500878618619285</v>
      </c>
      <c r="CP96" s="42">
        <f t="shared" ca="1" si="476"/>
        <v>0.71499121381380715</v>
      </c>
      <c r="CQ96" s="42">
        <f t="shared" ca="1" si="477"/>
        <v>0.22320650286667634</v>
      </c>
      <c r="CR96" s="42">
        <f t="shared" ca="1" si="478"/>
        <v>0.77679349713332368</v>
      </c>
      <c r="CS96" s="42">
        <f t="shared" si="479"/>
        <v>0.98162450344672281</v>
      </c>
      <c r="CT96" s="42">
        <f t="shared" si="480"/>
        <v>93.254327827438672</v>
      </c>
      <c r="CU96" s="42">
        <f t="shared" si="481"/>
        <v>0.98801719747153338</v>
      </c>
      <c r="CV96" s="42">
        <f t="shared" ca="1" si="482"/>
        <v>82.005427390137271</v>
      </c>
      <c r="CW96" s="42">
        <f t="shared" ca="1" si="483"/>
        <v>0.33950551589443267</v>
      </c>
      <c r="CX96" s="42">
        <f t="shared" ca="1" si="484"/>
        <v>2.5572949295978304</v>
      </c>
      <c r="CY96" s="42">
        <f t="shared" ca="1" si="88"/>
        <v>0.28159358218244573</v>
      </c>
      <c r="CZ96" s="42">
        <f t="shared" ca="1" si="89"/>
        <v>2.0898485771766024E-2</v>
      </c>
      <c r="DA96" s="42">
        <f t="shared" ca="1" si="415"/>
        <v>-1.6523092426964189E-2</v>
      </c>
      <c r="DB96" s="42">
        <f t="shared" ca="1" si="91"/>
        <v>0.18957868971372352</v>
      </c>
      <c r="DC96" s="42">
        <f t="shared" ca="1" si="92"/>
        <v>9.6510821381653844E-2</v>
      </c>
      <c r="DD96" s="42">
        <f t="shared" ca="1" si="423"/>
        <v>-1296.3525352010849</v>
      </c>
      <c r="DE96" s="40"/>
      <c r="DF96" s="36">
        <f t="shared" si="121"/>
        <v>200</v>
      </c>
      <c r="DG96" s="35">
        <f t="shared" si="416"/>
        <v>0.28399999999999997</v>
      </c>
      <c r="DH96" s="197">
        <f t="shared" si="129"/>
        <v>169.23611111111677</v>
      </c>
      <c r="DI96" s="41">
        <f t="shared" si="417"/>
        <v>0.46366057838662128</v>
      </c>
      <c r="DJ96" s="40">
        <f t="shared" ca="1" si="485"/>
        <v>-0.87947675875143883</v>
      </c>
      <c r="DK96" s="40">
        <f t="shared" si="486"/>
        <v>2.5189751902588361E-2</v>
      </c>
      <c r="DL96" s="40">
        <f t="shared" si="487"/>
        <v>0.19338305926412305</v>
      </c>
      <c r="DM96" s="42">
        <f t="shared" ca="1" si="488"/>
        <v>-4.4175896797767749</v>
      </c>
      <c r="DN96" s="42">
        <f t="shared" ca="1" si="489"/>
        <v>-4.6109727390408981</v>
      </c>
      <c r="DO96" s="42">
        <f t="shared" ca="1" si="490"/>
        <v>4.9903831936094131E-6</v>
      </c>
      <c r="DP96" s="42">
        <f t="shared" ca="1" si="491"/>
        <v>0.99999500961680643</v>
      </c>
      <c r="DQ96" s="42">
        <f t="shared" ca="1" si="492"/>
        <v>2.0039454994480122E-6</v>
      </c>
      <c r="DR96" s="42">
        <f t="shared" ca="1" si="493"/>
        <v>0.99999799605450057</v>
      </c>
      <c r="DS96" s="42">
        <f t="shared" si="494"/>
        <v>0.98162450344672281</v>
      </c>
      <c r="DT96" s="42">
        <f t="shared" si="495"/>
        <v>196.32490068934456</v>
      </c>
      <c r="DU96" s="42">
        <f t="shared" si="496"/>
        <v>0.98801719747153338</v>
      </c>
      <c r="DV96" s="42">
        <f t="shared" ca="1" si="497"/>
        <v>82.005427390137271</v>
      </c>
      <c r="DW96" s="42">
        <f t="shared" ca="1" si="498"/>
        <v>2.3081299294810535E-5</v>
      </c>
      <c r="DX96" s="42">
        <f t="shared" si="499"/>
        <v>0</v>
      </c>
      <c r="DY96" s="92">
        <f t="shared" si="111"/>
        <v>0</v>
      </c>
      <c r="DZ96" s="42">
        <f t="shared" si="112"/>
        <v>0</v>
      </c>
      <c r="EA96" s="42">
        <f t="shared" si="418"/>
        <v>0</v>
      </c>
      <c r="EB96" s="42">
        <f t="shared" si="114"/>
        <v>0</v>
      </c>
      <c r="EC96" s="42">
        <f t="shared" si="115"/>
        <v>0</v>
      </c>
      <c r="ED96" s="42">
        <f t="shared" ca="1" si="424"/>
        <v>0</v>
      </c>
      <c r="EE96" s="40"/>
      <c r="EF96" s="120">
        <f t="shared" ca="1" si="130"/>
        <v>83</v>
      </c>
      <c r="EG96" s="42">
        <f t="shared" ca="1" si="500"/>
        <v>247.77309810141037</v>
      </c>
      <c r="EH96" s="36">
        <f t="shared" ca="1" si="419"/>
        <v>247.77309810141037</v>
      </c>
      <c r="EI96" s="36">
        <f t="shared" ca="1" si="124"/>
        <v>4.4139999999999997</v>
      </c>
      <c r="EJ96" s="153">
        <f t="shared" ca="1" si="131"/>
        <v>1</v>
      </c>
      <c r="EK96" s="153" t="str">
        <f t="shared" ca="1" si="229"/>
        <v/>
      </c>
      <c r="EL96" s="153" t="str">
        <f t="shared" ca="1" si="501"/>
        <v/>
      </c>
      <c r="EM96" s="153">
        <f t="shared" ca="1" si="230"/>
        <v>1</v>
      </c>
      <c r="EN96" s="153">
        <f t="shared" ca="1" si="231"/>
        <v>0</v>
      </c>
    </row>
    <row r="97" spans="1:146" x14ac:dyDescent="0.3">
      <c r="A97" s="36">
        <f ca="1">IF($M$22=1,A96+'Auto X'!$E$6,A$48)</f>
        <v>83.5</v>
      </c>
      <c r="B97" s="35">
        <f>IF($M$22=2,B96+'Auto X'!$E$6,B$48)</f>
        <v>0.28399999999999997</v>
      </c>
      <c r="C97" s="39">
        <f>IF($M$22=3,C96+'Auto X'!$E$6,C$48)</f>
        <v>45295.440972222219</v>
      </c>
      <c r="D97" s="35">
        <f>IF($M$22=4,D96+'Auto X'!$E$6,D$48)</f>
        <v>2.5999999999999999E-2</v>
      </c>
      <c r="E97" s="35">
        <f>IF($M$22=5,E96+'Auto X'!$E$6,E$48)</f>
        <v>0.04</v>
      </c>
      <c r="F97" s="36">
        <f t="shared" si="117"/>
        <v>75</v>
      </c>
      <c r="G97" s="35">
        <f t="shared" si="404"/>
        <v>0.28399999999999997</v>
      </c>
      <c r="H97" s="197">
        <f t="shared" si="125"/>
        <v>169.23611111111677</v>
      </c>
      <c r="I97" s="41">
        <f t="shared" si="405"/>
        <v>0.46366057838662128</v>
      </c>
      <c r="J97" s="40">
        <f t="shared" ca="1" si="425"/>
        <v>0.10735851832049932</v>
      </c>
      <c r="K97" s="40">
        <f t="shared" si="426"/>
        <v>2.5189751902588361E-2</v>
      </c>
      <c r="L97" s="40">
        <f t="shared" si="427"/>
        <v>0.19338305926412305</v>
      </c>
      <c r="M97" s="42">
        <f t="shared" ca="1" si="428"/>
        <v>0.68541820947228338</v>
      </c>
      <c r="N97" s="42">
        <f t="shared" ca="1" si="429"/>
        <v>0.49203515020816035</v>
      </c>
      <c r="O97" s="42">
        <f t="shared" ca="1" si="430"/>
        <v>0.75345997171193269</v>
      </c>
      <c r="P97" s="42">
        <f t="shared" ca="1" si="431"/>
        <v>0.24654002828806731</v>
      </c>
      <c r="Q97" s="42">
        <f t="shared" ca="1" si="432"/>
        <v>0.68865275249363067</v>
      </c>
      <c r="R97" s="42">
        <f t="shared" ca="1" si="433"/>
        <v>0.31134724750636933</v>
      </c>
      <c r="S97" s="42">
        <f t="shared" si="434"/>
        <v>0.98162450344672281</v>
      </c>
      <c r="T97" s="42">
        <f t="shared" si="435"/>
        <v>73.621837758504213</v>
      </c>
      <c r="U97" s="42">
        <f t="shared" si="436"/>
        <v>0.98801719747153338</v>
      </c>
      <c r="V97" s="42">
        <f t="shared" ca="1" si="437"/>
        <v>82.499435988873032</v>
      </c>
      <c r="W97" s="42">
        <f t="shared" ca="1" si="438"/>
        <v>0.31542397456305538</v>
      </c>
      <c r="X97" s="42">
        <f t="shared" ca="1" si="439"/>
        <v>2.5825432600244227</v>
      </c>
      <c r="Y97" s="42">
        <f t="shared" ca="1" si="19"/>
        <v>-0.24358578781372883</v>
      </c>
      <c r="Z97" s="42">
        <f t="shared" ca="1" si="20"/>
        <v>1.9299866369659711E-2</v>
      </c>
      <c r="AA97" s="42">
        <f t="shared" ca="1" si="406"/>
        <v>-1.3804446688438938E-2</v>
      </c>
      <c r="AB97" s="42">
        <f t="shared" ca="1" si="22"/>
        <v>0.1771926754528427</v>
      </c>
      <c r="AC97" s="42">
        <f t="shared" ca="1" si="23"/>
        <v>-0.10628007628235001</v>
      </c>
      <c r="AD97" s="42">
        <f t="shared" ca="1" si="420"/>
        <v>-508.72836998778871</v>
      </c>
      <c r="AF97" s="36">
        <f t="shared" si="118"/>
        <v>80</v>
      </c>
      <c r="AG97" s="35">
        <f t="shared" si="407"/>
        <v>0.28399999999999997</v>
      </c>
      <c r="AH97" s="197">
        <f t="shared" si="126"/>
        <v>169.23611111111677</v>
      </c>
      <c r="AI97" s="41">
        <f t="shared" si="408"/>
        <v>0.46366057838662128</v>
      </c>
      <c r="AJ97" s="40">
        <f t="shared" ca="1" si="440"/>
        <v>4.2819997182928143E-2</v>
      </c>
      <c r="AK97" s="40">
        <f t="shared" si="441"/>
        <v>2.5189751902588361E-2</v>
      </c>
      <c r="AL97" s="40">
        <f t="shared" si="442"/>
        <v>0.19338305926412305</v>
      </c>
      <c r="AM97" s="42">
        <f t="shared" ca="1" si="443"/>
        <v>0.3516841099955329</v>
      </c>
      <c r="AN97" s="42">
        <f t="shared" ca="1" si="444"/>
        <v>0.15830105073140985</v>
      </c>
      <c r="AO97" s="42">
        <f t="shared" ca="1" si="445"/>
        <v>0.63746241068592968</v>
      </c>
      <c r="AP97" s="42">
        <f t="shared" ca="1" si="446"/>
        <v>0.36253758931407037</v>
      </c>
      <c r="AQ97" s="42">
        <f t="shared" ca="1" si="447"/>
        <v>0.56289020989053118</v>
      </c>
      <c r="AR97" s="42">
        <f t="shared" ca="1" si="448"/>
        <v>0.43710979010946882</v>
      </c>
      <c r="AS97" s="42">
        <f t="shared" si="449"/>
        <v>0.98162450344672281</v>
      </c>
      <c r="AT97" s="42">
        <f t="shared" si="450"/>
        <v>78.529960275737821</v>
      </c>
      <c r="AU97" s="42">
        <f t="shared" si="451"/>
        <v>0.98801719747153338</v>
      </c>
      <c r="AV97" s="42">
        <f t="shared" ca="1" si="452"/>
        <v>82.499435988873032</v>
      </c>
      <c r="AW97" s="42">
        <f t="shared" ca="1" si="453"/>
        <v>0.37501869916446312</v>
      </c>
      <c r="AX97" s="42">
        <f t="shared" ca="1" si="454"/>
        <v>4.4170678102561958</v>
      </c>
      <c r="AY97" s="42">
        <f t="shared" ca="1" si="42"/>
        <v>-0.35819337297217346</v>
      </c>
      <c r="AZ97" s="42">
        <f t="shared" ca="1" si="43"/>
        <v>2.2946292494170788E-2</v>
      </c>
      <c r="BA97" s="42">
        <f t="shared" ca="1" si="409"/>
        <v>-1.6045360489580558E-2</v>
      </c>
      <c r="BB97" s="42">
        <f t="shared" ca="1" si="45"/>
        <v>0.21067062750016821</v>
      </c>
      <c r="BC97" s="42">
        <f t="shared" ca="1" si="46"/>
        <v>-0.15915712447301797</v>
      </c>
      <c r="BD97" s="42">
        <f t="shared" ca="1" si="421"/>
        <v>616.46609487190233</v>
      </c>
      <c r="BE97" s="40"/>
      <c r="BF97" s="36">
        <f t="shared" si="119"/>
        <v>90</v>
      </c>
      <c r="BG97" s="35">
        <f t="shared" si="410"/>
        <v>0.28399999999999997</v>
      </c>
      <c r="BH97" s="197">
        <f t="shared" si="127"/>
        <v>169.23611111111677</v>
      </c>
      <c r="BI97" s="41">
        <f t="shared" si="411"/>
        <v>0.46366057838662128</v>
      </c>
      <c r="BJ97" s="40">
        <f t="shared" ca="1" si="455"/>
        <v>-7.4963038473455229E-2</v>
      </c>
      <c r="BK97" s="40">
        <f t="shared" si="456"/>
        <v>2.5189751902588361E-2</v>
      </c>
      <c r="BL97" s="40">
        <f t="shared" si="457"/>
        <v>0.19338305926412305</v>
      </c>
      <c r="BM97" s="42">
        <f t="shared" ca="1" si="458"/>
        <v>-0.25738183458400249</v>
      </c>
      <c r="BN97" s="42">
        <f t="shared" ca="1" si="459"/>
        <v>-0.45076489384812557</v>
      </c>
      <c r="BO97" s="42">
        <f t="shared" ca="1" si="460"/>
        <v>0.39844201227196535</v>
      </c>
      <c r="BP97" s="42">
        <f t="shared" ca="1" si="461"/>
        <v>0.60155798772803459</v>
      </c>
      <c r="BQ97" s="42">
        <f t="shared" ca="1" si="462"/>
        <v>0.32607950291312732</v>
      </c>
      <c r="BR97" s="42">
        <f t="shared" ca="1" si="463"/>
        <v>0.67392049708687263</v>
      </c>
      <c r="BS97" s="42">
        <f t="shared" si="464"/>
        <v>0.98162450344672281</v>
      </c>
      <c r="BT97" s="42">
        <f t="shared" si="465"/>
        <v>88.34620531020505</v>
      </c>
      <c r="BU97" s="42">
        <f t="shared" si="466"/>
        <v>0.98801719747153338</v>
      </c>
      <c r="BV97" s="42">
        <f t="shared" ca="1" si="467"/>
        <v>82.499435988873032</v>
      </c>
      <c r="BW97" s="42">
        <f t="shared" ca="1" si="468"/>
        <v>0.38594467932792542</v>
      </c>
      <c r="BX97" s="42">
        <f t="shared" ca="1" si="469"/>
        <v>4.0633545748960138</v>
      </c>
      <c r="BY97" s="42">
        <f t="shared" ca="1" si="65"/>
        <v>0.39366756031986549</v>
      </c>
      <c r="BZ97" s="42">
        <f t="shared" ca="1" si="66"/>
        <v>2.3614821122676228E-2</v>
      </c>
      <c r="CA97" s="42">
        <f t="shared" ca="1" si="412"/>
        <v>-1.9007137931827563E-2</v>
      </c>
      <c r="CB97" s="42">
        <f t="shared" ca="1" si="68"/>
        <v>0.21680840970201401</v>
      </c>
      <c r="CC97" s="42">
        <f t="shared" ca="1" si="69"/>
        <v>0.13357081414895364</v>
      </c>
      <c r="CD97" s="42">
        <f t="shared" ca="1" si="422"/>
        <v>1368.3227125519929</v>
      </c>
      <c r="CE97" s="40"/>
      <c r="CF97" s="36">
        <f t="shared" si="120"/>
        <v>95</v>
      </c>
      <c r="CG97" s="35">
        <f t="shared" si="413"/>
        <v>0.28399999999999997</v>
      </c>
      <c r="CH97" s="197">
        <f t="shared" si="128"/>
        <v>169.23611111111677</v>
      </c>
      <c r="CI97" s="41">
        <f t="shared" si="414"/>
        <v>0.46366057838662128</v>
      </c>
      <c r="CJ97" s="40">
        <f t="shared" ca="1" si="470"/>
        <v>-0.12903025974373108</v>
      </c>
      <c r="CK97" s="40">
        <f t="shared" si="471"/>
        <v>2.5189751902588361E-2</v>
      </c>
      <c r="CL97" s="40">
        <f t="shared" si="472"/>
        <v>0.19338305926412305</v>
      </c>
      <c r="CM97" s="42">
        <f t="shared" ca="1" si="473"/>
        <v>-0.53696796522035106</v>
      </c>
      <c r="CN97" s="42">
        <f t="shared" ca="1" si="474"/>
        <v>-0.73035102448447409</v>
      </c>
      <c r="CO97" s="42">
        <f t="shared" ca="1" si="475"/>
        <v>0.29564487115021443</v>
      </c>
      <c r="CP97" s="42">
        <f t="shared" ca="1" si="476"/>
        <v>0.70435512884978557</v>
      </c>
      <c r="CQ97" s="42">
        <f t="shared" ca="1" si="477"/>
        <v>0.23258782334336162</v>
      </c>
      <c r="CR97" s="42">
        <f t="shared" ca="1" si="478"/>
        <v>0.76741217665663841</v>
      </c>
      <c r="CS97" s="42">
        <f t="shared" si="479"/>
        <v>0.98162450344672281</v>
      </c>
      <c r="CT97" s="42">
        <f t="shared" si="480"/>
        <v>93.254327827438672</v>
      </c>
      <c r="CU97" s="42">
        <f t="shared" si="481"/>
        <v>0.98801719747153338</v>
      </c>
      <c r="CV97" s="42">
        <f t="shared" ca="1" si="482"/>
        <v>82.499435988873032</v>
      </c>
      <c r="CW97" s="42">
        <f t="shared" ca="1" si="483"/>
        <v>0.34538144638003859</v>
      </c>
      <c r="CX97" s="42">
        <f t="shared" ca="1" si="484"/>
        <v>2.7007139961634934</v>
      </c>
      <c r="CY97" s="42">
        <f t="shared" ca="1" si="88"/>
        <v>0.29210221704066747</v>
      </c>
      <c r="CZ97" s="42">
        <f t="shared" ca="1" si="89"/>
        <v>2.1132876062856139E-2</v>
      </c>
      <c r="DA97" s="42">
        <f t="shared" ca="1" si="415"/>
        <v>-1.6919220463140663E-2</v>
      </c>
      <c r="DB97" s="42">
        <f t="shared" ca="1" si="91"/>
        <v>0.19402159465090843</v>
      </c>
      <c r="DC97" s="42">
        <f t="shared" ca="1" si="92"/>
        <v>0.10056715008723026</v>
      </c>
      <c r="DD97" s="42">
        <f t="shared" ca="1" si="423"/>
        <v>-1224.6430019182535</v>
      </c>
      <c r="DE97" s="40"/>
      <c r="DF97" s="36">
        <f t="shared" si="121"/>
        <v>200</v>
      </c>
      <c r="DG97" s="35">
        <f t="shared" si="416"/>
        <v>0.28399999999999997</v>
      </c>
      <c r="DH97" s="197">
        <f t="shared" si="129"/>
        <v>169.23611111111677</v>
      </c>
      <c r="DI97" s="41">
        <f t="shared" si="417"/>
        <v>0.46366057838662128</v>
      </c>
      <c r="DJ97" s="40">
        <f t="shared" ca="1" si="485"/>
        <v>-0.87347073469122694</v>
      </c>
      <c r="DK97" s="40">
        <f t="shared" si="486"/>
        <v>2.5189751902588361E-2</v>
      </c>
      <c r="DL97" s="40">
        <f t="shared" si="487"/>
        <v>0.19338305926412305</v>
      </c>
      <c r="DM97" s="42">
        <f t="shared" ca="1" si="488"/>
        <v>-4.3865320262104985</v>
      </c>
      <c r="DN97" s="42">
        <f t="shared" ca="1" si="489"/>
        <v>-4.5799150854746218</v>
      </c>
      <c r="DO97" s="42">
        <f t="shared" ca="1" si="490"/>
        <v>5.7586106858533526E-6</v>
      </c>
      <c r="DP97" s="42">
        <f t="shared" ca="1" si="491"/>
        <v>0.99999424138931414</v>
      </c>
      <c r="DQ97" s="42">
        <f t="shared" ca="1" si="492"/>
        <v>2.3258237306354506E-6</v>
      </c>
      <c r="DR97" s="42">
        <f t="shared" ca="1" si="493"/>
        <v>0.99999767417626939</v>
      </c>
      <c r="DS97" s="42">
        <f t="shared" si="494"/>
        <v>0.98162450344672281</v>
      </c>
      <c r="DT97" s="42">
        <f t="shared" si="495"/>
        <v>196.32490068934456</v>
      </c>
      <c r="DU97" s="42">
        <f t="shared" si="496"/>
        <v>0.98801719747153338</v>
      </c>
      <c r="DV97" s="42">
        <f t="shared" ca="1" si="497"/>
        <v>82.499435988873032</v>
      </c>
      <c r="DW97" s="42">
        <f t="shared" ca="1" si="498"/>
        <v>2.6462811725148864E-5</v>
      </c>
      <c r="DX97" s="42">
        <f t="shared" si="499"/>
        <v>0</v>
      </c>
      <c r="DY97" s="92">
        <f t="shared" si="111"/>
        <v>0</v>
      </c>
      <c r="DZ97" s="42">
        <f t="shared" si="112"/>
        <v>0</v>
      </c>
      <c r="EA97" s="42">
        <f t="shared" si="418"/>
        <v>0</v>
      </c>
      <c r="EB97" s="42">
        <f t="shared" si="114"/>
        <v>0</v>
      </c>
      <c r="EC97" s="42">
        <f t="shared" si="115"/>
        <v>0</v>
      </c>
      <c r="ED97" s="42">
        <f t="shared" ca="1" si="424"/>
        <v>0</v>
      </c>
      <c r="EE97" s="40"/>
      <c r="EF97" s="120">
        <f t="shared" ca="1" si="130"/>
        <v>83.5</v>
      </c>
      <c r="EG97" s="42">
        <f t="shared" ca="1" si="500"/>
        <v>251.41743551785294</v>
      </c>
      <c r="EH97" s="36">
        <f t="shared" ca="1" si="419"/>
        <v>251.41743551785294</v>
      </c>
      <c r="EI97" s="36">
        <f t="shared" ca="1" si="124"/>
        <v>3.6440000000000001</v>
      </c>
      <c r="EJ97" s="153">
        <f t="shared" ca="1" si="131"/>
        <v>1</v>
      </c>
      <c r="EK97" s="153" t="str">
        <f t="shared" ca="1" si="229"/>
        <v/>
      </c>
      <c r="EL97" s="153" t="str">
        <f t="shared" ca="1" si="501"/>
        <v/>
      </c>
      <c r="EM97" s="153">
        <f t="shared" ca="1" si="230"/>
        <v>1</v>
      </c>
      <c r="EN97" s="153">
        <f t="shared" ca="1" si="231"/>
        <v>0</v>
      </c>
    </row>
    <row r="98" spans="1:146" x14ac:dyDescent="0.3">
      <c r="A98" s="36">
        <f ca="1">IF($M$22=1,A97+'Auto X'!$E$6,A$48)</f>
        <v>84</v>
      </c>
      <c r="B98" s="35">
        <f>IF($M$22=2,B97+'Auto X'!$E$6,B$48)</f>
        <v>0.28399999999999997</v>
      </c>
      <c r="C98" s="39">
        <f>IF($M$22=3,C97+'Auto X'!$E$6,C$48)</f>
        <v>45295.440972222219</v>
      </c>
      <c r="D98" s="35">
        <f>IF($M$22=4,D97+'Auto X'!$E$6,D$48)</f>
        <v>2.5999999999999999E-2</v>
      </c>
      <c r="E98" s="35">
        <f>IF($M$22=5,E97+'Auto X'!$E$6,E$48)</f>
        <v>0.04</v>
      </c>
      <c r="F98" s="36">
        <f t="shared" si="117"/>
        <v>75</v>
      </c>
      <c r="G98" s="35">
        <f t="shared" si="404"/>
        <v>0.28399999999999997</v>
      </c>
      <c r="H98" s="197">
        <f t="shared" si="125"/>
        <v>169.23611111111677</v>
      </c>
      <c r="I98" s="41">
        <f t="shared" si="405"/>
        <v>0.46366057838662128</v>
      </c>
      <c r="J98" s="40">
        <f t="shared" ca="1" si="425"/>
        <v>0.11332868530700327</v>
      </c>
      <c r="K98" s="40">
        <f t="shared" si="426"/>
        <v>2.5189751902588361E-2</v>
      </c>
      <c r="L98" s="40">
        <f t="shared" si="427"/>
        <v>0.19338305926412305</v>
      </c>
      <c r="M98" s="42">
        <f t="shared" ca="1" si="428"/>
        <v>0.71629044310651224</v>
      </c>
      <c r="N98" s="42">
        <f t="shared" ca="1" si="429"/>
        <v>0.52290738384238922</v>
      </c>
      <c r="O98" s="42">
        <f t="shared" ca="1" si="430"/>
        <v>0.76309398665897965</v>
      </c>
      <c r="P98" s="42">
        <f t="shared" ca="1" si="431"/>
        <v>0.23690601334102032</v>
      </c>
      <c r="Q98" s="42">
        <f t="shared" ca="1" si="432"/>
        <v>0.69948064701478185</v>
      </c>
      <c r="R98" s="42">
        <f t="shared" ca="1" si="433"/>
        <v>0.3005193529852182</v>
      </c>
      <c r="S98" s="42">
        <f t="shared" si="434"/>
        <v>0.98162450344672281</v>
      </c>
      <c r="T98" s="42">
        <f t="shared" si="435"/>
        <v>73.621837758504213</v>
      </c>
      <c r="U98" s="42">
        <f t="shared" si="436"/>
        <v>0.98801719747153338</v>
      </c>
      <c r="V98" s="42">
        <f t="shared" ca="1" si="437"/>
        <v>82.993444587608806</v>
      </c>
      <c r="W98" s="42">
        <f t="shared" ca="1" si="438"/>
        <v>0.30867246976459983</v>
      </c>
      <c r="X98" s="42">
        <f t="shared" ca="1" si="439"/>
        <v>2.4631409580791122</v>
      </c>
      <c r="Y98" s="42">
        <f t="shared" ca="1" si="19"/>
        <v>-0.23406721536534864</v>
      </c>
      <c r="Z98" s="42">
        <f t="shared" ca="1" si="20"/>
        <v>1.8774340425062697E-2</v>
      </c>
      <c r="AA98" s="42">
        <f t="shared" ca="1" si="406"/>
        <v>-1.3612416138843154E-2</v>
      </c>
      <c r="AB98" s="42">
        <f t="shared" ca="1" si="22"/>
        <v>0.17443827094317169</v>
      </c>
      <c r="AC98" s="42">
        <f t="shared" ca="1" si="23"/>
        <v>-0.10258391559712782</v>
      </c>
      <c r="AD98" s="42">
        <f t="shared" ca="1" si="420"/>
        <v>-568.42952096044394</v>
      </c>
      <c r="AF98" s="36">
        <f t="shared" si="118"/>
        <v>80</v>
      </c>
      <c r="AG98" s="35">
        <f t="shared" si="407"/>
        <v>0.28399999999999997</v>
      </c>
      <c r="AH98" s="197">
        <f t="shared" si="126"/>
        <v>169.23611111111677</v>
      </c>
      <c r="AI98" s="41">
        <f t="shared" si="408"/>
        <v>0.46366057838662128</v>
      </c>
      <c r="AJ98" s="40">
        <f t="shared" ca="1" si="440"/>
        <v>4.8790164169432049E-2</v>
      </c>
      <c r="AK98" s="40">
        <f t="shared" si="441"/>
        <v>2.5189751902588361E-2</v>
      </c>
      <c r="AL98" s="40">
        <f t="shared" si="442"/>
        <v>0.19338305926412305</v>
      </c>
      <c r="AM98" s="42">
        <f t="shared" ca="1" si="443"/>
        <v>0.3825563436297616</v>
      </c>
      <c r="AN98" s="42">
        <f t="shared" ca="1" si="444"/>
        <v>0.18917328436563854</v>
      </c>
      <c r="AO98" s="42">
        <f t="shared" ca="1" si="445"/>
        <v>0.64897562756022997</v>
      </c>
      <c r="AP98" s="42">
        <f t="shared" ca="1" si="446"/>
        <v>0.35102437243977003</v>
      </c>
      <c r="AQ98" s="42">
        <f t="shared" ca="1" si="447"/>
        <v>0.57502149720894669</v>
      </c>
      <c r="AR98" s="42">
        <f t="shared" ca="1" si="448"/>
        <v>0.42497850279105337</v>
      </c>
      <c r="AS98" s="42">
        <f t="shared" si="449"/>
        <v>0.98162450344672281</v>
      </c>
      <c r="AT98" s="42">
        <f t="shared" si="450"/>
        <v>78.529960275737821</v>
      </c>
      <c r="AU98" s="42">
        <f t="shared" si="451"/>
        <v>0.98801719747153338</v>
      </c>
      <c r="AV98" s="42">
        <f t="shared" ca="1" si="452"/>
        <v>82.993444587608806</v>
      </c>
      <c r="AW98" s="42">
        <f t="shared" ca="1" si="453"/>
        <v>0.37079230006942543</v>
      </c>
      <c r="AX98" s="42">
        <f t="shared" ca="1" si="454"/>
        <v>4.2408231392437479</v>
      </c>
      <c r="AY98" s="42">
        <f t="shared" ca="1" si="42"/>
        <v>-0.34681811670214535</v>
      </c>
      <c r="AZ98" s="42">
        <f t="shared" ca="1" si="43"/>
        <v>2.255264576657675E-2</v>
      </c>
      <c r="BA98" s="42">
        <f t="shared" ca="1" si="409"/>
        <v>-1.5999898169930544E-2</v>
      </c>
      <c r="BB98" s="42">
        <f t="shared" ca="1" si="45"/>
        <v>0.20954368801493339</v>
      </c>
      <c r="BC98" s="42">
        <f t="shared" ca="1" si="46"/>
        <v>-0.15473997150723459</v>
      </c>
      <c r="BD98" s="42">
        <f t="shared" ca="1" si="421"/>
        <v>704.58843037812619</v>
      </c>
      <c r="BE98" s="40"/>
      <c r="BF98" s="36">
        <f t="shared" si="119"/>
        <v>90</v>
      </c>
      <c r="BG98" s="35">
        <f t="shared" si="410"/>
        <v>0.28399999999999997</v>
      </c>
      <c r="BH98" s="197">
        <f t="shared" si="127"/>
        <v>169.23611111111677</v>
      </c>
      <c r="BI98" s="41">
        <f t="shared" si="411"/>
        <v>0.46366057838662128</v>
      </c>
      <c r="BJ98" s="40">
        <f t="shared" ca="1" si="455"/>
        <v>-6.8992871486951435E-2</v>
      </c>
      <c r="BK98" s="40">
        <f t="shared" si="456"/>
        <v>2.5189751902588361E-2</v>
      </c>
      <c r="BL98" s="40">
        <f t="shared" si="457"/>
        <v>0.19338305926412305</v>
      </c>
      <c r="BM98" s="42">
        <f t="shared" ca="1" si="458"/>
        <v>-0.22650960094977432</v>
      </c>
      <c r="BN98" s="42">
        <f t="shared" ca="1" si="459"/>
        <v>-0.41989266021389737</v>
      </c>
      <c r="BO98" s="42">
        <f t="shared" ca="1" si="460"/>
        <v>0.41040254639454782</v>
      </c>
      <c r="BP98" s="42">
        <f t="shared" ca="1" si="461"/>
        <v>0.58959745360545224</v>
      </c>
      <c r="BQ98" s="42">
        <f t="shared" ca="1" si="462"/>
        <v>0.33728193494912184</v>
      </c>
      <c r="BR98" s="42">
        <f t="shared" ca="1" si="463"/>
        <v>0.66271806505087816</v>
      </c>
      <c r="BS98" s="42">
        <f t="shared" si="464"/>
        <v>0.98162450344672281</v>
      </c>
      <c r="BT98" s="42">
        <f t="shared" si="465"/>
        <v>88.34620531020505</v>
      </c>
      <c r="BU98" s="42">
        <f t="shared" si="466"/>
        <v>0.98801719747153338</v>
      </c>
      <c r="BV98" s="42">
        <f t="shared" ca="1" si="467"/>
        <v>82.993444587608806</v>
      </c>
      <c r="BW98" s="42">
        <f t="shared" ca="1" si="468"/>
        <v>0.38883824950979012</v>
      </c>
      <c r="BX98" s="42">
        <f t="shared" ca="1" si="469"/>
        <v>4.2631419203711154</v>
      </c>
      <c r="BY98" s="42">
        <f t="shared" ca="1" si="65"/>
        <v>0.40548477372392211</v>
      </c>
      <c r="BZ98" s="42">
        <f t="shared" ca="1" si="66"/>
        <v>2.3650251906655435E-2</v>
      </c>
      <c r="CA98" s="42">
        <f t="shared" ca="1" si="412"/>
        <v>-1.9277005209379781E-2</v>
      </c>
      <c r="CB98" s="42">
        <f t="shared" ca="1" si="68"/>
        <v>0.21974189007780529</v>
      </c>
      <c r="CC98" s="42">
        <f t="shared" ca="1" si="69"/>
        <v>0.13815962747247845</v>
      </c>
      <c r="CD98" s="42">
        <f t="shared" ca="1" si="422"/>
        <v>1268.4290398144421</v>
      </c>
      <c r="CE98" s="40"/>
      <c r="CF98" s="36">
        <f t="shared" si="120"/>
        <v>95</v>
      </c>
      <c r="CG98" s="35">
        <f t="shared" si="413"/>
        <v>0.28399999999999997</v>
      </c>
      <c r="CH98" s="197">
        <f t="shared" si="128"/>
        <v>169.23611111111677</v>
      </c>
      <c r="CI98" s="41">
        <f t="shared" si="414"/>
        <v>0.46366057838662128</v>
      </c>
      <c r="CJ98" s="40">
        <f t="shared" ca="1" si="470"/>
        <v>-0.12306009275722725</v>
      </c>
      <c r="CK98" s="40">
        <f t="shared" si="471"/>
        <v>2.5189751902588361E-2</v>
      </c>
      <c r="CL98" s="40">
        <f t="shared" si="472"/>
        <v>0.19338305926412305</v>
      </c>
      <c r="CM98" s="42">
        <f t="shared" ca="1" si="473"/>
        <v>-0.50609573158612275</v>
      </c>
      <c r="CN98" s="42">
        <f t="shared" ca="1" si="474"/>
        <v>-0.69947879085024578</v>
      </c>
      <c r="CO98" s="42">
        <f t="shared" ca="1" si="475"/>
        <v>0.30639472343931229</v>
      </c>
      <c r="CP98" s="42">
        <f t="shared" ca="1" si="476"/>
        <v>0.69360527656068771</v>
      </c>
      <c r="CQ98" s="42">
        <f t="shared" ca="1" si="477"/>
        <v>0.24212643151573532</v>
      </c>
      <c r="CR98" s="42">
        <f t="shared" ca="1" si="478"/>
        <v>0.75787356848426468</v>
      </c>
      <c r="CS98" s="42">
        <f t="shared" si="479"/>
        <v>0.98162450344672281</v>
      </c>
      <c r="CT98" s="42">
        <f t="shared" si="480"/>
        <v>93.254327827438672</v>
      </c>
      <c r="CU98" s="42">
        <f t="shared" si="481"/>
        <v>0.98801719747153338</v>
      </c>
      <c r="CV98" s="42">
        <f t="shared" ca="1" si="482"/>
        <v>82.993444587608806</v>
      </c>
      <c r="CW98" s="42">
        <f t="shared" ca="1" si="483"/>
        <v>0.3509873914453765</v>
      </c>
      <c r="CX98" s="42">
        <f t="shared" ca="1" si="484"/>
        <v>2.8494158814400272</v>
      </c>
      <c r="CY98" s="42">
        <f t="shared" ca="1" si="88"/>
        <v>0.30272325597257488</v>
      </c>
      <c r="CZ98" s="42">
        <f t="shared" ca="1" si="89"/>
        <v>2.134805470965899E-2</v>
      </c>
      <c r="DA98" s="42">
        <f t="shared" ca="1" si="415"/>
        <v>-1.7306049670418037E-2</v>
      </c>
      <c r="DB98" s="42">
        <f t="shared" ca="1" si="91"/>
        <v>0.19835145561662049</v>
      </c>
      <c r="DC98" s="42">
        <f t="shared" ca="1" si="92"/>
        <v>0.10469148740594815</v>
      </c>
      <c r="DD98" s="42">
        <f t="shared" ca="1" si="423"/>
        <v>-1150.2920592799865</v>
      </c>
      <c r="DE98" s="40"/>
      <c r="DF98" s="36">
        <f t="shared" si="121"/>
        <v>200</v>
      </c>
      <c r="DG98" s="35">
        <f t="shared" si="416"/>
        <v>0.28399999999999997</v>
      </c>
      <c r="DH98" s="197">
        <f t="shared" si="129"/>
        <v>169.23611111111677</v>
      </c>
      <c r="DI98" s="41">
        <f t="shared" si="417"/>
        <v>0.46366057838662128</v>
      </c>
      <c r="DJ98" s="40">
        <f t="shared" ca="1" si="485"/>
        <v>-0.86750056770472306</v>
      </c>
      <c r="DK98" s="40">
        <f t="shared" si="486"/>
        <v>2.5189751902588361E-2</v>
      </c>
      <c r="DL98" s="40">
        <f t="shared" si="487"/>
        <v>0.19338305926412305</v>
      </c>
      <c r="DM98" s="42">
        <f t="shared" ca="1" si="488"/>
        <v>-4.3556597925762697</v>
      </c>
      <c r="DN98" s="42">
        <f t="shared" ca="1" si="489"/>
        <v>-4.5490428518403929</v>
      </c>
      <c r="DO98" s="42">
        <f t="shared" ca="1" si="490"/>
        <v>6.6333346817339697E-6</v>
      </c>
      <c r="DP98" s="42">
        <f t="shared" ca="1" si="491"/>
        <v>0.99999336666531824</v>
      </c>
      <c r="DQ98" s="42">
        <f t="shared" ca="1" si="492"/>
        <v>2.6945234701204527E-6</v>
      </c>
      <c r="DR98" s="42">
        <f t="shared" ca="1" si="493"/>
        <v>0.99999730547652987</v>
      </c>
      <c r="DS98" s="42">
        <f t="shared" si="494"/>
        <v>0.98162450344672281</v>
      </c>
      <c r="DT98" s="42">
        <f t="shared" si="495"/>
        <v>196.32490068934456</v>
      </c>
      <c r="DU98" s="42">
        <f t="shared" si="496"/>
        <v>0.98801719747153338</v>
      </c>
      <c r="DV98" s="42">
        <f t="shared" ca="1" si="497"/>
        <v>82.993444587608806</v>
      </c>
      <c r="DW98" s="42">
        <f t="shared" ca="1" si="498"/>
        <v>3.0286010627127905E-5</v>
      </c>
      <c r="DX98" s="42">
        <f t="shared" si="499"/>
        <v>0</v>
      </c>
      <c r="DY98" s="92">
        <f t="shared" si="111"/>
        <v>0</v>
      </c>
      <c r="DZ98" s="42">
        <f t="shared" si="112"/>
        <v>0</v>
      </c>
      <c r="EA98" s="42">
        <f t="shared" si="418"/>
        <v>0</v>
      </c>
      <c r="EB98" s="42">
        <f t="shared" si="114"/>
        <v>0</v>
      </c>
      <c r="EC98" s="42">
        <f t="shared" si="115"/>
        <v>0</v>
      </c>
      <c r="ED98" s="42">
        <f t="shared" ca="1" si="424"/>
        <v>0</v>
      </c>
      <c r="EE98" s="40"/>
      <c r="EF98" s="120">
        <f t="shared" ca="1" si="130"/>
        <v>84</v>
      </c>
      <c r="EG98" s="42">
        <f t="shared" ca="1" si="500"/>
        <v>254.29588995213794</v>
      </c>
      <c r="EH98" s="36">
        <f t="shared" ca="1" si="419"/>
        <v>254.29588995213794</v>
      </c>
      <c r="EI98" s="36">
        <f t="shared" ca="1" si="124"/>
        <v>2.8780000000000001</v>
      </c>
      <c r="EJ98" s="153">
        <f t="shared" ca="1" si="131"/>
        <v>1</v>
      </c>
      <c r="EK98" s="153" t="str">
        <f t="shared" ca="1" si="229"/>
        <v/>
      </c>
      <c r="EL98" s="153" t="str">
        <f t="shared" ca="1" si="501"/>
        <v/>
      </c>
      <c r="EM98" s="153">
        <f t="shared" ca="1" si="230"/>
        <v>1</v>
      </c>
      <c r="EN98" s="153">
        <f t="shared" ca="1" si="231"/>
        <v>0</v>
      </c>
    </row>
    <row r="99" spans="1:146" x14ac:dyDescent="0.3">
      <c r="A99" s="36">
        <f ca="1">IF($M$22=1,A98+'Auto X'!$E$6,A$48)</f>
        <v>84.5</v>
      </c>
      <c r="B99" s="35">
        <f>IF($M$22=2,B98+'Auto X'!$E$6,B$48)</f>
        <v>0.28399999999999997</v>
      </c>
      <c r="C99" s="39">
        <f>IF($M$22=3,C98+'Auto X'!$E$6,C$48)</f>
        <v>45295.440972222219</v>
      </c>
      <c r="D99" s="35">
        <f>IF($M$22=4,D98+'Auto X'!$E$6,D$48)</f>
        <v>2.5999999999999999E-2</v>
      </c>
      <c r="E99" s="35">
        <f>IF($M$22=5,E98+'Auto X'!$E$6,E$48)</f>
        <v>0.04</v>
      </c>
      <c r="F99" s="36">
        <f t="shared" si="117"/>
        <v>75</v>
      </c>
      <c r="G99" s="35">
        <f t="shared" si="404"/>
        <v>0.28399999999999997</v>
      </c>
      <c r="H99" s="197">
        <f t="shared" si="125"/>
        <v>169.23611111111677</v>
      </c>
      <c r="I99" s="41">
        <f t="shared" si="405"/>
        <v>0.46366057838662128</v>
      </c>
      <c r="J99" s="40">
        <f t="shared" ca="1" si="425"/>
        <v>0.11926342082681776</v>
      </c>
      <c r="K99" s="40">
        <f t="shared" si="426"/>
        <v>2.5189751902588361E-2</v>
      </c>
      <c r="L99" s="40">
        <f t="shared" si="427"/>
        <v>0.19338305926412305</v>
      </c>
      <c r="M99" s="42">
        <f t="shared" ca="1" si="428"/>
        <v>0.74697945765824092</v>
      </c>
      <c r="N99" s="42">
        <f t="shared" ca="1" si="429"/>
        <v>0.55359639839411789</v>
      </c>
      <c r="O99" s="42">
        <f t="shared" ca="1" si="430"/>
        <v>0.77246201956051541</v>
      </c>
      <c r="P99" s="42">
        <f t="shared" ca="1" si="431"/>
        <v>0.22753798043948453</v>
      </c>
      <c r="Q99" s="42">
        <f t="shared" ca="1" si="432"/>
        <v>0.71007245428267018</v>
      </c>
      <c r="R99" s="42">
        <f t="shared" ca="1" si="433"/>
        <v>0.28992754571732982</v>
      </c>
      <c r="S99" s="42">
        <f t="shared" si="434"/>
        <v>0.98162450344672281</v>
      </c>
      <c r="T99" s="42">
        <f t="shared" si="435"/>
        <v>73.621837758504213</v>
      </c>
      <c r="U99" s="42">
        <f t="shared" si="436"/>
        <v>0.98801719747153338</v>
      </c>
      <c r="V99" s="42">
        <f t="shared" ca="1" si="437"/>
        <v>83.487453186344567</v>
      </c>
      <c r="W99" s="42">
        <f t="shared" ca="1" si="438"/>
        <v>0.30181902738823491</v>
      </c>
      <c r="X99" s="42">
        <f t="shared" ca="1" si="439"/>
        <v>2.3484322424657194</v>
      </c>
      <c r="Y99" s="42">
        <f t="shared" ca="1" si="19"/>
        <v>-0.22481143775215215</v>
      </c>
      <c r="Z99" s="42">
        <f t="shared" ca="1" si="20"/>
        <v>1.8248870275226245E-2</v>
      </c>
      <c r="AA99" s="42">
        <f t="shared" ca="1" si="406"/>
        <v>-1.3410710984740445E-2</v>
      </c>
      <c r="AB99" s="42">
        <f t="shared" ca="1" si="22"/>
        <v>0.17158049425720434</v>
      </c>
      <c r="AC99" s="42">
        <f t="shared" ca="1" si="23"/>
        <v>-9.8968344579831127E-2</v>
      </c>
      <c r="AD99" s="42">
        <f t="shared" ca="1" si="420"/>
        <v>-625.78387876714032</v>
      </c>
      <c r="AF99" s="36">
        <f t="shared" si="118"/>
        <v>80</v>
      </c>
      <c r="AG99" s="35">
        <f t="shared" si="407"/>
        <v>0.28399999999999997</v>
      </c>
      <c r="AH99" s="197">
        <f t="shared" si="126"/>
        <v>169.23611111111677</v>
      </c>
      <c r="AI99" s="41">
        <f t="shared" si="408"/>
        <v>0.46366057838662128</v>
      </c>
      <c r="AJ99" s="40">
        <f t="shared" ca="1" si="440"/>
        <v>5.4724899689246466E-2</v>
      </c>
      <c r="AK99" s="40">
        <f t="shared" si="441"/>
        <v>2.5189751902588361E-2</v>
      </c>
      <c r="AL99" s="40">
        <f t="shared" si="442"/>
        <v>0.19338305926412305</v>
      </c>
      <c r="AM99" s="42">
        <f t="shared" ca="1" si="443"/>
        <v>0.41324535818149</v>
      </c>
      <c r="AN99" s="42">
        <f t="shared" ca="1" si="444"/>
        <v>0.21986229891736694</v>
      </c>
      <c r="AO99" s="42">
        <f t="shared" ca="1" si="445"/>
        <v>0.66028657043048478</v>
      </c>
      <c r="AP99" s="42">
        <f t="shared" ca="1" si="446"/>
        <v>0.33971342956951522</v>
      </c>
      <c r="AQ99" s="42">
        <f t="shared" ca="1" si="447"/>
        <v>0.5870108005169945</v>
      </c>
      <c r="AR99" s="42">
        <f t="shared" ca="1" si="448"/>
        <v>0.41298919948300544</v>
      </c>
      <c r="AS99" s="42">
        <f t="shared" si="449"/>
        <v>0.98162450344672281</v>
      </c>
      <c r="AT99" s="42">
        <f t="shared" si="450"/>
        <v>78.529960275737821</v>
      </c>
      <c r="AU99" s="42">
        <f t="shared" si="451"/>
        <v>0.98801719747153338</v>
      </c>
      <c r="AV99" s="42">
        <f t="shared" ca="1" si="452"/>
        <v>83.487453186344567</v>
      </c>
      <c r="AW99" s="42">
        <f t="shared" ca="1" si="453"/>
        <v>0.36629201949543749</v>
      </c>
      <c r="AX99" s="42">
        <f t="shared" ca="1" si="454"/>
        <v>4.0702163817517132</v>
      </c>
      <c r="AY99" s="42">
        <f t="shared" ca="1" si="42"/>
        <v>-0.33564271062671558</v>
      </c>
      <c r="AZ99" s="42">
        <f t="shared" ca="1" si="43"/>
        <v>2.2147097896596843E-2</v>
      </c>
      <c r="BA99" s="42">
        <f t="shared" ca="1" si="409"/>
        <v>-1.5938156701023498E-2</v>
      </c>
      <c r="BB99" s="42">
        <f t="shared" ca="1" si="45"/>
        <v>0.20823261638390192</v>
      </c>
      <c r="BC99" s="42">
        <f t="shared" ca="1" si="46"/>
        <v>-0.15037451668988569</v>
      </c>
      <c r="BD99" s="42">
        <f t="shared" ca="1" si="421"/>
        <v>789.89180912414361</v>
      </c>
      <c r="BE99" s="40"/>
      <c r="BF99" s="36">
        <f t="shared" si="119"/>
        <v>90</v>
      </c>
      <c r="BG99" s="35">
        <f t="shared" si="410"/>
        <v>0.28399999999999997</v>
      </c>
      <c r="BH99" s="197">
        <f t="shared" si="127"/>
        <v>169.23611111111677</v>
      </c>
      <c r="BI99" s="41">
        <f t="shared" si="411"/>
        <v>0.46366057838662128</v>
      </c>
      <c r="BJ99" s="40">
        <f t="shared" ca="1" si="455"/>
        <v>-6.3058135967136913E-2</v>
      </c>
      <c r="BK99" s="40">
        <f t="shared" si="456"/>
        <v>2.5189751902588361E-2</v>
      </c>
      <c r="BL99" s="40">
        <f t="shared" si="457"/>
        <v>0.19338305926412305</v>
      </c>
      <c r="BM99" s="42">
        <f t="shared" ca="1" si="458"/>
        <v>-0.19582058639804545</v>
      </c>
      <c r="BN99" s="42">
        <f t="shared" ca="1" si="459"/>
        <v>-0.38920364566216847</v>
      </c>
      <c r="BO99" s="42">
        <f t="shared" ca="1" si="460"/>
        <v>0.42237529819823844</v>
      </c>
      <c r="BP99" s="42">
        <f t="shared" ca="1" si="461"/>
        <v>0.57762470180176151</v>
      </c>
      <c r="BQ99" s="42">
        <f t="shared" ca="1" si="462"/>
        <v>0.34856275340510967</v>
      </c>
      <c r="BR99" s="42">
        <f t="shared" ca="1" si="463"/>
        <v>0.65143724659489033</v>
      </c>
      <c r="BS99" s="42">
        <f t="shared" si="464"/>
        <v>0.98162450344672281</v>
      </c>
      <c r="BT99" s="42">
        <f t="shared" si="465"/>
        <v>88.34620531020505</v>
      </c>
      <c r="BU99" s="42">
        <f t="shared" si="466"/>
        <v>0.98801719747153338</v>
      </c>
      <c r="BV99" s="42">
        <f t="shared" ca="1" si="467"/>
        <v>83.487453186344567</v>
      </c>
      <c r="BW99" s="42">
        <f t="shared" ca="1" si="468"/>
        <v>0.391366278345327</v>
      </c>
      <c r="BX99" s="42">
        <f t="shared" ca="1" si="469"/>
        <v>4.4688413595755669</v>
      </c>
      <c r="BY99" s="42">
        <f t="shared" ca="1" si="65"/>
        <v>0.41731405840702673</v>
      </c>
      <c r="BZ99" s="42">
        <f t="shared" ca="1" si="66"/>
        <v>2.3663161681437311E-2</v>
      </c>
      <c r="CA99" s="42">
        <f t="shared" ca="1" si="412"/>
        <v>-1.9530914127485071E-2</v>
      </c>
      <c r="CB99" s="42">
        <f t="shared" ca="1" si="68"/>
        <v>0.22248703156715366</v>
      </c>
      <c r="CC99" s="42">
        <f t="shared" ca="1" si="69"/>
        <v>0.14278054995295178</v>
      </c>
      <c r="CD99" s="42">
        <f t="shared" ca="1" si="422"/>
        <v>1165.5793202122165</v>
      </c>
      <c r="CE99" s="40"/>
      <c r="CF99" s="36">
        <f t="shared" si="120"/>
        <v>95</v>
      </c>
      <c r="CG99" s="35">
        <f t="shared" si="413"/>
        <v>0.28399999999999997</v>
      </c>
      <c r="CH99" s="197">
        <f t="shared" si="128"/>
        <v>169.23611111111677</v>
      </c>
      <c r="CI99" s="41">
        <f t="shared" si="414"/>
        <v>0.46366057838662128</v>
      </c>
      <c r="CJ99" s="40">
        <f t="shared" ca="1" si="470"/>
        <v>-0.11712535723741269</v>
      </c>
      <c r="CK99" s="40">
        <f t="shared" si="471"/>
        <v>2.5189751902588361E-2</v>
      </c>
      <c r="CL99" s="40">
        <f t="shared" si="472"/>
        <v>0.19338305926412305</v>
      </c>
      <c r="CM99" s="42">
        <f t="shared" ca="1" si="473"/>
        <v>-0.47540671703439363</v>
      </c>
      <c r="CN99" s="42">
        <f t="shared" ca="1" si="474"/>
        <v>-0.66878977629851666</v>
      </c>
      <c r="CO99" s="42">
        <f t="shared" ca="1" si="475"/>
        <v>0.31724855386224193</v>
      </c>
      <c r="CP99" s="42">
        <f t="shared" ca="1" si="476"/>
        <v>0.68275144613775807</v>
      </c>
      <c r="CQ99" s="42">
        <f t="shared" ca="1" si="477"/>
        <v>0.25181479467282403</v>
      </c>
      <c r="CR99" s="42">
        <f t="shared" ca="1" si="478"/>
        <v>0.74818520532717603</v>
      </c>
      <c r="CS99" s="42">
        <f t="shared" si="479"/>
        <v>0.98162450344672281</v>
      </c>
      <c r="CT99" s="42">
        <f t="shared" si="480"/>
        <v>93.254327827438672</v>
      </c>
      <c r="CU99" s="42">
        <f t="shared" si="481"/>
        <v>0.98801719747153338</v>
      </c>
      <c r="CV99" s="42">
        <f t="shared" ca="1" si="482"/>
        <v>83.487453186344567</v>
      </c>
      <c r="CW99" s="42">
        <f t="shared" ca="1" si="483"/>
        <v>0.3563135039777845</v>
      </c>
      <c r="CX99" s="42">
        <f t="shared" ca="1" si="484"/>
        <v>3.0034543747907492</v>
      </c>
      <c r="CY99" s="42">
        <f t="shared" ca="1" si="88"/>
        <v>0.31344702708886907</v>
      </c>
      <c r="CZ99" s="42">
        <f t="shared" ca="1" si="89"/>
        <v>2.1543767361750385E-2</v>
      </c>
      <c r="DA99" s="42">
        <f t="shared" ca="1" si="415"/>
        <v>-1.7682850960254199E-2</v>
      </c>
      <c r="DB99" s="42">
        <f t="shared" ca="1" si="91"/>
        <v>0.20255995008685712</v>
      </c>
      <c r="DC99" s="42">
        <f t="shared" ca="1" si="92"/>
        <v>0.10888057631745215</v>
      </c>
      <c r="DD99" s="42">
        <f t="shared" ca="1" si="423"/>
        <v>-1073.2728126046256</v>
      </c>
      <c r="DE99" s="40"/>
      <c r="DF99" s="36">
        <f t="shared" si="121"/>
        <v>200</v>
      </c>
      <c r="DG99" s="35">
        <f t="shared" si="416"/>
        <v>0.28399999999999997</v>
      </c>
      <c r="DH99" s="197">
        <f t="shared" si="129"/>
        <v>169.23611111111677</v>
      </c>
      <c r="DI99" s="41">
        <f t="shared" si="417"/>
        <v>0.46366057838662128</v>
      </c>
      <c r="DJ99" s="40">
        <f t="shared" ca="1" si="485"/>
        <v>-0.86156583218490856</v>
      </c>
      <c r="DK99" s="40">
        <f t="shared" si="486"/>
        <v>2.5189751902588361E-2</v>
      </c>
      <c r="DL99" s="40">
        <f t="shared" si="487"/>
        <v>0.19338305926412305</v>
      </c>
      <c r="DM99" s="42">
        <f t="shared" ca="1" si="488"/>
        <v>-4.3249707780245412</v>
      </c>
      <c r="DN99" s="42">
        <f t="shared" ca="1" si="489"/>
        <v>-4.5183538372886645</v>
      </c>
      <c r="DO99" s="42">
        <f t="shared" ca="1" si="490"/>
        <v>7.6276041661913571E-6</v>
      </c>
      <c r="DP99" s="42">
        <f t="shared" ca="1" si="491"/>
        <v>0.99999237239583383</v>
      </c>
      <c r="DQ99" s="42">
        <f t="shared" ca="1" si="492"/>
        <v>3.1161136267807211E-6</v>
      </c>
      <c r="DR99" s="42">
        <f t="shared" ca="1" si="493"/>
        <v>0.9999968838863732</v>
      </c>
      <c r="DS99" s="42">
        <f t="shared" si="494"/>
        <v>0.98162450344672281</v>
      </c>
      <c r="DT99" s="42">
        <f t="shared" si="495"/>
        <v>196.32490068934456</v>
      </c>
      <c r="DU99" s="42">
        <f t="shared" si="496"/>
        <v>0.98801719747153338</v>
      </c>
      <c r="DV99" s="42">
        <f t="shared" ca="1" si="497"/>
        <v>83.487453186344567</v>
      </c>
      <c r="DW99" s="42">
        <f t="shared" ca="1" si="498"/>
        <v>3.4601115082991554E-5</v>
      </c>
      <c r="DX99" s="42">
        <f t="shared" si="499"/>
        <v>0</v>
      </c>
      <c r="DY99" s="92">
        <f t="shared" si="111"/>
        <v>0</v>
      </c>
      <c r="DZ99" s="42">
        <f t="shared" si="112"/>
        <v>0</v>
      </c>
      <c r="EA99" s="42">
        <f t="shared" si="418"/>
        <v>0</v>
      </c>
      <c r="EB99" s="42">
        <f t="shared" si="114"/>
        <v>0</v>
      </c>
      <c r="EC99" s="42">
        <f t="shared" si="115"/>
        <v>0</v>
      </c>
      <c r="ED99" s="42">
        <f t="shared" ca="1" si="424"/>
        <v>0</v>
      </c>
      <c r="EE99" s="40"/>
      <c r="EF99" s="120">
        <f t="shared" ca="1" si="130"/>
        <v>84.5</v>
      </c>
      <c r="EG99" s="42">
        <f t="shared" ca="1" si="500"/>
        <v>256.4144379645943</v>
      </c>
      <c r="EH99" s="36">
        <f t="shared" ca="1" si="419"/>
        <v>256.4144379645943</v>
      </c>
      <c r="EI99" s="36">
        <f t="shared" ca="1" si="124"/>
        <v>2.1190000000000002</v>
      </c>
      <c r="EJ99" s="153">
        <f t="shared" ca="1" si="131"/>
        <v>1</v>
      </c>
      <c r="EK99" s="153" t="str">
        <f t="shared" ca="1" si="229"/>
        <v/>
      </c>
      <c r="EL99" s="153" t="str">
        <f t="shared" ca="1" si="501"/>
        <v/>
      </c>
      <c r="EM99" s="153">
        <f t="shared" ca="1" si="230"/>
        <v>1</v>
      </c>
      <c r="EN99" s="153">
        <f t="shared" ca="1" si="231"/>
        <v>0</v>
      </c>
    </row>
    <row r="100" spans="1:146" x14ac:dyDescent="0.3">
      <c r="A100" s="36">
        <f ca="1">IF($M$22=1,A99+'Auto X'!$E$6,A$48)</f>
        <v>85</v>
      </c>
      <c r="B100" s="35">
        <f>IF($M$22=2,B99+'Auto X'!$E$6,B$48)</f>
        <v>0.28399999999999997</v>
      </c>
      <c r="C100" s="39">
        <f>IF($M$22=3,C99+'Auto X'!$E$6,C$48)</f>
        <v>45295.440972222219</v>
      </c>
      <c r="D100" s="35">
        <f>IF($M$22=4,D99+'Auto X'!$E$6,D$48)</f>
        <v>2.5999999999999999E-2</v>
      </c>
      <c r="E100" s="35">
        <f>IF($M$22=5,E99+'Auto X'!$E$6,E$48)</f>
        <v>0.04</v>
      </c>
      <c r="F100" s="36">
        <f t="shared" si="117"/>
        <v>75</v>
      </c>
      <c r="G100" s="35">
        <f t="shared" si="404"/>
        <v>0.28399999999999997</v>
      </c>
      <c r="H100" s="197">
        <f t="shared" si="125"/>
        <v>169.23611111111677</v>
      </c>
      <c r="I100" s="41">
        <f t="shared" si="405"/>
        <v>0.46366057838662128</v>
      </c>
      <c r="J100" s="40">
        <f t="shared" ca="1" si="425"/>
        <v>0.12516314295400599</v>
      </c>
      <c r="K100" s="40">
        <f t="shared" si="426"/>
        <v>2.5189751902588361E-2</v>
      </c>
      <c r="L100" s="40">
        <f t="shared" si="427"/>
        <v>0.19338305926412305</v>
      </c>
      <c r="M100" s="42">
        <f t="shared" ca="1" si="428"/>
        <v>0.77748741502347429</v>
      </c>
      <c r="N100" s="42">
        <f t="shared" ca="1" si="429"/>
        <v>0.58410435575935127</v>
      </c>
      <c r="O100" s="42">
        <f t="shared" ca="1" si="430"/>
        <v>0.78156437171436011</v>
      </c>
      <c r="P100" s="42">
        <f t="shared" ca="1" si="431"/>
        <v>0.21843562828563995</v>
      </c>
      <c r="Q100" s="42">
        <f t="shared" ca="1" si="432"/>
        <v>0.72042494776068255</v>
      </c>
      <c r="R100" s="42">
        <f t="shared" ca="1" si="433"/>
        <v>0.27957505223931739</v>
      </c>
      <c r="S100" s="42">
        <f t="shared" si="434"/>
        <v>0.98162450344672281</v>
      </c>
      <c r="T100" s="42">
        <f t="shared" si="435"/>
        <v>73.621837758504213</v>
      </c>
      <c r="U100" s="42">
        <f t="shared" si="436"/>
        <v>0.98801719747153338</v>
      </c>
      <c r="V100" s="42">
        <f t="shared" ca="1" si="437"/>
        <v>83.981461785080342</v>
      </c>
      <c r="W100" s="42">
        <f t="shared" ca="1" si="438"/>
        <v>0.29488144833498797</v>
      </c>
      <c r="X100" s="42">
        <f t="shared" ca="1" si="439"/>
        <v>2.2382857679178798</v>
      </c>
      <c r="Y100" s="42">
        <f t="shared" ca="1" si="19"/>
        <v>-0.21581815728671153</v>
      </c>
      <c r="Z100" s="42">
        <f t="shared" ca="1" si="20"/>
        <v>1.7724524899467436E-2</v>
      </c>
      <c r="AA100" s="42">
        <f t="shared" ca="1" si="406"/>
        <v>-1.3200099279903958E-2</v>
      </c>
      <c r="AB100" s="42">
        <f t="shared" ca="1" si="22"/>
        <v>0.16862849616942424</v>
      </c>
      <c r="AC100" s="42">
        <f t="shared" ca="1" si="23"/>
        <v>-9.5434464626281232E-2</v>
      </c>
      <c r="AD100" s="42">
        <f t="shared" ca="1" si="420"/>
        <v>-680.85711604106018</v>
      </c>
      <c r="AF100" s="36">
        <f t="shared" si="118"/>
        <v>80</v>
      </c>
      <c r="AG100" s="35">
        <f t="shared" si="407"/>
        <v>0.28399999999999997</v>
      </c>
      <c r="AH100" s="197">
        <f t="shared" si="126"/>
        <v>169.23611111111677</v>
      </c>
      <c r="AI100" s="41">
        <f t="shared" si="408"/>
        <v>0.46366057838662128</v>
      </c>
      <c r="AJ100" s="40">
        <f t="shared" ca="1" si="440"/>
        <v>6.062462181643484E-2</v>
      </c>
      <c r="AK100" s="40">
        <f t="shared" si="441"/>
        <v>2.5189751902588361E-2</v>
      </c>
      <c r="AL100" s="40">
        <f t="shared" si="442"/>
        <v>0.19338305926412305</v>
      </c>
      <c r="AM100" s="42">
        <f t="shared" ca="1" si="443"/>
        <v>0.44375331554672387</v>
      </c>
      <c r="AN100" s="42">
        <f t="shared" ca="1" si="444"/>
        <v>0.25037025628260079</v>
      </c>
      <c r="AO100" s="42">
        <f t="shared" ca="1" si="445"/>
        <v>0.6713895279170532</v>
      </c>
      <c r="AP100" s="42">
        <f t="shared" ca="1" si="446"/>
        <v>0.3286104720829468</v>
      </c>
      <c r="AQ100" s="42">
        <f t="shared" ca="1" si="447"/>
        <v>0.59884948535335725</v>
      </c>
      <c r="AR100" s="42">
        <f t="shared" ca="1" si="448"/>
        <v>0.40115051464664275</v>
      </c>
      <c r="AS100" s="42">
        <f t="shared" si="449"/>
        <v>0.98162450344672281</v>
      </c>
      <c r="AT100" s="42">
        <f t="shared" si="450"/>
        <v>78.529960275737821</v>
      </c>
      <c r="AU100" s="42">
        <f t="shared" si="451"/>
        <v>0.98801719747153338</v>
      </c>
      <c r="AV100" s="42">
        <f t="shared" ca="1" si="452"/>
        <v>83.981461785080342</v>
      </c>
      <c r="AW100" s="42">
        <f t="shared" ca="1" si="453"/>
        <v>0.36153477856906929</v>
      </c>
      <c r="AX100" s="42">
        <f t="shared" ca="1" si="454"/>
        <v>3.9051461763814324</v>
      </c>
      <c r="AY100" s="42">
        <f t="shared" ca="1" si="42"/>
        <v>-0.32467279768719065</v>
      </c>
      <c r="AZ100" s="42">
        <f t="shared" ca="1" si="43"/>
        <v>2.1730875987462369E-2</v>
      </c>
      <c r="BA100" s="42">
        <f t="shared" ca="1" si="409"/>
        <v>-1.586069729859917E-2</v>
      </c>
      <c r="BB100" s="42">
        <f t="shared" ca="1" si="45"/>
        <v>0.20674432510854693</v>
      </c>
      <c r="BC100" s="42">
        <f t="shared" ca="1" si="46"/>
        <v>-0.1460639039359917</v>
      </c>
      <c r="BD100" s="42">
        <f t="shared" ca="1" si="421"/>
        <v>872.42691180928398</v>
      </c>
      <c r="BE100" s="40"/>
      <c r="BF100" s="36">
        <f t="shared" si="119"/>
        <v>90</v>
      </c>
      <c r="BG100" s="35">
        <f t="shared" si="410"/>
        <v>0.28399999999999997</v>
      </c>
      <c r="BH100" s="197">
        <f t="shared" si="127"/>
        <v>169.23611111111677</v>
      </c>
      <c r="BI100" s="41">
        <f t="shared" si="411"/>
        <v>0.46366057838662128</v>
      </c>
      <c r="BJ100" s="40">
        <f t="shared" ca="1" si="455"/>
        <v>-5.7158413839948637E-2</v>
      </c>
      <c r="BK100" s="40">
        <f t="shared" si="456"/>
        <v>2.5189751902588361E-2</v>
      </c>
      <c r="BL100" s="40">
        <f t="shared" si="457"/>
        <v>0.19338305926412305</v>
      </c>
      <c r="BM100" s="42">
        <f t="shared" ca="1" si="458"/>
        <v>-0.16531262903281202</v>
      </c>
      <c r="BN100" s="42">
        <f t="shared" ca="1" si="459"/>
        <v>-0.3586956882969351</v>
      </c>
      <c r="BO100" s="42">
        <f t="shared" ca="1" si="460"/>
        <v>0.43434895952467789</v>
      </c>
      <c r="BP100" s="42">
        <f t="shared" ca="1" si="461"/>
        <v>0.56565104047532211</v>
      </c>
      <c r="BQ100" s="42">
        <f t="shared" ca="1" si="462"/>
        <v>0.35991137713945415</v>
      </c>
      <c r="BR100" s="42">
        <f t="shared" ca="1" si="463"/>
        <v>0.6400886228605458</v>
      </c>
      <c r="BS100" s="42">
        <f t="shared" si="464"/>
        <v>0.98162450344672281</v>
      </c>
      <c r="BT100" s="42">
        <f t="shared" si="465"/>
        <v>88.34620531020505</v>
      </c>
      <c r="BU100" s="42">
        <f t="shared" si="466"/>
        <v>0.98801719747153338</v>
      </c>
      <c r="BV100" s="42">
        <f t="shared" ca="1" si="467"/>
        <v>83.981461785080342</v>
      </c>
      <c r="BW100" s="42">
        <f t="shared" ca="1" si="468"/>
        <v>0.39352815406739022</v>
      </c>
      <c r="BX100" s="42">
        <f t="shared" ca="1" si="469"/>
        <v>4.6804561274702898</v>
      </c>
      <c r="BY100" s="42">
        <f t="shared" ca="1" si="65"/>
        <v>0.42914424171424875</v>
      </c>
      <c r="BZ100" s="42">
        <f t="shared" ca="1" si="66"/>
        <v>2.3653911104930345E-2</v>
      </c>
      <c r="CA100" s="42">
        <f t="shared" ca="1" si="412"/>
        <v>-1.9768489727130079E-2</v>
      </c>
      <c r="CB100" s="42">
        <f t="shared" ca="1" si="68"/>
        <v>0.22503979546833983</v>
      </c>
      <c r="CC100" s="42">
        <f t="shared" ca="1" si="69"/>
        <v>0.1474292472740783</v>
      </c>
      <c r="CD100" s="42">
        <f t="shared" ca="1" si="422"/>
        <v>1059.771936264855</v>
      </c>
      <c r="CE100" s="40"/>
      <c r="CF100" s="36">
        <f t="shared" si="120"/>
        <v>95</v>
      </c>
      <c r="CG100" s="35">
        <f t="shared" si="413"/>
        <v>0.28399999999999997</v>
      </c>
      <c r="CH100" s="197">
        <f t="shared" si="128"/>
        <v>169.23611111111677</v>
      </c>
      <c r="CI100" s="41">
        <f t="shared" si="414"/>
        <v>0.46366057838662128</v>
      </c>
      <c r="CJ100" s="40">
        <f t="shared" ca="1" si="470"/>
        <v>-0.11122563511022437</v>
      </c>
      <c r="CK100" s="40">
        <f t="shared" si="471"/>
        <v>2.5189751902588361E-2</v>
      </c>
      <c r="CL100" s="40">
        <f t="shared" si="472"/>
        <v>0.19338305926412305</v>
      </c>
      <c r="CM100" s="42">
        <f t="shared" ca="1" si="473"/>
        <v>-0.44489875966916004</v>
      </c>
      <c r="CN100" s="42">
        <f t="shared" ca="1" si="474"/>
        <v>-0.63828181893328306</v>
      </c>
      <c r="CO100" s="42">
        <f t="shared" ca="1" si="475"/>
        <v>0.32819645951541937</v>
      </c>
      <c r="CP100" s="42">
        <f t="shared" ca="1" si="476"/>
        <v>0.67180354048458057</v>
      </c>
      <c r="CQ100" s="42">
        <f t="shared" ca="1" si="477"/>
        <v>0.26164512244009797</v>
      </c>
      <c r="CR100" s="42">
        <f t="shared" ca="1" si="478"/>
        <v>0.73835487755990203</v>
      </c>
      <c r="CS100" s="42">
        <f t="shared" si="479"/>
        <v>0.98162450344672281</v>
      </c>
      <c r="CT100" s="42">
        <f t="shared" si="480"/>
        <v>93.254327827438672</v>
      </c>
      <c r="CU100" s="42">
        <f t="shared" si="481"/>
        <v>0.98801719747153338</v>
      </c>
      <c r="CV100" s="42">
        <f t="shared" ca="1" si="482"/>
        <v>83.981461785080342</v>
      </c>
      <c r="CW100" s="42">
        <f t="shared" ca="1" si="483"/>
        <v>0.3613508220255332</v>
      </c>
      <c r="CX100" s="42">
        <f t="shared" ca="1" si="484"/>
        <v>3.1628784003136339</v>
      </c>
      <c r="CY100" s="42">
        <f t="shared" ca="1" si="88"/>
        <v>0.32426374615050418</v>
      </c>
      <c r="CZ100" s="42">
        <f t="shared" ca="1" si="89"/>
        <v>2.1719818858047357E-2</v>
      </c>
      <c r="DA100" s="42">
        <f t="shared" ca="1" si="415"/>
        <v>-1.8048926023594637E-2</v>
      </c>
      <c r="DB100" s="42">
        <f t="shared" ca="1" si="91"/>
        <v>0.20663912922229444</v>
      </c>
      <c r="DC100" s="42">
        <f t="shared" ca="1" si="92"/>
        <v>0.11313104839190233</v>
      </c>
      <c r="DD100" s="42">
        <f t="shared" ca="1" si="423"/>
        <v>-993.56079984318319</v>
      </c>
      <c r="DE100" s="40"/>
      <c r="DF100" s="36">
        <f t="shared" si="121"/>
        <v>200</v>
      </c>
      <c r="DG100" s="35">
        <f t="shared" si="416"/>
        <v>0.28399999999999997</v>
      </c>
      <c r="DH100" s="197">
        <f t="shared" si="129"/>
        <v>169.23611111111677</v>
      </c>
      <c r="DI100" s="41">
        <f t="shared" si="417"/>
        <v>0.46366057838662128</v>
      </c>
      <c r="DJ100" s="40">
        <f t="shared" ca="1" si="485"/>
        <v>-0.8556661100577202</v>
      </c>
      <c r="DK100" s="40">
        <f t="shared" si="486"/>
        <v>2.5189751902588361E-2</v>
      </c>
      <c r="DL100" s="40">
        <f t="shared" si="487"/>
        <v>0.19338305926412305</v>
      </c>
      <c r="DM100" s="42">
        <f t="shared" ca="1" si="488"/>
        <v>-4.294462820659307</v>
      </c>
      <c r="DN100" s="42">
        <f t="shared" ca="1" si="489"/>
        <v>-4.4878458799234302</v>
      </c>
      <c r="DO100" s="42">
        <f t="shared" ca="1" si="490"/>
        <v>8.7558411687523418E-6</v>
      </c>
      <c r="DP100" s="42">
        <f t="shared" ca="1" si="491"/>
        <v>0.99999124415883123</v>
      </c>
      <c r="DQ100" s="42">
        <f t="shared" ca="1" si="492"/>
        <v>3.5973472549107094E-6</v>
      </c>
      <c r="DR100" s="42">
        <f t="shared" ca="1" si="493"/>
        <v>0.99999640265274514</v>
      </c>
      <c r="DS100" s="42">
        <f t="shared" si="494"/>
        <v>0.98162450344672281</v>
      </c>
      <c r="DT100" s="42">
        <f t="shared" si="495"/>
        <v>196.32490068934456</v>
      </c>
      <c r="DU100" s="42">
        <f t="shared" si="496"/>
        <v>0.98801719747153338</v>
      </c>
      <c r="DV100" s="42">
        <f t="shared" ca="1" si="497"/>
        <v>83.981461785080342</v>
      </c>
      <c r="DW100" s="42">
        <f t="shared" ca="1" si="498"/>
        <v>3.9463120034262469E-5</v>
      </c>
      <c r="DX100" s="42">
        <f t="shared" si="499"/>
        <v>0</v>
      </c>
      <c r="DY100" s="92">
        <f t="shared" si="111"/>
        <v>0</v>
      </c>
      <c r="DZ100" s="42">
        <f t="shared" si="112"/>
        <v>0</v>
      </c>
      <c r="EA100" s="42">
        <f t="shared" si="418"/>
        <v>0</v>
      </c>
      <c r="EB100" s="42">
        <f t="shared" si="114"/>
        <v>0</v>
      </c>
      <c r="EC100" s="42">
        <f t="shared" si="115"/>
        <v>0</v>
      </c>
      <c r="ED100" s="42">
        <f t="shared" ca="1" si="424"/>
        <v>0</v>
      </c>
      <c r="EE100" s="40"/>
      <c r="EF100" s="120">
        <f t="shared" ca="1" si="130"/>
        <v>85</v>
      </c>
      <c r="EG100" s="42">
        <f t="shared" ca="1" si="500"/>
        <v>257.78093218989545</v>
      </c>
      <c r="EH100" s="36">
        <f t="shared" ca="1" si="419"/>
        <v>257.78093218989545</v>
      </c>
      <c r="EI100" s="36">
        <f t="shared" ca="1" si="124"/>
        <v>1.3660000000000001</v>
      </c>
      <c r="EJ100" s="153">
        <f t="shared" ca="1" si="131"/>
        <v>1</v>
      </c>
      <c r="EK100" s="153" t="str">
        <f t="shared" ca="1" si="229"/>
        <v/>
      </c>
      <c r="EL100" s="153" t="str">
        <f t="shared" ca="1" si="501"/>
        <v/>
      </c>
      <c r="EM100" s="153">
        <f t="shared" ca="1" si="230"/>
        <v>1</v>
      </c>
      <c r="EN100" s="153">
        <f t="shared" ca="1" si="231"/>
        <v>0</v>
      </c>
    </row>
    <row r="101" spans="1:146" x14ac:dyDescent="0.3">
      <c r="A101" s="36">
        <f ca="1">IF($M$22=1,A100+'Auto X'!$E$6,A$48)</f>
        <v>85.5</v>
      </c>
      <c r="B101" s="35">
        <f>IF($M$22=2,B100+'Auto X'!$E$6,B$48)</f>
        <v>0.28399999999999997</v>
      </c>
      <c r="C101" s="39">
        <f>IF($M$22=3,C100+'Auto X'!$E$6,C$48)</f>
        <v>45295.440972222219</v>
      </c>
      <c r="D101" s="35">
        <f>IF($M$22=4,D100+'Auto X'!$E$6,D$48)</f>
        <v>2.5999999999999999E-2</v>
      </c>
      <c r="E101" s="35">
        <f>IF($M$22=5,E100+'Auto X'!$E$6,E$48)</f>
        <v>0.04</v>
      </c>
      <c r="F101" s="36">
        <f t="shared" si="117"/>
        <v>75</v>
      </c>
      <c r="G101" s="35">
        <f t="shared" si="404"/>
        <v>0.28399999999999997</v>
      </c>
      <c r="H101" s="197">
        <f t="shared" si="125"/>
        <v>169.23611111111677</v>
      </c>
      <c r="I101" s="41">
        <f t="shared" si="405"/>
        <v>0.46366057838662128</v>
      </c>
      <c r="J101" s="40">
        <f t="shared" ref="J101:J150" ca="1" si="502">LN($A101/F101)</f>
        <v>0.131028262406404</v>
      </c>
      <c r="K101" s="40">
        <f t="shared" ref="K101:K150" si="503">($E101-$D101+POWER(G101,2)/2)*I101</f>
        <v>2.5189751902588361E-2</v>
      </c>
      <c r="L101" s="40">
        <f t="shared" ref="L101:L150" si="504">MAX(0,0.000000000001,G101*SQRT(I101))</f>
        <v>0.19338305926412305</v>
      </c>
      <c r="M101" s="42">
        <f t="shared" ref="M101:M150" ca="1" si="505">(J101+K101)/L101</f>
        <v>0.80781643905854961</v>
      </c>
      <c r="N101" s="42">
        <f t="shared" ref="N101:N150" ca="1" si="506">M101-L101</f>
        <v>0.61443337979442658</v>
      </c>
      <c r="O101" s="42">
        <f t="shared" ref="O101:O150" ca="1" si="507">_xlfn.NORM.DIST(M101,0,1,TRUE)</f>
        <v>0.79040186988746886</v>
      </c>
      <c r="P101" s="42">
        <f t="shared" ref="P101:P150" ca="1" si="508">_xlfn.NORM.DIST(-M101,0,1,TRUE)</f>
        <v>0.20959813011253117</v>
      </c>
      <c r="Q101" s="42">
        <f t="shared" ref="Q101:Q150" ca="1" si="509">_xlfn.NORM.DIST(N101,0,1,TRUE)</f>
        <v>0.73053550813301904</v>
      </c>
      <c r="R101" s="42">
        <f t="shared" ref="R101:R150" ca="1" si="510">_xlfn.NORM.DIST(-N101,0,1,TRUE)</f>
        <v>0.26946449186698096</v>
      </c>
      <c r="S101" s="42">
        <f t="shared" ref="S101:S150" si="511">EXP(-$E101*I101)</f>
        <v>0.98162450344672281</v>
      </c>
      <c r="T101" s="42">
        <f t="shared" ref="T101:T150" si="512">F101*S101</f>
        <v>73.621837758504213</v>
      </c>
      <c r="U101" s="42">
        <f t="shared" ref="U101:U150" si="513">EXP(-$D101*I101)</f>
        <v>0.98801719747153338</v>
      </c>
      <c r="V101" s="42">
        <f t="shared" ref="V101:V150" ca="1" si="514">$A101*U101</f>
        <v>84.475470383816102</v>
      </c>
      <c r="W101" s="42">
        <f t="shared" ref="W101:W150" ca="1" si="515">EXP(-1*POWER(M101,2)/2)/SQRT(2*PI())</f>
        <v>0.2878769253230738</v>
      </c>
      <c r="X101" s="42">
        <f t="shared" ref="X101:X150" ca="1" si="516">IF($F$8=1,0,IF($F$8=2,$A101,IF($F$8=3,V101*O101-T101*Q101,T101*R101-V101*P101)))</f>
        <v>2.132570469084289</v>
      </c>
      <c r="Y101" s="42">
        <f t="shared" ref="Y101:Y150" ca="1" si="517">IF($F$8=2,1,IF(OR($F$8=1,I101&lt;=0),0,IF($F$8=3,O101*U101,(O101-1)*U101)))</f>
        <v>-0.20708655710905682</v>
      </c>
      <c r="Z101" s="42">
        <f t="shared" ref="Z101:Z150" ca="1" si="518">IF(OR($F$8&lt;=2,I101&lt;=0),0,W101*U101/($A101*L101))</f>
        <v>1.7202311929297245E-2</v>
      </c>
      <c r="AA101" s="42">
        <f t="shared" ca="1" si="406"/>
        <v>-1.2981341516381119E-2</v>
      </c>
      <c r="AB101" s="42">
        <f t="shared" ref="AB101:AB150" ca="1" si="519">IF(OR($F$8&lt;=2,I101&lt;=0),0,(W101*$A101*U101*SQRT(I101))/100)</f>
        <v>0.16559131713515932</v>
      </c>
      <c r="AC101" s="42">
        <f t="shared" ref="AC101:AC150" ca="1" si="520">IF(OR($F$8&lt;=2,I101&lt;=0),0,IF($F$8=3,Q101,-1*R101)*F101*I101*S101/100)</f>
        <v>-9.1983169854172361E-2</v>
      </c>
      <c r="AD101" s="42">
        <f t="shared" ca="1" si="420"/>
        <v>-733.71476545785549</v>
      </c>
      <c r="AF101" s="36">
        <f t="shared" si="118"/>
        <v>80</v>
      </c>
      <c r="AG101" s="35">
        <f t="shared" si="407"/>
        <v>0.28399999999999997</v>
      </c>
      <c r="AH101" s="197">
        <f t="shared" si="126"/>
        <v>169.23611111111677</v>
      </c>
      <c r="AI101" s="41">
        <f t="shared" si="408"/>
        <v>0.46366057838662128</v>
      </c>
      <c r="AJ101" s="40">
        <f t="shared" ref="AJ101:AJ150" ca="1" si="521">LN($A101/AF101)</f>
        <v>6.6489741268833003E-2</v>
      </c>
      <c r="AK101" s="40">
        <f t="shared" ref="AK101:AK150" si="522">($E101-$D101+POWER(AG101,2)/2)*AI101</f>
        <v>2.5189751902588361E-2</v>
      </c>
      <c r="AL101" s="40">
        <f t="shared" ref="AL101:AL150" si="523">MAX(0,0.000000000001,AG101*SQRT(AI101))</f>
        <v>0.19338305926412305</v>
      </c>
      <c r="AM101" s="42">
        <f t="shared" ref="AM101:AM150" ca="1" si="524">(AJ101+AK101)/AL101</f>
        <v>0.47408233958180013</v>
      </c>
      <c r="AN101" s="42">
        <f t="shared" ref="AN101:AN150" ca="1" si="525">AM101-AL101</f>
        <v>0.2806992803176771</v>
      </c>
      <c r="AO101" s="42">
        <f t="shared" ref="AO101:AO150" ca="1" si="526">_xlfn.NORM.DIST(AM101,0,1,TRUE)</f>
        <v>0.68227940411753774</v>
      </c>
      <c r="AP101" s="42">
        <f t="shared" ref="AP101:AP150" ca="1" si="527">_xlfn.NORM.DIST(-AM101,0,1,TRUE)</f>
        <v>0.31772059588246232</v>
      </c>
      <c r="AQ101" s="42">
        <f t="shared" ref="AQ101:AQ150" ca="1" si="528">_xlfn.NORM.DIST(AN101,0,1,TRUE)</f>
        <v>0.61052946960418364</v>
      </c>
      <c r="AR101" s="42">
        <f t="shared" ref="AR101:AR150" ca="1" si="529">_xlfn.NORM.DIST(-AN101,0,1,TRUE)</f>
        <v>0.38947053039581642</v>
      </c>
      <c r="AS101" s="42">
        <f t="shared" ref="AS101:AS150" si="530">EXP(-$E101*AI101)</f>
        <v>0.98162450344672281</v>
      </c>
      <c r="AT101" s="42">
        <f t="shared" ref="AT101:AT150" si="531">AF101*AS101</f>
        <v>78.529960275737821</v>
      </c>
      <c r="AU101" s="42">
        <f t="shared" ref="AU101:AU150" si="532">EXP(-$D101*AI101)</f>
        <v>0.98801719747153338</v>
      </c>
      <c r="AV101" s="42">
        <f t="shared" ref="AV101:AV150" ca="1" si="533">$A101*AU101</f>
        <v>84.475470383816102</v>
      </c>
      <c r="AW101" s="42">
        <f t="shared" ref="AW101:AW150" ca="1" si="534">EXP(-1*POWER(AM101,2)/2)/SQRT(2*PI())</f>
        <v>0.35653760331126028</v>
      </c>
      <c r="AX101" s="42">
        <f t="shared" ref="AX101:AX150" ca="1" si="535">IF($F$10=1,0,IF($F$10=2,$A101,IF($F$10=3,AV101*AO101-AT101*AQ101,AT101*AR101-AV101*AP101)))</f>
        <v>3.7455084927566524</v>
      </c>
      <c r="AY101" s="42">
        <f t="shared" ref="AY101:AY150" ca="1" si="536">IF($F$10=2,1,IF(OR($F$10=1,AI101&lt;=0),0,IF($F$10=3,AO101*AU101,(AO101-1)*AU101)))</f>
        <v>-0.31391341272277595</v>
      </c>
      <c r="AZ101" s="42">
        <f t="shared" ref="AZ101:AZ150" ca="1" si="537">IF(OR($F$10&lt;=2,AI101&lt;=0),0,AW101*AU101/($A101*AL101))</f>
        <v>2.1305184706280973E-2</v>
      </c>
      <c r="BA101" s="42">
        <f t="shared" ca="1" si="409"/>
        <v>-1.5768107198673671E-2</v>
      </c>
      <c r="BB101" s="42">
        <f t="shared" ref="BB101:BB150" ca="1" si="538">IF(OR($F$10&lt;=2,AI101&lt;=0),0,(AW101*$A101*AU101*SQRT(AI101))/100)</f>
        <v>0.20508601470668972</v>
      </c>
      <c r="BC101" s="42">
        <f t="shared" ref="BC101:BC150" ca="1" si="539">IF(OR($F$10&lt;=2,AI101&lt;=0),0,IF($F$10=3,AQ101,-1*AR101)*AF101*AI101*AS101/100)</f>
        <v>-0.14181107604397375</v>
      </c>
      <c r="BD101" s="42">
        <f t="shared" ca="1" si="421"/>
        <v>952.245753621674</v>
      </c>
      <c r="BE101" s="40"/>
      <c r="BF101" s="36">
        <f t="shared" si="119"/>
        <v>90</v>
      </c>
      <c r="BG101" s="35">
        <f t="shared" si="410"/>
        <v>0.28399999999999997</v>
      </c>
      <c r="BH101" s="197">
        <f t="shared" si="127"/>
        <v>169.23611111111677</v>
      </c>
      <c r="BI101" s="41">
        <f t="shared" si="411"/>
        <v>0.46366057838662128</v>
      </c>
      <c r="BJ101" s="40">
        <f t="shared" ref="BJ101:BJ150" ca="1" si="540">LN($A101/BF101)</f>
        <v>-5.1293294387550578E-2</v>
      </c>
      <c r="BK101" s="40">
        <f t="shared" ref="BK101:BK150" si="541">($E101-$D101+POWER(BG101,2)/2)*BI101</f>
        <v>2.5189751902588361E-2</v>
      </c>
      <c r="BL101" s="40">
        <f t="shared" ref="BL101:BL150" si="542">MAX(0,0.000000000001,BG101*SQRT(BI101))</f>
        <v>0.19338305926412305</v>
      </c>
      <c r="BM101" s="42">
        <f t="shared" ref="BM101:BM150" ca="1" si="543">(BJ101+BK101)/BL101</f>
        <v>-0.13498360499773632</v>
      </c>
      <c r="BN101" s="42">
        <f t="shared" ref="BN101:BN150" ca="1" si="544">BM101-BL101</f>
        <v>-0.32836666426185934</v>
      </c>
      <c r="BO101" s="42">
        <f t="shared" ref="BO101:BO150" ca="1" si="545">_xlfn.NORM.DIST(BM101,0,1,TRUE)</f>
        <v>0.44631241850135794</v>
      </c>
      <c r="BP101" s="42">
        <f t="shared" ref="BP101:BP150" ca="1" si="546">_xlfn.NORM.DIST(-BM101,0,1,TRUE)</f>
        <v>0.55368758149864206</v>
      </c>
      <c r="BQ101" s="42">
        <f t="shared" ref="BQ101:BQ150" ca="1" si="547">_xlfn.NORM.DIST(BN101,0,1,TRUE)</f>
        <v>0.37131722246367027</v>
      </c>
      <c r="BR101" s="42">
        <f t="shared" ref="BR101:BR150" ca="1" si="548">_xlfn.NORM.DIST(-BN101,0,1,TRUE)</f>
        <v>0.62868277753632973</v>
      </c>
      <c r="BS101" s="42">
        <f t="shared" ref="BS101:BS150" si="549">EXP(-$E101*BI101)</f>
        <v>0.98162450344672281</v>
      </c>
      <c r="BT101" s="42">
        <f t="shared" ref="BT101:BT150" si="550">BF101*BS101</f>
        <v>88.34620531020505</v>
      </c>
      <c r="BU101" s="42">
        <f t="shared" ref="BU101:BU150" si="551">EXP(-$D101*BI101)</f>
        <v>0.98801719747153338</v>
      </c>
      <c r="BV101" s="42">
        <f t="shared" ref="BV101:BV150" ca="1" si="552">$A101*BU101</f>
        <v>84.475470383816102</v>
      </c>
      <c r="BW101" s="42">
        <f t="shared" ref="BW101:BW150" ca="1" si="553">EXP(-1*POWER(BM101,2)/2)/SQRT(2*PI())</f>
        <v>0.3953243072168654</v>
      </c>
      <c r="BX101" s="42">
        <f t="shared" ref="BX101:BX150" ca="1" si="554">IF($F$12=1,0,IF($F$12=2,$A101,IF($F$12=3,BV101*BO101-BT101*BQ101,BT101*BR101-BV101*BP101)))</f>
        <v>4.8979839200503008</v>
      </c>
      <c r="BY101" s="42">
        <f t="shared" ref="BY101:BY150" ca="1" si="555">IF($F$12=2,1,IF(OR($F$12=1,BI101&lt;=0),0,IF($F$12=3,BO101*BU101,(BO101-1)*BU101)))</f>
        <v>0.4409643449244538</v>
      </c>
      <c r="BZ101" s="42">
        <f t="shared" ref="BZ101:BZ150" ca="1" si="556">IF(OR($F$12&lt;=2,BI101&lt;=0),0,BW101*BU101/($A101*BL101))</f>
        <v>2.3622914682536321E-2</v>
      </c>
      <c r="CA101" s="42">
        <f t="shared" ca="1" si="412"/>
        <v>-1.9989407050816529E-2</v>
      </c>
      <c r="CB101" s="42">
        <f t="shared" ref="CB101:CB150" ca="1" si="557">IF(OR($F$12&lt;=2,BI101&lt;=0),0,(BW101*$A101*BU101*SQRT(BI101))/100)</f>
        <v>0.22739673440001898</v>
      </c>
      <c r="CC101" s="42">
        <f t="shared" ref="CC101:CC150" ca="1" si="558">IF(OR($F$12&lt;=2,BI101&lt;=0),0,IF($F$12=3,BQ101,-1*BR101)*BF101*BI101*BS101/100)</f>
        <v>0.15210138407630616</v>
      </c>
      <c r="CD101" s="42">
        <f t="shared" ca="1" si="422"/>
        <v>951.00803997484945</v>
      </c>
      <c r="CE101" s="40"/>
      <c r="CF101" s="36">
        <f t="shared" si="120"/>
        <v>95</v>
      </c>
      <c r="CG101" s="35">
        <f t="shared" si="413"/>
        <v>0.28399999999999997</v>
      </c>
      <c r="CH101" s="197">
        <f t="shared" si="128"/>
        <v>169.23611111111677</v>
      </c>
      <c r="CI101" s="41">
        <f t="shared" si="414"/>
        <v>0.46366057838662128</v>
      </c>
      <c r="CJ101" s="40">
        <f t="shared" ref="CJ101:CJ150" ca="1" si="559">LN($A101/CF101)</f>
        <v>-0.10536051565782628</v>
      </c>
      <c r="CK101" s="40">
        <f t="shared" ref="CK101:CK150" si="560">($E101-$D101+POWER(CG101,2)/2)*CI101</f>
        <v>2.5189751902588361E-2</v>
      </c>
      <c r="CL101" s="40">
        <f t="shared" ref="CL101:CL150" si="561">MAX(0,0.000000000001,CG101*SQRT(CI101))</f>
        <v>0.19338305926412305</v>
      </c>
      <c r="CM101" s="42">
        <f t="shared" ref="CM101:CM150" ca="1" si="562">(CJ101+CK101)/CL101</f>
        <v>-0.41456973563408411</v>
      </c>
      <c r="CN101" s="42">
        <f t="shared" ref="CN101:CN150" ca="1" si="563">CM101-CL101</f>
        <v>-0.60795279489820719</v>
      </c>
      <c r="CO101" s="42">
        <f t="shared" ref="CO101:CO150" ca="1" si="564">_xlfn.NORM.DIST(CM101,0,1,TRUE)</f>
        <v>0.33922845354367981</v>
      </c>
      <c r="CP101" s="42">
        <f t="shared" ref="CP101:CP150" ca="1" si="565">_xlfn.NORM.DIST(-CM101,0,1,TRUE)</f>
        <v>0.66077154645632019</v>
      </c>
      <c r="CQ101" s="42">
        <f t="shared" ref="CQ101:CQ150" ca="1" si="566">_xlfn.NORM.DIST(CN101,0,1,TRUE)</f>
        <v>0.27160939125004235</v>
      </c>
      <c r="CR101" s="42">
        <f t="shared" ref="CR101:CR150" ca="1" si="567">_xlfn.NORM.DIST(-CN101,0,1,TRUE)</f>
        <v>0.72839060874995765</v>
      </c>
      <c r="CS101" s="42">
        <f t="shared" ref="CS101:CS150" si="568">EXP(-$E101*CI101)</f>
        <v>0.98162450344672281</v>
      </c>
      <c r="CT101" s="42">
        <f t="shared" ref="CT101:CT150" si="569">CF101*CS101</f>
        <v>93.254327827438672</v>
      </c>
      <c r="CU101" s="42">
        <f t="shared" ref="CU101:CU150" si="570">EXP(-$D101*CI101)</f>
        <v>0.98801719747153338</v>
      </c>
      <c r="CV101" s="42">
        <f t="shared" ref="CV101:CV150" ca="1" si="571">$A101*CU101</f>
        <v>84.475470383816102</v>
      </c>
      <c r="CW101" s="42">
        <f t="shared" ref="CW101:CW150" ca="1" si="572">EXP(-1*POWER(CM101,2)/2)/SQRT(2*PI())</f>
        <v>0.36609128428761523</v>
      </c>
      <c r="CX101" s="42">
        <f t="shared" ref="CX101:CX150" ca="1" si="573">IF($F$14=1,0,IF($F$14=2,$A101,IF($F$14=3,CV101*CO101-CT101*CQ101,CT101*CR101-CV101*CP101)))</f>
        <v>3.3277319680343602</v>
      </c>
      <c r="CY101" s="42">
        <f t="shared" ref="CY101:CY150" ca="1" si="574">IF($F$14=2,1,IF(OR($F$14=1,CI101&lt;=0),0,IF($F$14=3,CO101*CU101,(CO101-1)*CU101)))</f>
        <v>0.33516354597282877</v>
      </c>
      <c r="CZ101" s="42">
        <f t="shared" ref="CZ101:CZ150" ca="1" si="575">IF(OR($F$14&lt;=2,CI101&lt;=0),0,CW101*CU101/($A101*CL101))</f>
        <v>2.1876072421730244E-2</v>
      </c>
      <c r="DA101" s="42">
        <f t="shared" ca="1" si="415"/>
        <v>-1.8403609418652916E-2</v>
      </c>
      <c r="DB101" s="42">
        <f t="shared" ref="DB101:DB150" ca="1" si="576">IF(OR($F$14&lt;=2,CI101&lt;=0),0,(CW101*$A101*CU101*SQRT(CI101))/100)</f>
        <v>0.21058144166593037</v>
      </c>
      <c r="DC101" s="42">
        <f t="shared" ref="DC101:DC150" ca="1" si="577">IF(OR($F$14&lt;=2,CI101&lt;=0),0,IF($F$14=3,CQ101,-1*CR101)*CF101*CI101*CS101/100)</f>
        <v>0.11743943437064656</v>
      </c>
      <c r="DD101" s="42">
        <f t="shared" ca="1" si="423"/>
        <v>-911.13401598282007</v>
      </c>
      <c r="DE101" s="40"/>
      <c r="DF101" s="36">
        <f t="shared" si="121"/>
        <v>200</v>
      </c>
      <c r="DG101" s="35">
        <f t="shared" si="416"/>
        <v>0.28399999999999997</v>
      </c>
      <c r="DH101" s="197">
        <f t="shared" si="129"/>
        <v>169.23611111111677</v>
      </c>
      <c r="DI101" s="41">
        <f t="shared" si="417"/>
        <v>0.46366057838662128</v>
      </c>
      <c r="DJ101" s="40">
        <f t="shared" ref="DJ101:DJ150" ca="1" si="578">LN($A101/DF101)</f>
        <v>-0.84980099060532222</v>
      </c>
      <c r="DK101" s="40">
        <f t="shared" ref="DK101:DK150" si="579">($E101-$D101+POWER(DG101,2)/2)*DI101</f>
        <v>2.5189751902588361E-2</v>
      </c>
      <c r="DL101" s="40">
        <f t="shared" ref="DL101:DL150" si="580">MAX(0,0.000000000001,DG101*SQRT(DI101))</f>
        <v>0.19338305926412305</v>
      </c>
      <c r="DM101" s="42">
        <f t="shared" ref="DM101:DM150" ca="1" si="581">(DJ101+DK101)/DL101</f>
        <v>-4.2641337966242316</v>
      </c>
      <c r="DN101" s="42">
        <f t="shared" ref="DN101:DN150" ca="1" si="582">DM101-DL101</f>
        <v>-4.4575168558883549</v>
      </c>
      <c r="DO101" s="42">
        <f t="shared" ref="DO101:DO150" ca="1" si="583">_xlfn.NORM.DIST(DM101,0,1,TRUE)</f>
        <v>1.0033958672912453E-5</v>
      </c>
      <c r="DP101" s="42">
        <f t="shared" ref="DP101:DP150" ca="1" si="584">_xlfn.NORM.DIST(-DM101,0,1,TRUE)</f>
        <v>0.99998996604132706</v>
      </c>
      <c r="DQ101" s="42">
        <f t="shared" ref="DQ101:DQ150" ca="1" si="585">_xlfn.NORM.DIST(DN101,0,1,TRUE)</f>
        <v>4.1457259617862122E-6</v>
      </c>
      <c r="DR101" s="42">
        <f t="shared" ref="DR101:DR150" ca="1" si="586">_xlfn.NORM.DIST(-DN101,0,1,TRUE)</f>
        <v>0.99999585427403825</v>
      </c>
      <c r="DS101" s="42">
        <f t="shared" ref="DS101:DS150" si="587">EXP(-$E101*DI101)</f>
        <v>0.98162450344672281</v>
      </c>
      <c r="DT101" s="42">
        <f t="shared" ref="DT101:DT150" si="588">DF101*DS101</f>
        <v>196.32490068934456</v>
      </c>
      <c r="DU101" s="42">
        <f t="shared" ref="DU101:DU150" si="589">EXP(-$D101*DI101)</f>
        <v>0.98801719747153338</v>
      </c>
      <c r="DV101" s="42">
        <f t="shared" ref="DV101:DV150" ca="1" si="590">$A101*DU101</f>
        <v>84.475470383816102</v>
      </c>
      <c r="DW101" s="42">
        <f t="shared" ref="DW101:DW150" ca="1" si="591">EXP(-1*POWER(DM101,2)/2)/SQRT(2*PI())</f>
        <v>4.4932146982867551E-5</v>
      </c>
      <c r="DX101" s="42">
        <f t="shared" ref="DX101:DX150" si="592">IF($F$16=1,0,IF($F$16=2,$A101,IF($F$16=3,DV101*DO101-DT101*DQ101,DT101*DR101-DV101*DP101)))</f>
        <v>0</v>
      </c>
      <c r="DY101" s="92">
        <f t="shared" ref="DY101:DY150" si="593">IF($F$16=2,1,IF(OR($F$16=1,DI101&lt;=0),0,IF($F$16=3,DO101*DU101,(DO101-1)*DU101)))</f>
        <v>0</v>
      </c>
      <c r="DZ101" s="42">
        <f t="shared" ref="DZ101:DZ150" si="594">IF(OR($F$16&lt;=2,DI101&lt;=0),0,DW101*DU101/($A101*DL101))</f>
        <v>0</v>
      </c>
      <c r="EA101" s="42">
        <f t="shared" si="418"/>
        <v>0</v>
      </c>
      <c r="EB101" s="42">
        <f t="shared" ref="EB101:EB150" si="595">IF(OR($F$16&lt;=2,DI101&lt;=0),0,(DW101*$A101*DU101*SQRT(DI101))/100)</f>
        <v>0</v>
      </c>
      <c r="EC101" s="42">
        <f t="shared" ref="EC101:EC150" si="596">IF(OR($F$16&lt;=2,DI101&lt;=0),0,IF($F$16=3,DQ101,-1*DR101)*DF101*DI101*DS101/100)</f>
        <v>0</v>
      </c>
      <c r="ED101" s="42">
        <f t="shared" ca="1" si="424"/>
        <v>0</v>
      </c>
      <c r="EE101" s="40"/>
      <c r="EF101" s="120">
        <f t="shared" ca="1" si="130"/>
        <v>85.5</v>
      </c>
      <c r="EG101" s="42">
        <f t="shared" ref="EG101:EG150" ca="1" si="597">AD101+BD101+CD101+DD101+ED101</f>
        <v>258.405012155848</v>
      </c>
      <c r="EH101" s="36">
        <f t="shared" ca="1" si="419"/>
        <v>258.405012155848</v>
      </c>
      <c r="EI101" s="36">
        <f t="shared" ca="1" si="124"/>
        <v>0.624</v>
      </c>
      <c r="EJ101" s="153">
        <f t="shared" ca="1" si="131"/>
        <v>1</v>
      </c>
      <c r="EK101" s="153" t="str">
        <f t="shared" ca="1" si="229"/>
        <v/>
      </c>
      <c r="EL101" s="153" t="str">
        <f t="shared" ca="1" si="501"/>
        <v/>
      </c>
      <c r="EM101" s="153">
        <f t="shared" ca="1" si="230"/>
        <v>1</v>
      </c>
      <c r="EN101" s="153">
        <f t="shared" ca="1" si="231"/>
        <v>0</v>
      </c>
    </row>
    <row r="102" spans="1:146" x14ac:dyDescent="0.3">
      <c r="A102" s="36">
        <f ca="1">IF($M$22=1,A101+'Auto X'!$E$6,A$48)</f>
        <v>86</v>
      </c>
      <c r="B102" s="35">
        <f>IF($M$22=2,B101+'Auto X'!$E$6,B$48)</f>
        <v>0.28399999999999997</v>
      </c>
      <c r="C102" s="39">
        <f>IF($M$22=3,C101+'Auto X'!$E$6,C$48)</f>
        <v>45295.440972222219</v>
      </c>
      <c r="D102" s="35">
        <f>IF($M$22=4,D101+'Auto X'!$E$6,D$48)</f>
        <v>2.5999999999999999E-2</v>
      </c>
      <c r="E102" s="35">
        <f>IF($M$22=5,E101+'Auto X'!$E$6,E$48)</f>
        <v>0.04</v>
      </c>
      <c r="F102" s="36">
        <f t="shared" si="117"/>
        <v>75</v>
      </c>
      <c r="G102" s="35">
        <f t="shared" si="404"/>
        <v>0.28399999999999997</v>
      </c>
      <c r="H102" s="197">
        <f t="shared" si="125"/>
        <v>169.23611111111677</v>
      </c>
      <c r="I102" s="41">
        <f t="shared" si="405"/>
        <v>0.46366057838662128</v>
      </c>
      <c r="J102" s="40">
        <f t="shared" ca="1" si="502"/>
        <v>0.13685918271719735</v>
      </c>
      <c r="K102" s="40">
        <f t="shared" si="503"/>
        <v>2.5189751902588361E-2</v>
      </c>
      <c r="L102" s="40">
        <f t="shared" si="504"/>
        <v>0.19338305926412305</v>
      </c>
      <c r="M102" s="42">
        <f t="shared" ca="1" si="505"/>
        <v>0.83796861646737564</v>
      </c>
      <c r="N102" s="42">
        <f t="shared" ca="1" si="506"/>
        <v>0.64458555720325261</v>
      </c>
      <c r="O102" s="42">
        <f t="shared" ca="1" si="507"/>
        <v>0.79897583517991477</v>
      </c>
      <c r="P102" s="42">
        <f t="shared" ca="1" si="508"/>
        <v>0.20102416482008528</v>
      </c>
      <c r="Q102" s="42">
        <f t="shared" ca="1" si="509"/>
        <v>0.74040210157769382</v>
      </c>
      <c r="R102" s="42">
        <f t="shared" ca="1" si="510"/>
        <v>0.25959789842230618</v>
      </c>
      <c r="S102" s="42">
        <f t="shared" si="511"/>
        <v>0.98162450344672281</v>
      </c>
      <c r="T102" s="42">
        <f t="shared" si="512"/>
        <v>73.621837758504213</v>
      </c>
      <c r="U102" s="42">
        <f t="shared" si="513"/>
        <v>0.98801719747153338</v>
      </c>
      <c r="V102" s="42">
        <f t="shared" ca="1" si="514"/>
        <v>84.969478982551877</v>
      </c>
      <c r="W102" s="42">
        <f t="shared" ca="1" si="515"/>
        <v>0.28082200786985362</v>
      </c>
      <c r="X102" s="42">
        <f t="shared" ca="1" si="516"/>
        <v>2.0311558124304021</v>
      </c>
      <c r="Y102" s="42">
        <f t="shared" ca="1" si="517"/>
        <v>-0.19861533194959621</v>
      </c>
      <c r="Z102" s="42">
        <f t="shared" ca="1" si="518"/>
        <v>1.6683177351422294E-2</v>
      </c>
      <c r="AA102" s="42">
        <f t="shared" ca="1" si="406"/>
        <v>-1.2755187986901171E-2</v>
      </c>
      <c r="AB102" s="42">
        <f t="shared" ca="1" si="519"/>
        <v>0.16247785680073068</v>
      </c>
      <c r="AC102" s="42">
        <f t="shared" ca="1" si="520"/>
        <v>-8.8615154519700798E-2</v>
      </c>
      <c r="AD102" s="42">
        <f t="shared" ca="1" si="420"/>
        <v>-784.42209378479902</v>
      </c>
      <c r="AF102" s="36">
        <f t="shared" si="118"/>
        <v>80</v>
      </c>
      <c r="AG102" s="35">
        <f t="shared" si="407"/>
        <v>0.28399999999999997</v>
      </c>
      <c r="AH102" s="197">
        <f t="shared" si="126"/>
        <v>169.23611111111677</v>
      </c>
      <c r="AI102" s="41">
        <f t="shared" si="408"/>
        <v>0.46366057838662128</v>
      </c>
      <c r="AJ102" s="40">
        <f t="shared" ca="1" si="521"/>
        <v>7.2320661579626078E-2</v>
      </c>
      <c r="AK102" s="40">
        <f t="shared" si="522"/>
        <v>2.5189751902588361E-2</v>
      </c>
      <c r="AL102" s="40">
        <f t="shared" si="523"/>
        <v>0.19338305926412305</v>
      </c>
      <c r="AM102" s="42">
        <f t="shared" ca="1" si="524"/>
        <v>0.50423451699062471</v>
      </c>
      <c r="AN102" s="42">
        <f t="shared" ca="1" si="525"/>
        <v>0.31085145772650169</v>
      </c>
      <c r="AO102" s="42">
        <f t="shared" ca="1" si="526"/>
        <v>0.69295170631432101</v>
      </c>
      <c r="AP102" s="42">
        <f t="shared" ca="1" si="527"/>
        <v>0.30704829368567899</v>
      </c>
      <c r="AQ102" s="42">
        <f t="shared" ca="1" si="528"/>
        <v>0.62204322572746706</v>
      </c>
      <c r="AR102" s="42">
        <f t="shared" ca="1" si="529"/>
        <v>0.37795677427253294</v>
      </c>
      <c r="AS102" s="42">
        <f t="shared" si="530"/>
        <v>0.98162450344672281</v>
      </c>
      <c r="AT102" s="42">
        <f t="shared" si="531"/>
        <v>78.529960275737821</v>
      </c>
      <c r="AU102" s="42">
        <f t="shared" si="532"/>
        <v>0.98801719747153338</v>
      </c>
      <c r="AV102" s="42">
        <f t="shared" ca="1" si="533"/>
        <v>84.969478982551877</v>
      </c>
      <c r="AW102" s="42">
        <f t="shared" ca="1" si="534"/>
        <v>0.35131755224480371</v>
      </c>
      <c r="AX102" s="42">
        <f t="shared" ca="1" si="535"/>
        <v>3.5911969326143023</v>
      </c>
      <c r="AY102" s="42">
        <f t="shared" ca="1" si="536"/>
        <v>-0.30336899461574085</v>
      </c>
      <c r="AZ102" s="42">
        <f t="shared" ca="1" si="537"/>
        <v>2.0871202635528264E-2</v>
      </c>
      <c r="BA102" s="42">
        <f t="shared" ca="1" si="409"/>
        <v>-1.5660996276416036E-2</v>
      </c>
      <c r="BB102" s="42">
        <f t="shared" ca="1" si="538"/>
        <v>0.20326513359191087</v>
      </c>
      <c r="BC102" s="42">
        <f t="shared" ca="1" si="539"/>
        <v>-0.13761877388572999</v>
      </c>
      <c r="BD102" s="42">
        <f t="shared" ca="1" si="421"/>
        <v>1029.4015336928489</v>
      </c>
      <c r="BE102" s="40"/>
      <c r="BF102" s="36">
        <f t="shared" si="119"/>
        <v>90</v>
      </c>
      <c r="BG102" s="35">
        <f t="shared" si="410"/>
        <v>0.28399999999999997</v>
      </c>
      <c r="BH102" s="197">
        <f t="shared" si="127"/>
        <v>169.23611111111677</v>
      </c>
      <c r="BI102" s="41">
        <f t="shared" si="411"/>
        <v>0.46366057838662128</v>
      </c>
      <c r="BJ102" s="40">
        <f t="shared" ca="1" si="540"/>
        <v>-4.5462374076757288E-2</v>
      </c>
      <c r="BK102" s="40">
        <f t="shared" si="541"/>
        <v>2.5189751902588361E-2</v>
      </c>
      <c r="BL102" s="40">
        <f t="shared" si="542"/>
        <v>0.19338305926412305</v>
      </c>
      <c r="BM102" s="42">
        <f t="shared" ca="1" si="543"/>
        <v>-0.10483142758891062</v>
      </c>
      <c r="BN102" s="42">
        <f t="shared" ca="1" si="544"/>
        <v>-0.29821448685303364</v>
      </c>
      <c r="BO102" s="42">
        <f t="shared" ca="1" si="545"/>
        <v>0.4582547859146201</v>
      </c>
      <c r="BP102" s="42">
        <f t="shared" ca="1" si="546"/>
        <v>0.5417452140853799</v>
      </c>
      <c r="BQ102" s="42">
        <f t="shared" ca="1" si="547"/>
        <v>0.38276973282316418</v>
      </c>
      <c r="BR102" s="42">
        <f t="shared" ca="1" si="548"/>
        <v>0.61723026717683582</v>
      </c>
      <c r="BS102" s="42">
        <f t="shared" si="549"/>
        <v>0.98162450344672281</v>
      </c>
      <c r="BT102" s="42">
        <f t="shared" si="550"/>
        <v>88.34620531020505</v>
      </c>
      <c r="BU102" s="42">
        <f t="shared" si="551"/>
        <v>0.98801719747153338</v>
      </c>
      <c r="BV102" s="42">
        <f t="shared" ca="1" si="552"/>
        <v>84.969478982551877</v>
      </c>
      <c r="BW102" s="42">
        <f t="shared" ca="1" si="553"/>
        <v>0.39675617834455407</v>
      </c>
      <c r="BX102" s="42">
        <f t="shared" ca="1" si="554"/>
        <v>5.1214169978985282</v>
      </c>
      <c r="BY102" s="42">
        <f t="shared" ca="1" si="555"/>
        <v>0.45276360930728043</v>
      </c>
      <c r="BZ102" s="42">
        <f t="shared" ca="1" si="556"/>
        <v>2.357063728303788E-2</v>
      </c>
      <c r="CA102" s="42">
        <f t="shared" ca="1" si="412"/>
        <v>-2.0193391138743081E-2</v>
      </c>
      <c r="CB102" s="42">
        <f t="shared" ca="1" si="557"/>
        <v>0.22955499114495101</v>
      </c>
      <c r="CC102" s="42">
        <f t="shared" ca="1" si="558"/>
        <v>0.15679263611484495</v>
      </c>
      <c r="CD102" s="42">
        <f t="shared" ca="1" si="422"/>
        <v>839.29150105073575</v>
      </c>
      <c r="CE102" s="40"/>
      <c r="CF102" s="36">
        <f t="shared" si="120"/>
        <v>95</v>
      </c>
      <c r="CG102" s="35">
        <f t="shared" si="413"/>
        <v>0.28399999999999997</v>
      </c>
      <c r="CH102" s="197">
        <f t="shared" si="128"/>
        <v>169.23611111111677</v>
      </c>
      <c r="CI102" s="41">
        <f t="shared" si="414"/>
        <v>0.46366057838662128</v>
      </c>
      <c r="CJ102" s="40">
        <f t="shared" ca="1" si="559"/>
        <v>-9.9529595347033054E-2</v>
      </c>
      <c r="CK102" s="40">
        <f t="shared" si="560"/>
        <v>2.5189751902588361E-2</v>
      </c>
      <c r="CL102" s="40">
        <f t="shared" si="561"/>
        <v>0.19338305926412305</v>
      </c>
      <c r="CM102" s="42">
        <f t="shared" ca="1" si="562"/>
        <v>-0.38441755822525875</v>
      </c>
      <c r="CN102" s="42">
        <f t="shared" ca="1" si="563"/>
        <v>-0.57780061748938183</v>
      </c>
      <c r="CO102" s="42">
        <f t="shared" ca="1" si="564"/>
        <v>0.35033449442978359</v>
      </c>
      <c r="CP102" s="42">
        <f t="shared" ca="1" si="565"/>
        <v>0.64966550557021641</v>
      </c>
      <c r="CQ102" s="42">
        <f t="shared" ca="1" si="566"/>
        <v>0.28169936917281557</v>
      </c>
      <c r="CR102" s="42">
        <f t="shared" ca="1" si="567"/>
        <v>0.71830063082718443</v>
      </c>
      <c r="CS102" s="42">
        <f t="shared" si="568"/>
        <v>0.98162450344672281</v>
      </c>
      <c r="CT102" s="42">
        <f t="shared" si="569"/>
        <v>93.254327827438672</v>
      </c>
      <c r="CU102" s="42">
        <f t="shared" si="570"/>
        <v>0.98801719747153338</v>
      </c>
      <c r="CV102" s="42">
        <f t="shared" ca="1" si="571"/>
        <v>84.969478982551877</v>
      </c>
      <c r="CW102" s="42">
        <f t="shared" ca="1" si="572"/>
        <v>0.37052774093123581</v>
      </c>
      <c r="CX102" s="42">
        <f t="shared" ca="1" si="573"/>
        <v>3.4980541396900193</v>
      </c>
      <c r="CY102" s="42">
        <f t="shared" ca="1" si="574"/>
        <v>0.34613650536412133</v>
      </c>
      <c r="CZ102" s="42">
        <f t="shared" ca="1" si="575"/>
        <v>2.201244860567517E-2</v>
      </c>
      <c r="DA102" s="42">
        <f t="shared" ca="1" si="415"/>
        <v>-1.8746270458347581E-2</v>
      </c>
      <c r="DB102" s="42">
        <f t="shared" ca="1" si="576"/>
        <v>0.2143797549500619</v>
      </c>
      <c r="DC102" s="42">
        <f t="shared" ca="1" si="577"/>
        <v>0.1218021749025891</v>
      </c>
      <c r="DD102" s="42">
        <f t="shared" ca="1" si="423"/>
        <v>-825.97293015499054</v>
      </c>
      <c r="DE102" s="40"/>
      <c r="DF102" s="36">
        <f t="shared" si="121"/>
        <v>200</v>
      </c>
      <c r="DG102" s="35">
        <f t="shared" si="416"/>
        <v>0.28399999999999997</v>
      </c>
      <c r="DH102" s="197">
        <f t="shared" si="129"/>
        <v>169.23611111111677</v>
      </c>
      <c r="DI102" s="41">
        <f t="shared" si="417"/>
        <v>0.46366057838662128</v>
      </c>
      <c r="DJ102" s="40">
        <f t="shared" ca="1" si="578"/>
        <v>-0.84397007029452897</v>
      </c>
      <c r="DK102" s="40">
        <f t="shared" si="579"/>
        <v>2.5189751902588361E-2</v>
      </c>
      <c r="DL102" s="40">
        <f t="shared" si="580"/>
        <v>0.19338305926412305</v>
      </c>
      <c r="DM102" s="42">
        <f t="shared" ca="1" si="581"/>
        <v>-4.2339816192154069</v>
      </c>
      <c r="DN102" s="42">
        <f t="shared" ca="1" si="582"/>
        <v>-4.4273646784795302</v>
      </c>
      <c r="DO102" s="42">
        <f t="shared" ca="1" si="583"/>
        <v>1.1479485899064877E-5</v>
      </c>
      <c r="DP102" s="42">
        <f t="shared" ca="1" si="584"/>
        <v>0.99998852051410092</v>
      </c>
      <c r="DQ102" s="42">
        <f t="shared" ca="1" si="585"/>
        <v>4.7695689807369354E-6</v>
      </c>
      <c r="DR102" s="42">
        <f t="shared" ca="1" si="586"/>
        <v>0.99999523043101923</v>
      </c>
      <c r="DS102" s="42">
        <f t="shared" si="587"/>
        <v>0.98162450344672281</v>
      </c>
      <c r="DT102" s="42">
        <f t="shared" si="588"/>
        <v>196.32490068934456</v>
      </c>
      <c r="DU102" s="42">
        <f t="shared" si="589"/>
        <v>0.98801719747153338</v>
      </c>
      <c r="DV102" s="42">
        <f t="shared" ca="1" si="590"/>
        <v>84.969478982551877</v>
      </c>
      <c r="DW102" s="42">
        <f t="shared" ca="1" si="591"/>
        <v>5.1073810381540664E-5</v>
      </c>
      <c r="DX102" s="42">
        <f t="shared" si="592"/>
        <v>0</v>
      </c>
      <c r="DY102" s="92">
        <f t="shared" si="593"/>
        <v>0</v>
      </c>
      <c r="DZ102" s="42">
        <f t="shared" si="594"/>
        <v>0</v>
      </c>
      <c r="EA102" s="42">
        <f t="shared" si="418"/>
        <v>0</v>
      </c>
      <c r="EB102" s="42">
        <f t="shared" si="595"/>
        <v>0</v>
      </c>
      <c r="EC102" s="42">
        <f t="shared" si="596"/>
        <v>0</v>
      </c>
      <c r="ED102" s="42">
        <f t="shared" ca="1" si="424"/>
        <v>0</v>
      </c>
      <c r="EE102" s="40"/>
      <c r="EF102" s="120">
        <f t="shared" ca="1" si="130"/>
        <v>86</v>
      </c>
      <c r="EG102" s="42">
        <f t="shared" ca="1" si="597"/>
        <v>258.29801080379502</v>
      </c>
      <c r="EH102" s="36">
        <f t="shared" ca="1" si="419"/>
        <v>258.29801080379502</v>
      </c>
      <c r="EI102" s="36">
        <f t="shared" ca="1" si="124"/>
        <v>-0.107</v>
      </c>
      <c r="EJ102" s="153">
        <f t="shared" ca="1" si="131"/>
        <v>-1</v>
      </c>
      <c r="EK102" s="153" t="str">
        <f t="shared" ca="1" si="229"/>
        <v>MAX MID</v>
      </c>
      <c r="EL102" s="153" t="str">
        <f t="shared" ca="1" si="501"/>
        <v>MAX MID</v>
      </c>
      <c r="EM102" s="153">
        <f t="shared" ca="1" si="230"/>
        <v>2</v>
      </c>
      <c r="EN102" s="153">
        <f t="shared" ca="1" si="231"/>
        <v>2</v>
      </c>
    </row>
    <row r="103" spans="1:146" x14ac:dyDescent="0.3">
      <c r="A103" s="36">
        <f ca="1">IF($M$22=1,A102+'Auto X'!$E$6,A$48)</f>
        <v>86.5</v>
      </c>
      <c r="B103" s="35">
        <f>IF($M$22=2,B102+'Auto X'!$E$6,B$48)</f>
        <v>0.28399999999999997</v>
      </c>
      <c r="C103" s="39">
        <f>IF($M$22=3,C102+'Auto X'!$E$6,C$48)</f>
        <v>45295.440972222219</v>
      </c>
      <c r="D103" s="35">
        <f>IF($M$22=4,D102+'Auto X'!$E$6,D$48)</f>
        <v>2.5999999999999999E-2</v>
      </c>
      <c r="E103" s="35">
        <f>IF($M$22=5,E102+'Auto X'!$E$6,E$48)</f>
        <v>0.04</v>
      </c>
      <c r="F103" s="36">
        <f t="shared" si="117"/>
        <v>75</v>
      </c>
      <c r="G103" s="35">
        <f t="shared" si="404"/>
        <v>0.28399999999999997</v>
      </c>
      <c r="H103" s="197">
        <f t="shared" si="125"/>
        <v>169.23611111111677</v>
      </c>
      <c r="I103" s="41">
        <f t="shared" si="405"/>
        <v>0.46366057838662128</v>
      </c>
      <c r="J103" s="40">
        <f t="shared" ca="1" si="502"/>
        <v>0.14265630040152319</v>
      </c>
      <c r="K103" s="40">
        <f t="shared" si="503"/>
        <v>2.5189751902588361E-2</v>
      </c>
      <c r="L103" s="40">
        <f t="shared" si="504"/>
        <v>0.19338305926412305</v>
      </c>
      <c r="M103" s="42">
        <f t="shared" ca="1" si="505"/>
        <v>0.86794599766294411</v>
      </c>
      <c r="N103" s="42">
        <f t="shared" ca="1" si="506"/>
        <v>0.67456293839882109</v>
      </c>
      <c r="O103" s="42">
        <f t="shared" ca="1" si="507"/>
        <v>0.80728805182594054</v>
      </c>
      <c r="P103" s="42">
        <f t="shared" ca="1" si="508"/>
        <v>0.19271194817405948</v>
      </c>
      <c r="Q103" s="42">
        <f t="shared" ca="1" si="509"/>
        <v>0.75002325692216654</v>
      </c>
      <c r="R103" s="42">
        <f t="shared" ca="1" si="510"/>
        <v>0.24997674307783341</v>
      </c>
      <c r="S103" s="42">
        <f t="shared" si="511"/>
        <v>0.98162450344672281</v>
      </c>
      <c r="T103" s="42">
        <f t="shared" si="512"/>
        <v>73.621837758504213</v>
      </c>
      <c r="U103" s="42">
        <f t="shared" si="513"/>
        <v>0.98801719747153338</v>
      </c>
      <c r="V103" s="42">
        <f t="shared" ca="1" si="514"/>
        <v>85.463487581287637</v>
      </c>
      <c r="W103" s="42">
        <f t="shared" ca="1" si="515"/>
        <v>0.27373257286794206</v>
      </c>
      <c r="X103" s="42">
        <f t="shared" ca="1" si="516"/>
        <v>1.9339120327360604</v>
      </c>
      <c r="Y103" s="42">
        <f t="shared" ca="1" si="517"/>
        <v>-0.1904027189542136</v>
      </c>
      <c r="Z103" s="42">
        <f t="shared" ca="1" si="518"/>
        <v>1.6168005551465338E-2</v>
      </c>
      <c r="AA103" s="42">
        <f t="shared" ca="1" si="406"/>
        <v>-1.2522376359077672E-2</v>
      </c>
      <c r="AB103" s="42">
        <f t="shared" ca="1" si="519"/>
        <v>0.15929684606230846</v>
      </c>
      <c r="AC103" s="42">
        <f t="shared" ca="1" si="520"/>
        <v>-8.5330920815614525E-2</v>
      </c>
      <c r="AD103" s="42">
        <f t="shared" ca="1" si="420"/>
        <v>-833.04398363196981</v>
      </c>
      <c r="AF103" s="36">
        <f t="shared" si="118"/>
        <v>80</v>
      </c>
      <c r="AG103" s="35">
        <f t="shared" si="407"/>
        <v>0.28399999999999997</v>
      </c>
      <c r="AH103" s="197">
        <f t="shared" si="126"/>
        <v>169.23611111111677</v>
      </c>
      <c r="AI103" s="41">
        <f t="shared" si="408"/>
        <v>0.46366057838662128</v>
      </c>
      <c r="AJ103" s="40">
        <f t="shared" ca="1" si="521"/>
        <v>7.8117779263952067E-2</v>
      </c>
      <c r="AK103" s="40">
        <f t="shared" si="522"/>
        <v>2.5189751902588361E-2</v>
      </c>
      <c r="AL103" s="40">
        <f t="shared" si="523"/>
        <v>0.19338305926412305</v>
      </c>
      <c r="AM103" s="42">
        <f t="shared" ca="1" si="524"/>
        <v>0.53421189818619397</v>
      </c>
      <c r="AN103" s="42">
        <f t="shared" ca="1" si="525"/>
        <v>0.34082883892207094</v>
      </c>
      <c r="AO103" s="42">
        <f t="shared" ca="1" si="526"/>
        <v>0.70340253092637783</v>
      </c>
      <c r="AP103" s="42">
        <f t="shared" ca="1" si="527"/>
        <v>0.29659746907362211</v>
      </c>
      <c r="AQ103" s="42">
        <f t="shared" ca="1" si="528"/>
        <v>0.63338378068565859</v>
      </c>
      <c r="AR103" s="42">
        <f t="shared" ca="1" si="529"/>
        <v>0.36661621931434141</v>
      </c>
      <c r="AS103" s="42">
        <f t="shared" si="530"/>
        <v>0.98162450344672281</v>
      </c>
      <c r="AT103" s="42">
        <f t="shared" si="531"/>
        <v>78.529960275737821</v>
      </c>
      <c r="AU103" s="42">
        <f t="shared" si="532"/>
        <v>0.98801719747153338</v>
      </c>
      <c r="AV103" s="42">
        <f t="shared" ca="1" si="533"/>
        <v>85.463487581287637</v>
      </c>
      <c r="AW103" s="42">
        <f t="shared" ca="1" si="534"/>
        <v>0.34589164791382354</v>
      </c>
      <c r="AX103" s="42">
        <f t="shared" ca="1" si="535"/>
        <v>3.44210302438157</v>
      </c>
      <c r="AY103" s="42">
        <f t="shared" ca="1" si="536"/>
        <v>-0.29304340017126995</v>
      </c>
      <c r="AZ103" s="42">
        <f t="shared" ca="1" si="537"/>
        <v>2.0430078982139065E-2</v>
      </c>
      <c r="BA103" s="42">
        <f t="shared" ca="1" si="409"/>
        <v>-1.5539993727008105E-2</v>
      </c>
      <c r="BB103" s="42">
        <f t="shared" ca="1" si="538"/>
        <v>0.20128933876842051</v>
      </c>
      <c r="BC103" s="42">
        <f t="shared" ca="1" si="539"/>
        <v>-0.13348953643117201</v>
      </c>
      <c r="BD103" s="42">
        <f t="shared" ca="1" si="421"/>
        <v>1103.9484878092151</v>
      </c>
      <c r="BE103" s="40"/>
      <c r="BF103" s="36">
        <f t="shared" si="119"/>
        <v>90</v>
      </c>
      <c r="BG103" s="35">
        <f t="shared" si="410"/>
        <v>0.28399999999999997</v>
      </c>
      <c r="BH103" s="197">
        <f t="shared" si="127"/>
        <v>169.23611111111677</v>
      </c>
      <c r="BI103" s="41">
        <f t="shared" si="411"/>
        <v>0.46366057838662128</v>
      </c>
      <c r="BJ103" s="40">
        <f t="shared" ca="1" si="540"/>
        <v>-3.9665256392431403E-2</v>
      </c>
      <c r="BK103" s="40">
        <f t="shared" si="541"/>
        <v>2.5189751902588361E-2</v>
      </c>
      <c r="BL103" s="40">
        <f t="shared" si="542"/>
        <v>0.19338305926412305</v>
      </c>
      <c r="BM103" s="42">
        <f t="shared" ca="1" si="543"/>
        <v>-7.4854046393341839E-2</v>
      </c>
      <c r="BN103" s="42">
        <f t="shared" ca="1" si="544"/>
        <v>-0.26823710565746489</v>
      </c>
      <c r="BO103" s="42">
        <f t="shared" ca="1" si="545"/>
        <v>0.47016541979582754</v>
      </c>
      <c r="BP103" s="42">
        <f t="shared" ca="1" si="546"/>
        <v>0.5298345802041724</v>
      </c>
      <c r="BQ103" s="42">
        <f t="shared" ca="1" si="547"/>
        <v>0.39425840749177882</v>
      </c>
      <c r="BR103" s="42">
        <f t="shared" ca="1" si="548"/>
        <v>0.60574159250822124</v>
      </c>
      <c r="BS103" s="42">
        <f t="shared" si="549"/>
        <v>0.98162450344672281</v>
      </c>
      <c r="BT103" s="42">
        <f t="shared" si="550"/>
        <v>88.34620531020505</v>
      </c>
      <c r="BU103" s="42">
        <f t="shared" si="551"/>
        <v>0.98801719747153338</v>
      </c>
      <c r="BV103" s="42">
        <f t="shared" ca="1" si="552"/>
        <v>85.463487581287637</v>
      </c>
      <c r="BW103" s="42">
        <f t="shared" ca="1" si="553"/>
        <v>0.39782618215882953</v>
      </c>
      <c r="BX103" s="42">
        <f t="shared" ca="1" si="554"/>
        <v>5.3507423023284204</v>
      </c>
      <c r="BY103" s="42">
        <f t="shared" ca="1" si="555"/>
        <v>0.46453152041470053</v>
      </c>
      <c r="BZ103" s="42">
        <f t="shared" ca="1" si="556"/>
        <v>2.349759056539194E-2</v>
      </c>
      <c r="CA103" s="42">
        <f t="shared" ca="1" si="412"/>
        <v>-2.0380216792503597E-2</v>
      </c>
      <c r="CB103" s="42">
        <f t="shared" ca="1" si="557"/>
        <v>0.23151229477349772</v>
      </c>
      <c r="CC103" s="42">
        <f t="shared" ca="1" si="558"/>
        <v>0.161498702013713</v>
      </c>
      <c r="CD103" s="42">
        <f t="shared" ca="1" si="422"/>
        <v>724.62884883578965</v>
      </c>
      <c r="CE103" s="40"/>
      <c r="CF103" s="36">
        <f t="shared" si="120"/>
        <v>95</v>
      </c>
      <c r="CG103" s="35">
        <f t="shared" si="413"/>
        <v>0.28399999999999997</v>
      </c>
      <c r="CH103" s="197">
        <f t="shared" si="128"/>
        <v>169.23611111111677</v>
      </c>
      <c r="CI103" s="41">
        <f t="shared" si="414"/>
        <v>0.46366057838662128</v>
      </c>
      <c r="CJ103" s="40">
        <f t="shared" ca="1" si="559"/>
        <v>-9.3732477662707134E-2</v>
      </c>
      <c r="CK103" s="40">
        <f t="shared" si="560"/>
        <v>2.5189751902588361E-2</v>
      </c>
      <c r="CL103" s="40">
        <f t="shared" si="561"/>
        <v>0.19338305926412305</v>
      </c>
      <c r="CM103" s="42">
        <f t="shared" ca="1" si="562"/>
        <v>-0.35444017702968983</v>
      </c>
      <c r="CN103" s="42">
        <f t="shared" ca="1" si="563"/>
        <v>-0.54782323629381291</v>
      </c>
      <c r="CO103" s="42">
        <f t="shared" ca="1" si="564"/>
        <v>0.36150451469069111</v>
      </c>
      <c r="CP103" s="42">
        <f t="shared" ca="1" si="565"/>
        <v>0.63849548530930889</v>
      </c>
      <c r="CQ103" s="42">
        <f t="shared" ca="1" si="566"/>
        <v>0.29190664098055041</v>
      </c>
      <c r="CR103" s="42">
        <f t="shared" ca="1" si="567"/>
        <v>0.70809335901944959</v>
      </c>
      <c r="CS103" s="42">
        <f t="shared" si="568"/>
        <v>0.98162450344672281</v>
      </c>
      <c r="CT103" s="42">
        <f t="shared" si="569"/>
        <v>93.254327827438672</v>
      </c>
      <c r="CU103" s="42">
        <f t="shared" si="570"/>
        <v>0.98801719747153338</v>
      </c>
      <c r="CV103" s="42">
        <f t="shared" ca="1" si="571"/>
        <v>85.463487581287637</v>
      </c>
      <c r="CW103" s="42">
        <f t="shared" ca="1" si="572"/>
        <v>0.37465395985440159</v>
      </c>
      <c r="CX103" s="42">
        <f t="shared" ca="1" si="573"/>
        <v>3.6738790088406006</v>
      </c>
      <c r="CY103" s="42">
        <f t="shared" ca="1" si="574"/>
        <v>0.35717267747800341</v>
      </c>
      <c r="CZ103" s="42">
        <f t="shared" ca="1" si="575"/>
        <v>2.2128924005426046E-2</v>
      </c>
      <c r="DA103" s="42">
        <f t="shared" ca="1" si="415"/>
        <v>-1.9076314893462981E-2</v>
      </c>
      <c r="DB103" s="42">
        <f t="shared" ca="1" si="576"/>
        <v>0.21802737447089701</v>
      </c>
      <c r="DC103" s="42">
        <f t="shared" ca="1" si="577"/>
        <v>0.12621563138158204</v>
      </c>
      <c r="DD103" s="42">
        <f t="shared" ca="1" si="423"/>
        <v>-738.06049557969993</v>
      </c>
      <c r="DE103" s="40"/>
      <c r="DF103" s="36">
        <f t="shared" si="121"/>
        <v>200</v>
      </c>
      <c r="DG103" s="35">
        <f t="shared" si="416"/>
        <v>0.28399999999999997</v>
      </c>
      <c r="DH103" s="197">
        <f t="shared" si="129"/>
        <v>169.23611111111677</v>
      </c>
      <c r="DI103" s="41">
        <f t="shared" si="417"/>
        <v>0.46366057838662128</v>
      </c>
      <c r="DJ103" s="40">
        <f t="shared" ca="1" si="578"/>
        <v>-0.83817295261020308</v>
      </c>
      <c r="DK103" s="40">
        <f t="shared" si="579"/>
        <v>2.5189751902588361E-2</v>
      </c>
      <c r="DL103" s="40">
        <f t="shared" si="580"/>
        <v>0.19338305926412305</v>
      </c>
      <c r="DM103" s="42">
        <f t="shared" ca="1" si="581"/>
        <v>-4.2040042380198379</v>
      </c>
      <c r="DN103" s="42">
        <f t="shared" ca="1" si="582"/>
        <v>-4.3973872972839612</v>
      </c>
      <c r="DO103" s="42">
        <f t="shared" ca="1" si="583"/>
        <v>1.3111701172388889E-5</v>
      </c>
      <c r="DP103" s="42">
        <f t="shared" ca="1" si="584"/>
        <v>0.99998688829882765</v>
      </c>
      <c r="DQ103" s="42">
        <f t="shared" ca="1" si="585"/>
        <v>5.4780871128128966E-6</v>
      </c>
      <c r="DR103" s="42">
        <f t="shared" ca="1" si="586"/>
        <v>0.99999452191288718</v>
      </c>
      <c r="DS103" s="42">
        <f t="shared" si="587"/>
        <v>0.98162450344672281</v>
      </c>
      <c r="DT103" s="42">
        <f t="shared" si="588"/>
        <v>196.32490068934456</v>
      </c>
      <c r="DU103" s="42">
        <f t="shared" si="589"/>
        <v>0.98801719747153338</v>
      </c>
      <c r="DV103" s="42">
        <f t="shared" ca="1" si="590"/>
        <v>85.463487581287637</v>
      </c>
      <c r="DW103" s="42">
        <f t="shared" ca="1" si="591"/>
        <v>5.7959599536195881E-5</v>
      </c>
      <c r="DX103" s="42">
        <f t="shared" si="592"/>
        <v>0</v>
      </c>
      <c r="DY103" s="92">
        <f t="shared" si="593"/>
        <v>0</v>
      </c>
      <c r="DZ103" s="42">
        <f t="shared" si="594"/>
        <v>0</v>
      </c>
      <c r="EA103" s="42">
        <f t="shared" si="418"/>
        <v>0</v>
      </c>
      <c r="EB103" s="42">
        <f t="shared" si="595"/>
        <v>0</v>
      </c>
      <c r="EC103" s="42">
        <f t="shared" si="596"/>
        <v>0</v>
      </c>
      <c r="ED103" s="42">
        <f t="shared" ca="1" si="424"/>
        <v>0</v>
      </c>
      <c r="EE103" s="40"/>
      <c r="EF103" s="120">
        <f t="shared" ca="1" si="130"/>
        <v>86.5</v>
      </c>
      <c r="EG103" s="42">
        <f t="shared" ca="1" si="597"/>
        <v>257.47285743333498</v>
      </c>
      <c r="EH103" s="36">
        <f t="shared" ca="1" si="419"/>
        <v>257.47285743333498</v>
      </c>
      <c r="EI103" s="36">
        <f t="shared" ca="1" si="124"/>
        <v>-0.82499999999999996</v>
      </c>
      <c r="EJ103" s="153">
        <f t="shared" ca="1" si="131"/>
        <v>-1</v>
      </c>
      <c r="EK103" s="153" t="str">
        <f t="shared" ca="1" si="229"/>
        <v/>
      </c>
      <c r="EL103" s="153" t="str">
        <f t="shared" ca="1" si="501"/>
        <v/>
      </c>
      <c r="EM103" s="153">
        <f t="shared" ca="1" si="230"/>
        <v>2</v>
      </c>
      <c r="EN103" s="153">
        <f t="shared" ca="1" si="231"/>
        <v>0</v>
      </c>
    </row>
    <row r="104" spans="1:146" x14ac:dyDescent="0.3">
      <c r="A104" s="36">
        <f ca="1">IF($M$22=1,A103+'Auto X'!$E$6,A$48)</f>
        <v>87</v>
      </c>
      <c r="B104" s="35">
        <f>IF($M$22=2,B103+'Auto X'!$E$6,B$48)</f>
        <v>0.28399999999999997</v>
      </c>
      <c r="C104" s="39">
        <f>IF($M$22=3,C103+'Auto X'!$E$6,C$48)</f>
        <v>45295.440972222219</v>
      </c>
      <c r="D104" s="35">
        <f>IF($M$22=4,D103+'Auto X'!$E$6,D$48)</f>
        <v>2.5999999999999999E-2</v>
      </c>
      <c r="E104" s="35">
        <f>IF($M$22=5,E103+'Auto X'!$E$6,E$48)</f>
        <v>0.04</v>
      </c>
      <c r="F104" s="36">
        <f t="shared" si="117"/>
        <v>75</v>
      </c>
      <c r="G104" s="35">
        <f t="shared" si="404"/>
        <v>0.28399999999999997</v>
      </c>
      <c r="H104" s="197">
        <f t="shared" si="125"/>
        <v>169.23611111111677</v>
      </c>
      <c r="I104" s="41">
        <f t="shared" si="405"/>
        <v>0.46366057838662128</v>
      </c>
      <c r="J104" s="40">
        <f t="shared" ca="1" si="502"/>
        <v>0.14842000511827322</v>
      </c>
      <c r="K104" s="40">
        <f t="shared" si="503"/>
        <v>2.5189751902588361E-2</v>
      </c>
      <c r="L104" s="40">
        <f t="shared" si="504"/>
        <v>0.19338305926412305</v>
      </c>
      <c r="M104" s="42">
        <f t="shared" ca="1" si="505"/>
        <v>0.89775059760402764</v>
      </c>
      <c r="N104" s="42">
        <f t="shared" ca="1" si="506"/>
        <v>0.70436753833990462</v>
      </c>
      <c r="O104" s="42">
        <f t="shared" ca="1" si="507"/>
        <v>0.8153407360975462</v>
      </c>
      <c r="P104" s="42">
        <f t="shared" ca="1" si="508"/>
        <v>0.18465926390245385</v>
      </c>
      <c r="Q104" s="42">
        <f t="shared" ca="1" si="509"/>
        <v>0.75939804187169468</v>
      </c>
      <c r="R104" s="42">
        <f t="shared" ca="1" si="510"/>
        <v>0.24060195812830532</v>
      </c>
      <c r="S104" s="42">
        <f t="shared" si="511"/>
        <v>0.98162450344672281</v>
      </c>
      <c r="T104" s="42">
        <f t="shared" si="512"/>
        <v>73.621837758504213</v>
      </c>
      <c r="U104" s="42">
        <f t="shared" si="513"/>
        <v>0.98801719747153338</v>
      </c>
      <c r="V104" s="42">
        <f t="shared" ca="1" si="514"/>
        <v>85.957496180023398</v>
      </c>
      <c r="W104" s="42">
        <f t="shared" ca="1" si="515"/>
        <v>0.266623800519948</v>
      </c>
      <c r="X104" s="42">
        <f t="shared" ca="1" si="516"/>
        <v>1.840710354199409</v>
      </c>
      <c r="Y104" s="42">
        <f t="shared" ca="1" si="517"/>
        <v>-0.18244652840805869</v>
      </c>
      <c r="Z104" s="42">
        <f t="shared" ca="1" si="518"/>
        <v>1.5657619670866631E-2</v>
      </c>
      <c r="AA104" s="42">
        <f t="shared" ca="1" si="406"/>
        <v>-1.2283629461428252E-2</v>
      </c>
      <c r="AB104" s="42">
        <f t="shared" ca="1" si="519"/>
        <v>0.15605682166735219</v>
      </c>
      <c r="AC104" s="42">
        <f t="shared" ca="1" si="520"/>
        <v>-8.2130786985794527E-2</v>
      </c>
      <c r="AD104" s="42">
        <f t="shared" ca="1" si="420"/>
        <v>-879.64482290029559</v>
      </c>
      <c r="AF104" s="36">
        <f t="shared" si="118"/>
        <v>80</v>
      </c>
      <c r="AG104" s="35">
        <f t="shared" si="407"/>
        <v>0.28399999999999997</v>
      </c>
      <c r="AH104" s="197">
        <f t="shared" si="126"/>
        <v>169.23611111111677</v>
      </c>
      <c r="AI104" s="41">
        <f t="shared" si="408"/>
        <v>0.46366057838662128</v>
      </c>
      <c r="AJ104" s="40">
        <f t="shared" ca="1" si="521"/>
        <v>8.3881483980702026E-2</v>
      </c>
      <c r="AK104" s="40">
        <f t="shared" si="522"/>
        <v>2.5189751902588361E-2</v>
      </c>
      <c r="AL104" s="40">
        <f t="shared" si="523"/>
        <v>0.19338305926412305</v>
      </c>
      <c r="AM104" s="42">
        <f t="shared" ca="1" si="524"/>
        <v>0.56401649812727717</v>
      </c>
      <c r="AN104" s="42">
        <f t="shared" ca="1" si="525"/>
        <v>0.37063343886315414</v>
      </c>
      <c r="AO104" s="42">
        <f t="shared" ca="1" si="526"/>
        <v>0.71362854788511754</v>
      </c>
      <c r="AP104" s="42">
        <f t="shared" ca="1" si="527"/>
        <v>0.28637145211488246</v>
      </c>
      <c r="AQ104" s="42">
        <f t="shared" ca="1" si="528"/>
        <v>0.64454471371643773</v>
      </c>
      <c r="AR104" s="42">
        <f t="shared" ca="1" si="529"/>
        <v>0.35545528628356232</v>
      </c>
      <c r="AS104" s="42">
        <f t="shared" si="530"/>
        <v>0.98162450344672281</v>
      </c>
      <c r="AT104" s="42">
        <f t="shared" si="531"/>
        <v>78.529960275737821</v>
      </c>
      <c r="AU104" s="42">
        <f t="shared" si="532"/>
        <v>0.98801719747153338</v>
      </c>
      <c r="AV104" s="42">
        <f t="shared" ca="1" si="533"/>
        <v>85.957496180023398</v>
      </c>
      <c r="AW104" s="42">
        <f t="shared" ca="1" si="534"/>
        <v>0.34027681247262148</v>
      </c>
      <c r="AX104" s="42">
        <f t="shared" ca="1" si="535"/>
        <v>3.2981165104163992</v>
      </c>
      <c r="AY104" s="42">
        <f t="shared" ca="1" si="536"/>
        <v>-0.28293991955439957</v>
      </c>
      <c r="AZ104" s="42">
        <f t="shared" ca="1" si="537"/>
        <v>1.998293063905409E-2</v>
      </c>
      <c r="BA104" s="42">
        <f t="shared" ca="1" si="409"/>
        <v>-1.5405744824395608E-2</v>
      </c>
      <c r="BB104" s="42">
        <f t="shared" ca="1" si="538"/>
        <v>0.19916645752561749</v>
      </c>
      <c r="BC104" s="42">
        <f t="shared" ca="1" si="539"/>
        <v>-0.12942570155991492</v>
      </c>
      <c r="BD104" s="42">
        <f t="shared" ca="1" si="421"/>
        <v>1175.9417447918006</v>
      </c>
      <c r="BE104" s="40"/>
      <c r="BF104" s="36">
        <f t="shared" si="119"/>
        <v>90</v>
      </c>
      <c r="BG104" s="35">
        <f t="shared" si="410"/>
        <v>0.28399999999999997</v>
      </c>
      <c r="BH104" s="197">
        <f t="shared" si="127"/>
        <v>169.23611111111677</v>
      </c>
      <c r="BI104" s="41">
        <f t="shared" si="411"/>
        <v>0.46366057838662128</v>
      </c>
      <c r="BJ104" s="40">
        <f t="shared" ca="1" si="540"/>
        <v>-3.3901551675681339E-2</v>
      </c>
      <c r="BK104" s="40">
        <f t="shared" si="541"/>
        <v>2.5189751902588361E-2</v>
      </c>
      <c r="BL104" s="40">
        <f t="shared" si="542"/>
        <v>0.19338305926412305</v>
      </c>
      <c r="BM104" s="42">
        <f t="shared" ca="1" si="543"/>
        <v>-4.5049446452258161E-2</v>
      </c>
      <c r="BN104" s="42">
        <f t="shared" ca="1" si="544"/>
        <v>-0.23843250571638122</v>
      </c>
      <c r="BO104" s="42">
        <f t="shared" ca="1" si="545"/>
        <v>0.48203394818212258</v>
      </c>
      <c r="BP104" s="42">
        <f t="shared" ca="1" si="546"/>
        <v>0.51796605181787747</v>
      </c>
      <c r="BQ104" s="42">
        <f t="shared" ca="1" si="547"/>
        <v>0.40577282918276592</v>
      </c>
      <c r="BR104" s="42">
        <f t="shared" ca="1" si="548"/>
        <v>0.59422717081723408</v>
      </c>
      <c r="BS104" s="42">
        <f t="shared" si="549"/>
        <v>0.98162450344672281</v>
      </c>
      <c r="BT104" s="42">
        <f t="shared" si="550"/>
        <v>88.34620531020505</v>
      </c>
      <c r="BU104" s="42">
        <f t="shared" si="551"/>
        <v>0.98801719747153338</v>
      </c>
      <c r="BV104" s="42">
        <f t="shared" ca="1" si="552"/>
        <v>85.957496180023398</v>
      </c>
      <c r="BW104" s="42">
        <f t="shared" ca="1" si="553"/>
        <v>0.39853766849210348</v>
      </c>
      <c r="BX104" s="42">
        <f t="shared" ca="1" si="554"/>
        <v>5.5859415832229971</v>
      </c>
      <c r="BY104" s="42">
        <f t="shared" ca="1" si="555"/>
        <v>0.47625783056903909</v>
      </c>
      <c r="BZ104" s="42">
        <f t="shared" ca="1" si="556"/>
        <v>2.340432934192015E-2</v>
      </c>
      <c r="CA104" s="42">
        <f t="shared" ca="1" si="412"/>
        <v>-2.0549708117333438E-2</v>
      </c>
      <c r="CB104" s="42">
        <f t="shared" ca="1" si="557"/>
        <v>0.23326695418153906</v>
      </c>
      <c r="CC104" s="42">
        <f t="shared" ca="1" si="558"/>
        <v>0.16621531457592384</v>
      </c>
      <c r="CD104" s="42">
        <f t="shared" ca="1" si="422"/>
        <v>607.02920838850139</v>
      </c>
      <c r="CE104" s="40"/>
      <c r="CF104" s="36">
        <f t="shared" si="120"/>
        <v>95</v>
      </c>
      <c r="CG104" s="35">
        <f t="shared" si="413"/>
        <v>0.28399999999999997</v>
      </c>
      <c r="CH104" s="197">
        <f t="shared" si="128"/>
        <v>169.23611111111677</v>
      </c>
      <c r="CI104" s="41">
        <f t="shared" si="414"/>
        <v>0.46366057838662128</v>
      </c>
      <c r="CJ104" s="40">
        <f t="shared" ca="1" si="559"/>
        <v>-8.796877294595716E-2</v>
      </c>
      <c r="CK104" s="40">
        <f t="shared" si="560"/>
        <v>2.5189751902588361E-2</v>
      </c>
      <c r="CL104" s="40">
        <f t="shared" si="561"/>
        <v>0.19338305926412305</v>
      </c>
      <c r="CM104" s="42">
        <f t="shared" ca="1" si="562"/>
        <v>-0.32463557708860663</v>
      </c>
      <c r="CN104" s="42">
        <f t="shared" ca="1" si="563"/>
        <v>-0.51801863635272971</v>
      </c>
      <c r="CO104" s="42">
        <f t="shared" ca="1" si="564"/>
        <v>0.37272844886741757</v>
      </c>
      <c r="CP104" s="42">
        <f t="shared" ca="1" si="565"/>
        <v>0.62727155113258237</v>
      </c>
      <c r="CQ104" s="42">
        <f t="shared" ca="1" si="566"/>
        <v>0.30222263332241872</v>
      </c>
      <c r="CR104" s="42">
        <f t="shared" ca="1" si="567"/>
        <v>0.69777736667758128</v>
      </c>
      <c r="CS104" s="42">
        <f t="shared" si="568"/>
        <v>0.98162450344672281</v>
      </c>
      <c r="CT104" s="42">
        <f t="shared" si="569"/>
        <v>93.254327827438672</v>
      </c>
      <c r="CU104" s="42">
        <f t="shared" si="570"/>
        <v>0.98801719747153338</v>
      </c>
      <c r="CV104" s="42">
        <f t="shared" ca="1" si="571"/>
        <v>85.957496180023398</v>
      </c>
      <c r="CW104" s="42">
        <f t="shared" ca="1" si="572"/>
        <v>0.37846462853571944</v>
      </c>
      <c r="CX104" s="42">
        <f t="shared" ca="1" si="573"/>
        <v>3.8552356949864617</v>
      </c>
      <c r="CY104" s="42">
        <f t="shared" ca="1" si="574"/>
        <v>0.36826211746789766</v>
      </c>
      <c r="CZ104" s="42">
        <f t="shared" ca="1" si="575"/>
        <v>2.2225529757403478E-2</v>
      </c>
      <c r="DA104" s="42">
        <f t="shared" ca="1" si="415"/>
        <v>-1.9393186389097535E-2</v>
      </c>
      <c r="DB104" s="42">
        <f t="shared" ca="1" si="576"/>
        <v>0.22151806000672708</v>
      </c>
      <c r="DC104" s="42">
        <f t="shared" ca="1" si="577"/>
        <v>0.13067609683170939</v>
      </c>
      <c r="DD104" s="42">
        <f t="shared" ca="1" si="423"/>
        <v>-647.38215250676933</v>
      </c>
      <c r="DE104" s="40"/>
      <c r="DF104" s="36">
        <f t="shared" si="121"/>
        <v>200</v>
      </c>
      <c r="DG104" s="35">
        <f t="shared" si="416"/>
        <v>0.28399999999999997</v>
      </c>
      <c r="DH104" s="197">
        <f t="shared" si="129"/>
        <v>169.23611111111677</v>
      </c>
      <c r="DI104" s="41">
        <f t="shared" si="417"/>
        <v>0.46366057838662128</v>
      </c>
      <c r="DJ104" s="40">
        <f t="shared" ca="1" si="578"/>
        <v>-0.83240924789345294</v>
      </c>
      <c r="DK104" s="40">
        <f t="shared" si="579"/>
        <v>2.5189751902588361E-2</v>
      </c>
      <c r="DL104" s="40">
        <f t="shared" si="580"/>
        <v>0.19338305926412305</v>
      </c>
      <c r="DM104" s="42">
        <f t="shared" ca="1" si="581"/>
        <v>-4.174199638078754</v>
      </c>
      <c r="DN104" s="42">
        <f t="shared" ca="1" si="582"/>
        <v>-4.3675826973428773</v>
      </c>
      <c r="DO104" s="42">
        <f t="shared" ca="1" si="583"/>
        <v>1.4951772572005435E-5</v>
      </c>
      <c r="DP104" s="42">
        <f t="shared" ca="1" si="584"/>
        <v>0.99998504822742795</v>
      </c>
      <c r="DQ104" s="42">
        <f t="shared" ca="1" si="585"/>
        <v>6.2814617372594508E-6</v>
      </c>
      <c r="DR104" s="42">
        <f t="shared" ca="1" si="586"/>
        <v>0.99999371853826269</v>
      </c>
      <c r="DS104" s="42">
        <f t="shared" si="587"/>
        <v>0.98162450344672281</v>
      </c>
      <c r="DT104" s="42">
        <f t="shared" si="588"/>
        <v>196.32490068934456</v>
      </c>
      <c r="DU104" s="42">
        <f t="shared" si="589"/>
        <v>0.98801719747153338</v>
      </c>
      <c r="DV104" s="42">
        <f t="shared" ca="1" si="590"/>
        <v>85.957496180023398</v>
      </c>
      <c r="DW104" s="42">
        <f t="shared" ca="1" si="591"/>
        <v>6.5667275755491541E-5</v>
      </c>
      <c r="DX104" s="42">
        <f t="shared" si="592"/>
        <v>0</v>
      </c>
      <c r="DY104" s="92">
        <f t="shared" si="593"/>
        <v>0</v>
      </c>
      <c r="DZ104" s="42">
        <f t="shared" si="594"/>
        <v>0</v>
      </c>
      <c r="EA104" s="42">
        <f t="shared" si="418"/>
        <v>0</v>
      </c>
      <c r="EB104" s="42">
        <f t="shared" si="595"/>
        <v>0</v>
      </c>
      <c r="EC104" s="42">
        <f t="shared" si="596"/>
        <v>0</v>
      </c>
      <c r="ED104" s="42">
        <f t="shared" ca="1" si="424"/>
        <v>0</v>
      </c>
      <c r="EE104" s="40"/>
      <c r="EF104" s="120">
        <f t="shared" ca="1" si="130"/>
        <v>87</v>
      </c>
      <c r="EG104" s="42">
        <f t="shared" ca="1" si="597"/>
        <v>255.94397777323707</v>
      </c>
      <c r="EH104" s="36">
        <f t="shared" ca="1" si="419"/>
        <v>255.94397777323707</v>
      </c>
      <c r="EI104" s="36">
        <f t="shared" ca="1" si="124"/>
        <v>-1.5289999999999999</v>
      </c>
      <c r="EJ104" s="153">
        <f t="shared" ca="1" si="131"/>
        <v>-1</v>
      </c>
      <c r="EK104" s="153" t="str">
        <f t="shared" ca="1" si="229"/>
        <v/>
      </c>
      <c r="EL104" s="153" t="str">
        <f t="shared" ca="1" si="501"/>
        <v/>
      </c>
      <c r="EM104" s="153">
        <f t="shared" ca="1" si="230"/>
        <v>2</v>
      </c>
      <c r="EN104" s="153">
        <f t="shared" ca="1" si="231"/>
        <v>0</v>
      </c>
    </row>
    <row r="105" spans="1:146" x14ac:dyDescent="0.3">
      <c r="A105" s="36">
        <f ca="1">IF($M$22=1,A104+'Auto X'!$E$6,A$48)</f>
        <v>87.5</v>
      </c>
      <c r="B105" s="35">
        <f>IF($M$22=2,B104+'Auto X'!$E$6,B$48)</f>
        <v>0.28399999999999997</v>
      </c>
      <c r="C105" s="39">
        <f>IF($M$22=3,C104+'Auto X'!$E$6,C$48)</f>
        <v>45295.440972222219</v>
      </c>
      <c r="D105" s="35">
        <f>IF($M$22=4,D104+'Auto X'!$E$6,D$48)</f>
        <v>2.5999999999999999E-2</v>
      </c>
      <c r="E105" s="35">
        <f>IF($M$22=5,E104+'Auto X'!$E$6,E$48)</f>
        <v>0.04</v>
      </c>
      <c r="F105" s="36">
        <f t="shared" si="117"/>
        <v>75</v>
      </c>
      <c r="G105" s="35">
        <f t="shared" si="404"/>
        <v>0.28399999999999997</v>
      </c>
      <c r="H105" s="197">
        <f t="shared" si="125"/>
        <v>169.23611111111677</v>
      </c>
      <c r="I105" s="41">
        <f t="shared" si="405"/>
        <v>0.46366057838662128</v>
      </c>
      <c r="J105" s="40">
        <f t="shared" ca="1" si="502"/>
        <v>0.15415067982725836</v>
      </c>
      <c r="K105" s="40">
        <f t="shared" si="503"/>
        <v>2.5189751902588361E-2</v>
      </c>
      <c r="L105" s="40">
        <f t="shared" si="504"/>
        <v>0.19338305926412305</v>
      </c>
      <c r="M105" s="42">
        <f t="shared" ca="1" si="505"/>
        <v>0.92738439660789063</v>
      </c>
      <c r="N105" s="42">
        <f t="shared" ca="1" si="506"/>
        <v>0.7340013373437676</v>
      </c>
      <c r="O105" s="42">
        <f t="shared" ca="1" si="507"/>
        <v>0.82313650546214867</v>
      </c>
      <c r="P105" s="42">
        <f t="shared" ca="1" si="508"/>
        <v>0.17686349453785136</v>
      </c>
      <c r="Q105" s="42">
        <f t="shared" ca="1" si="509"/>
        <v>0.76852603849196643</v>
      </c>
      <c r="R105" s="42">
        <f t="shared" ca="1" si="510"/>
        <v>0.23147396150803359</v>
      </c>
      <c r="S105" s="42">
        <f t="shared" si="511"/>
        <v>0.98162450344672281</v>
      </c>
      <c r="T105" s="42">
        <f t="shared" si="512"/>
        <v>73.621837758504213</v>
      </c>
      <c r="U105" s="42">
        <f t="shared" si="513"/>
        <v>0.98801719747153338</v>
      </c>
      <c r="V105" s="42">
        <f t="shared" ca="1" si="514"/>
        <v>86.451504778759173</v>
      </c>
      <c r="W105" s="42">
        <f t="shared" ca="1" si="515"/>
        <v>0.25951015537715316</v>
      </c>
      <c r="X105" s="42">
        <f t="shared" ca="1" si="516"/>
        <v>1.7514231962355957</v>
      </c>
      <c r="Y105" s="42">
        <f t="shared" ca="1" si="517"/>
        <v>-0.17474417420830973</v>
      </c>
      <c r="Z105" s="42">
        <f t="shared" ca="1" si="518"/>
        <v>1.5152782249567292E-2</v>
      </c>
      <c r="AA105" s="42">
        <f t="shared" ca="1" si="406"/>
        <v>-1.2039653279724945E-2</v>
      </c>
      <c r="AB105" s="42">
        <f t="shared" ca="1" si="519"/>
        <v>0.15276610333488205</v>
      </c>
      <c r="AC105" s="42">
        <f t="shared" ca="1" si="520"/>
        <v>-7.901489569439113E-2</v>
      </c>
      <c r="AD105" s="42">
        <f t="shared" ca="1" si="420"/>
        <v>-924.28840188220215</v>
      </c>
      <c r="AF105" s="36">
        <f t="shared" si="118"/>
        <v>80</v>
      </c>
      <c r="AG105" s="35">
        <f t="shared" si="407"/>
        <v>0.28399999999999997</v>
      </c>
      <c r="AH105" s="197">
        <f t="shared" si="126"/>
        <v>169.23611111111677</v>
      </c>
      <c r="AI105" s="41">
        <f t="shared" si="408"/>
        <v>0.46366057838662128</v>
      </c>
      <c r="AJ105" s="40">
        <f t="shared" ca="1" si="521"/>
        <v>8.9612158689687138E-2</v>
      </c>
      <c r="AK105" s="40">
        <f t="shared" si="522"/>
        <v>2.5189751902588361E-2</v>
      </c>
      <c r="AL105" s="40">
        <f t="shared" si="523"/>
        <v>0.19338305926412305</v>
      </c>
      <c r="AM105" s="42">
        <f t="shared" ca="1" si="524"/>
        <v>0.59365029713113993</v>
      </c>
      <c r="AN105" s="42">
        <f t="shared" ca="1" si="525"/>
        <v>0.4002672378670169</v>
      </c>
      <c r="AO105" s="42">
        <f t="shared" ca="1" si="526"/>
        <v>0.72362698361088007</v>
      </c>
      <c r="AP105" s="42">
        <f t="shared" ca="1" si="527"/>
        <v>0.27637301638911993</v>
      </c>
      <c r="AQ105" s="42">
        <f t="shared" ca="1" si="528"/>
        <v>0.6555201520760392</v>
      </c>
      <c r="AR105" s="42">
        <f t="shared" ca="1" si="529"/>
        <v>0.3444798479239608</v>
      </c>
      <c r="AS105" s="42">
        <f t="shared" si="530"/>
        <v>0.98162450344672281</v>
      </c>
      <c r="AT105" s="42">
        <f t="shared" si="531"/>
        <v>78.529960275737821</v>
      </c>
      <c r="AU105" s="42">
        <f t="shared" si="532"/>
        <v>0.98801719747153338</v>
      </c>
      <c r="AV105" s="42">
        <f t="shared" ca="1" si="533"/>
        <v>86.451504778759173</v>
      </c>
      <c r="AW105" s="42">
        <f t="shared" ca="1" si="534"/>
        <v>0.33448980746103185</v>
      </c>
      <c r="AX105" s="42">
        <f t="shared" ca="1" si="535"/>
        <v>3.1591256261767597</v>
      </c>
      <c r="AY105" s="42">
        <f t="shared" ca="1" si="536"/>
        <v>-0.27306129310953242</v>
      </c>
      <c r="AZ105" s="42">
        <f t="shared" ca="1" si="537"/>
        <v>1.9530839591963507E-2</v>
      </c>
      <c r="BA105" s="42">
        <f t="shared" ca="1" si="409"/>
        <v>-1.5258907772213408E-2</v>
      </c>
      <c r="BB105" s="42">
        <f t="shared" ca="1" si="538"/>
        <v>0.19690445029711326</v>
      </c>
      <c r="BC105" s="42">
        <f t="shared" ca="1" si="539"/>
        <v>-0.1254294076111851</v>
      </c>
      <c r="BD105" s="42">
        <f t="shared" ca="1" si="421"/>
        <v>1245.4371869116203</v>
      </c>
      <c r="BE105" s="40"/>
      <c r="BF105" s="36">
        <f t="shared" si="119"/>
        <v>90</v>
      </c>
      <c r="BG105" s="35">
        <f t="shared" si="410"/>
        <v>0.28399999999999997</v>
      </c>
      <c r="BH105" s="197">
        <f t="shared" si="127"/>
        <v>169.23611111111677</v>
      </c>
      <c r="BI105" s="41">
        <f t="shared" si="411"/>
        <v>0.46366057838662128</v>
      </c>
      <c r="BJ105" s="40">
        <f t="shared" ca="1" si="540"/>
        <v>-2.8170876966696335E-2</v>
      </c>
      <c r="BK105" s="40">
        <f t="shared" si="541"/>
        <v>2.5189751902588361E-2</v>
      </c>
      <c r="BL105" s="40">
        <f t="shared" si="542"/>
        <v>0.19338305926412305</v>
      </c>
      <c r="BM105" s="42">
        <f t="shared" ca="1" si="543"/>
        <v>-1.541564744839591E-2</v>
      </c>
      <c r="BN105" s="42">
        <f t="shared" ca="1" si="544"/>
        <v>-0.20879870671251896</v>
      </c>
      <c r="BO105" s="42">
        <f t="shared" ca="1" si="545"/>
        <v>0.49385029002579089</v>
      </c>
      <c r="BP105" s="42">
        <f t="shared" ca="1" si="546"/>
        <v>0.50614970997420916</v>
      </c>
      <c r="BQ105" s="42">
        <f t="shared" ca="1" si="547"/>
        <v>0.41730269048959812</v>
      </c>
      <c r="BR105" s="42">
        <f t="shared" ca="1" si="548"/>
        <v>0.58269730951040188</v>
      </c>
      <c r="BS105" s="42">
        <f t="shared" si="549"/>
        <v>0.98162450344672281</v>
      </c>
      <c r="BT105" s="42">
        <f t="shared" si="550"/>
        <v>88.34620531020505</v>
      </c>
      <c r="BU105" s="42">
        <f t="shared" si="551"/>
        <v>0.98801719747153338</v>
      </c>
      <c r="BV105" s="42">
        <f t="shared" ca="1" si="552"/>
        <v>86.451504778759173</v>
      </c>
      <c r="BW105" s="42">
        <f t="shared" ca="1" si="553"/>
        <v>0.39889488045969318</v>
      </c>
      <c r="BX105" s="42">
        <f t="shared" ca="1" si="554"/>
        <v>5.8269915376612786</v>
      </c>
      <c r="BY105" s="42">
        <f t="shared" ca="1" si="555"/>
        <v>0.48793257952178587</v>
      </c>
      <c r="BZ105" s="42">
        <f t="shared" ca="1" si="556"/>
        <v>2.3291447902254393E-2</v>
      </c>
      <c r="CA105" s="42">
        <f t="shared" ca="1" si="412"/>
        <v>-2.0701737854842955E-2</v>
      </c>
      <c r="CB105" s="42">
        <f t="shared" ca="1" si="557"/>
        <v>0.23481784918782317</v>
      </c>
      <c r="CC105" s="42">
        <f t="shared" ca="1" si="558"/>
        <v>0.17093825161434414</v>
      </c>
      <c r="CD105" s="42">
        <f t="shared" ca="1" si="422"/>
        <v>486.50423116936059</v>
      </c>
      <c r="CE105" s="40"/>
      <c r="CF105" s="36">
        <f t="shared" si="120"/>
        <v>95</v>
      </c>
      <c r="CG105" s="35">
        <f t="shared" si="413"/>
        <v>0.28399999999999997</v>
      </c>
      <c r="CH105" s="197">
        <f t="shared" si="128"/>
        <v>169.23611111111677</v>
      </c>
      <c r="CI105" s="41">
        <f t="shared" si="414"/>
        <v>0.46366057838662128</v>
      </c>
      <c r="CJ105" s="40">
        <f t="shared" ca="1" si="559"/>
        <v>-8.2238098236972118E-2</v>
      </c>
      <c r="CK105" s="40">
        <f t="shared" si="560"/>
        <v>2.5189751902588361E-2</v>
      </c>
      <c r="CL105" s="40">
        <f t="shared" si="561"/>
        <v>0.19338305926412305</v>
      </c>
      <c r="CM105" s="42">
        <f t="shared" ca="1" si="562"/>
        <v>-0.29500177808474415</v>
      </c>
      <c r="CN105" s="42">
        <f t="shared" ca="1" si="563"/>
        <v>-0.48838483734886717</v>
      </c>
      <c r="CO105" s="42">
        <f t="shared" ca="1" si="564"/>
        <v>0.38399626070437276</v>
      </c>
      <c r="CP105" s="42">
        <f t="shared" ca="1" si="565"/>
        <v>0.61600373929562724</v>
      </c>
      <c r="CQ105" s="42">
        <f t="shared" ca="1" si="566"/>
        <v>0.31263863989177987</v>
      </c>
      <c r="CR105" s="42">
        <f t="shared" ca="1" si="567"/>
        <v>0.68736136010822013</v>
      </c>
      <c r="CS105" s="42">
        <f t="shared" si="568"/>
        <v>0.98162450344672281</v>
      </c>
      <c r="CT105" s="42">
        <f t="shared" si="569"/>
        <v>93.254327827438672</v>
      </c>
      <c r="CU105" s="42">
        <f t="shared" si="570"/>
        <v>0.98801719747153338</v>
      </c>
      <c r="CV105" s="42">
        <f t="shared" ca="1" si="571"/>
        <v>86.451504778759173</v>
      </c>
      <c r="CW105" s="42">
        <f t="shared" ca="1" si="572"/>
        <v>0.38195535163577166</v>
      </c>
      <c r="CX105" s="42">
        <f t="shared" ca="1" si="573"/>
        <v>4.0421483513171488</v>
      </c>
      <c r="CY105" s="42">
        <f t="shared" ca="1" si="574"/>
        <v>0.37939490934068265</v>
      </c>
      <c r="CZ105" s="42">
        <f t="shared" ca="1" si="575"/>
        <v>2.2302349840538423E-2</v>
      </c>
      <c r="DA105" s="42">
        <f t="shared" ca="1" si="415"/>
        <v>-1.9696367793401632E-2</v>
      </c>
      <c r="DB105" s="42">
        <f t="shared" ca="1" si="576"/>
        <v>0.22484603977250953</v>
      </c>
      <c r="DC105" s="42">
        <f t="shared" ca="1" si="577"/>
        <v>0.1351798067891482</v>
      </c>
      <c r="DD105" s="42">
        <f t="shared" ca="1" si="423"/>
        <v>-553.92582434142582</v>
      </c>
      <c r="DE105" s="40"/>
      <c r="DF105" s="36">
        <f t="shared" si="121"/>
        <v>200</v>
      </c>
      <c r="DG105" s="35">
        <f t="shared" si="416"/>
        <v>0.28399999999999997</v>
      </c>
      <c r="DH105" s="197">
        <f t="shared" si="129"/>
        <v>169.23611111111677</v>
      </c>
      <c r="DI105" s="41">
        <f t="shared" si="417"/>
        <v>0.46366057838662128</v>
      </c>
      <c r="DJ105" s="40">
        <f t="shared" ca="1" si="578"/>
        <v>-0.82667857318446791</v>
      </c>
      <c r="DK105" s="40">
        <f t="shared" si="579"/>
        <v>2.5189751902588361E-2</v>
      </c>
      <c r="DL105" s="40">
        <f t="shared" si="580"/>
        <v>0.19338305926412305</v>
      </c>
      <c r="DM105" s="42">
        <f t="shared" ca="1" si="581"/>
        <v>-4.1445658390748914</v>
      </c>
      <c r="DN105" s="42">
        <f t="shared" ca="1" si="582"/>
        <v>-4.3379488983390146</v>
      </c>
      <c r="DO105" s="42">
        <f t="shared" ca="1" si="583"/>
        <v>1.7022906540638629E-5</v>
      </c>
      <c r="DP105" s="42">
        <f t="shared" ca="1" si="584"/>
        <v>0.9999829770934594</v>
      </c>
      <c r="DQ105" s="42">
        <f t="shared" ca="1" si="585"/>
        <v>7.1909290869788642E-6</v>
      </c>
      <c r="DR105" s="42">
        <f t="shared" ca="1" si="586"/>
        <v>0.99999280907091304</v>
      </c>
      <c r="DS105" s="42">
        <f t="shared" si="587"/>
        <v>0.98162450344672281</v>
      </c>
      <c r="DT105" s="42">
        <f t="shared" si="588"/>
        <v>196.32490068934456</v>
      </c>
      <c r="DU105" s="42">
        <f t="shared" si="589"/>
        <v>0.98801719747153338</v>
      </c>
      <c r="DV105" s="42">
        <f t="shared" ca="1" si="590"/>
        <v>86.451504778759173</v>
      </c>
      <c r="DW105" s="42">
        <f t="shared" ca="1" si="591"/>
        <v>7.4281284391175935E-5</v>
      </c>
      <c r="DX105" s="42">
        <f t="shared" si="592"/>
        <v>0</v>
      </c>
      <c r="DY105" s="92">
        <f t="shared" si="593"/>
        <v>0</v>
      </c>
      <c r="DZ105" s="42">
        <f t="shared" si="594"/>
        <v>0</v>
      </c>
      <c r="EA105" s="42">
        <f t="shared" si="418"/>
        <v>0</v>
      </c>
      <c r="EB105" s="42">
        <f t="shared" si="595"/>
        <v>0</v>
      </c>
      <c r="EC105" s="42">
        <f t="shared" si="596"/>
        <v>0</v>
      </c>
      <c r="ED105" s="42">
        <f t="shared" ca="1" si="424"/>
        <v>0</v>
      </c>
      <c r="EE105" s="40"/>
      <c r="EF105" s="120">
        <f t="shared" ca="1" si="130"/>
        <v>87.5</v>
      </c>
      <c r="EG105" s="42">
        <f t="shared" ca="1" si="597"/>
        <v>253.72719185735286</v>
      </c>
      <c r="EH105" s="36">
        <f t="shared" ca="1" si="419"/>
        <v>253.72719185735286</v>
      </c>
      <c r="EI105" s="36">
        <f t="shared" ca="1" si="124"/>
        <v>-2.2170000000000001</v>
      </c>
      <c r="EJ105" s="153">
        <f t="shared" ca="1" si="131"/>
        <v>-1</v>
      </c>
      <c r="EK105" s="153" t="str">
        <f t="shared" ca="1" si="229"/>
        <v/>
      </c>
      <c r="EL105" s="153" t="str">
        <f t="shared" ca="1" si="501"/>
        <v/>
      </c>
      <c r="EM105" s="153">
        <f t="shared" ca="1" si="230"/>
        <v>2</v>
      </c>
      <c r="EN105" s="153">
        <f t="shared" ca="1" si="231"/>
        <v>0</v>
      </c>
    </row>
    <row r="106" spans="1:146" x14ac:dyDescent="0.3">
      <c r="A106" s="36">
        <f ca="1">IF($M$22=1,A105+'Auto X'!$E$6,A$48)</f>
        <v>88</v>
      </c>
      <c r="B106" s="35">
        <f>IF($M$22=2,B105+'Auto X'!$E$6,B$48)</f>
        <v>0.28399999999999997</v>
      </c>
      <c r="C106" s="39">
        <f>IF($M$22=3,C105+'Auto X'!$E$6,C$48)</f>
        <v>45295.440972222219</v>
      </c>
      <c r="D106" s="35">
        <f>IF($M$22=4,D105+'Auto X'!$E$6,D$48)</f>
        <v>2.5999999999999999E-2</v>
      </c>
      <c r="E106" s="35">
        <f>IF($M$22=5,E105+'Auto X'!$E$6,E$48)</f>
        <v>0.04</v>
      </c>
      <c r="F106" s="36">
        <f t="shared" si="117"/>
        <v>75</v>
      </c>
      <c r="G106" s="35">
        <f t="shared" si="404"/>
        <v>0.28399999999999997</v>
      </c>
      <c r="H106" s="197">
        <f t="shared" si="125"/>
        <v>169.23611111111677</v>
      </c>
      <c r="I106" s="41">
        <f t="shared" si="405"/>
        <v>0.46366057838662128</v>
      </c>
      <c r="J106" s="40">
        <f t="shared" ca="1" si="502"/>
        <v>0.15984870094189604</v>
      </c>
      <c r="K106" s="40">
        <f t="shared" si="503"/>
        <v>2.5189751902588361E-2</v>
      </c>
      <c r="L106" s="40">
        <f t="shared" si="504"/>
        <v>0.19338305926412305</v>
      </c>
      <c r="M106" s="42">
        <f t="shared" ca="1" si="505"/>
        <v>0.95684934113984832</v>
      </c>
      <c r="N106" s="42">
        <f t="shared" ca="1" si="506"/>
        <v>0.76346628187572529</v>
      </c>
      <c r="O106" s="42">
        <f t="shared" ca="1" si="507"/>
        <v>0.83067834813208097</v>
      </c>
      <c r="P106" s="42">
        <f t="shared" ca="1" si="508"/>
        <v>0.16932165186791909</v>
      </c>
      <c r="Q106" s="42">
        <f t="shared" ca="1" si="509"/>
        <v>0.77740731811847041</v>
      </c>
      <c r="R106" s="42">
        <f t="shared" ca="1" si="510"/>
        <v>0.22259268188152956</v>
      </c>
      <c r="S106" s="42">
        <f t="shared" si="511"/>
        <v>0.98162450344672281</v>
      </c>
      <c r="T106" s="42">
        <f t="shared" si="512"/>
        <v>73.621837758504213</v>
      </c>
      <c r="U106" s="42">
        <f t="shared" si="513"/>
        <v>0.98801719747153338</v>
      </c>
      <c r="V106" s="42">
        <f t="shared" ca="1" si="514"/>
        <v>86.945513377494933</v>
      </c>
      <c r="W106" s="42">
        <f t="shared" ca="1" si="515"/>
        <v>0.2524053722121003</v>
      </c>
      <c r="X106" s="42">
        <f t="shared" ca="1" si="516"/>
        <v>1.6659243641306123</v>
      </c>
      <c r="Y106" s="42">
        <f t="shared" ca="1" si="517"/>
        <v>-0.16729270394979198</v>
      </c>
      <c r="Z106" s="42">
        <f t="shared" ca="1" si="518"/>
        <v>1.4654196127431017E-2</v>
      </c>
      <c r="AA106" s="42">
        <f t="shared" ca="1" si="406"/>
        <v>-1.179113516082086E-2</v>
      </c>
      <c r="AB106" s="42">
        <f t="shared" ca="1" si="519"/>
        <v>0.1494327733548966</v>
      </c>
      <c r="AC106" s="42">
        <f t="shared" ca="1" si="520"/>
        <v>-7.5983222590647312E-2</v>
      </c>
      <c r="AD106" s="42">
        <f t="shared" ca="1" si="420"/>
        <v>-967.03781793469386</v>
      </c>
      <c r="AF106" s="36">
        <f t="shared" si="118"/>
        <v>80</v>
      </c>
      <c r="AG106" s="35">
        <f t="shared" si="407"/>
        <v>0.28399999999999997</v>
      </c>
      <c r="AH106" s="197">
        <f t="shared" si="126"/>
        <v>169.23611111111677</v>
      </c>
      <c r="AI106" s="41">
        <f t="shared" si="408"/>
        <v>0.46366057838662128</v>
      </c>
      <c r="AJ106" s="40">
        <f t="shared" ca="1" si="521"/>
        <v>9.5310179804324935E-2</v>
      </c>
      <c r="AK106" s="40">
        <f t="shared" si="522"/>
        <v>2.5189751902588361E-2</v>
      </c>
      <c r="AL106" s="40">
        <f t="shared" si="523"/>
        <v>0.19338305926412305</v>
      </c>
      <c r="AM106" s="42">
        <f t="shared" ca="1" si="524"/>
        <v>0.62311524166309828</v>
      </c>
      <c r="AN106" s="42">
        <f t="shared" ca="1" si="525"/>
        <v>0.42973218239897526</v>
      </c>
      <c r="AO106" s="42">
        <f t="shared" ca="1" si="526"/>
        <v>0.73339560276253013</v>
      </c>
      <c r="AP106" s="42">
        <f t="shared" ca="1" si="527"/>
        <v>0.26660439723746987</v>
      </c>
      <c r="AQ106" s="42">
        <f t="shared" ca="1" si="528"/>
        <v>0.66630476489269841</v>
      </c>
      <c r="AR106" s="42">
        <f t="shared" ca="1" si="529"/>
        <v>0.33369523510730159</v>
      </c>
      <c r="AS106" s="42">
        <f t="shared" si="530"/>
        <v>0.98162450344672281</v>
      </c>
      <c r="AT106" s="42">
        <f t="shared" si="531"/>
        <v>78.529960275737821</v>
      </c>
      <c r="AU106" s="42">
        <f t="shared" si="532"/>
        <v>0.98801719747153338</v>
      </c>
      <c r="AV106" s="42">
        <f t="shared" ca="1" si="533"/>
        <v>86.945513377494933</v>
      </c>
      <c r="AW106" s="42">
        <f t="shared" ca="1" si="534"/>
        <v>0.32854717784553872</v>
      </c>
      <c r="AX106" s="42">
        <f t="shared" ca="1" si="535"/>
        <v>3.0250173706699748</v>
      </c>
      <c r="AY106" s="42">
        <f t="shared" ca="1" si="536"/>
        <v>-0.2634097293921524</v>
      </c>
      <c r="AZ106" s="42">
        <f t="shared" ca="1" si="537"/>
        <v>1.907485066211943E-2</v>
      </c>
      <c r="BA106" s="42">
        <f t="shared" ca="1" si="409"/>
        <v>-1.5100150659553941E-2</v>
      </c>
      <c r="BB106" s="42">
        <f t="shared" ca="1" si="538"/>
        <v>0.19451137482972178</v>
      </c>
      <c r="BC106" s="42">
        <f t="shared" ca="1" si="539"/>
        <v>-0.12150259562185753</v>
      </c>
      <c r="BD106" s="42">
        <f t="shared" ca="1" si="421"/>
        <v>1312.4913146650129</v>
      </c>
      <c r="BE106" s="40"/>
      <c r="BF106" s="36">
        <f t="shared" si="119"/>
        <v>90</v>
      </c>
      <c r="BG106" s="35">
        <f t="shared" si="410"/>
        <v>0.28399999999999997</v>
      </c>
      <c r="BH106" s="197">
        <f t="shared" si="127"/>
        <v>169.23611111111677</v>
      </c>
      <c r="BI106" s="41">
        <f t="shared" si="411"/>
        <v>0.46366057838662128</v>
      </c>
      <c r="BJ106" s="40">
        <f t="shared" ca="1" si="540"/>
        <v>-2.2472855852058628E-2</v>
      </c>
      <c r="BK106" s="40">
        <f t="shared" si="541"/>
        <v>2.5189751902588361E-2</v>
      </c>
      <c r="BL106" s="40">
        <f t="shared" si="542"/>
        <v>0.19338305926412305</v>
      </c>
      <c r="BM106" s="42">
        <f t="shared" ca="1" si="543"/>
        <v>1.4049297083561956E-2</v>
      </c>
      <c r="BN106" s="42">
        <f t="shared" ca="1" si="544"/>
        <v>-0.1793337621805611</v>
      </c>
      <c r="BO106" s="42">
        <f t="shared" ca="1" si="545"/>
        <v>0.50560467423827926</v>
      </c>
      <c r="BP106" s="42">
        <f t="shared" ca="1" si="546"/>
        <v>0.49439532576172074</v>
      </c>
      <c r="BQ106" s="42">
        <f t="shared" ca="1" si="547"/>
        <v>0.42883781908081825</v>
      </c>
      <c r="BR106" s="42">
        <f t="shared" ca="1" si="548"/>
        <v>0.57116218091918181</v>
      </c>
      <c r="BS106" s="42">
        <f t="shared" si="549"/>
        <v>0.98162450344672281</v>
      </c>
      <c r="BT106" s="42">
        <f t="shared" si="550"/>
        <v>88.34620531020505</v>
      </c>
      <c r="BU106" s="42">
        <f t="shared" si="551"/>
        <v>0.98801719747153338</v>
      </c>
      <c r="BV106" s="42">
        <f t="shared" ca="1" si="552"/>
        <v>86.945513377494933</v>
      </c>
      <c r="BW106" s="42">
        <f t="shared" ca="1" si="553"/>
        <v>0.3989029101823075</v>
      </c>
      <c r="BX106" s="42">
        <f t="shared" ca="1" si="554"/>
        <v>6.0738639584137459</v>
      </c>
      <c r="BY106" s="42">
        <f t="shared" ca="1" si="555"/>
        <v>0.49954611326941228</v>
      </c>
      <c r="BZ106" s="42">
        <f t="shared" ca="1" si="556"/>
        <v>2.3159576321150486E-2</v>
      </c>
      <c r="CA106" s="42">
        <f t="shared" ca="1" si="412"/>
        <v>-2.0836226518940012E-2</v>
      </c>
      <c r="CB106" s="42">
        <f t="shared" ca="1" si="557"/>
        <v>0.23616441934441429</v>
      </c>
      <c r="CC106" s="42">
        <f t="shared" ca="1" si="558"/>
        <v>0.1756633462721725</v>
      </c>
      <c r="CD106" s="42">
        <f t="shared" ca="1" si="422"/>
        <v>363.06802079312695</v>
      </c>
      <c r="CE106" s="40"/>
      <c r="CF106" s="36">
        <f t="shared" si="120"/>
        <v>95</v>
      </c>
      <c r="CG106" s="35">
        <f t="shared" si="413"/>
        <v>0.28399999999999997</v>
      </c>
      <c r="CH106" s="197">
        <f t="shared" si="128"/>
        <v>169.23611111111677</v>
      </c>
      <c r="CI106" s="41">
        <f t="shared" si="414"/>
        <v>0.46366057838662128</v>
      </c>
      <c r="CJ106" s="40">
        <f t="shared" ca="1" si="559"/>
        <v>-7.6540077122334377E-2</v>
      </c>
      <c r="CK106" s="40">
        <f t="shared" si="560"/>
        <v>2.5189751902588361E-2</v>
      </c>
      <c r="CL106" s="40">
        <f t="shared" si="561"/>
        <v>0.19338305926412305</v>
      </c>
      <c r="CM106" s="42">
        <f t="shared" ca="1" si="562"/>
        <v>-0.26553683355278612</v>
      </c>
      <c r="CN106" s="42">
        <f t="shared" ca="1" si="563"/>
        <v>-0.45891989281690915</v>
      </c>
      <c r="CO106" s="42">
        <f t="shared" ca="1" si="564"/>
        <v>0.39529796942337336</v>
      </c>
      <c r="CP106" s="42">
        <f t="shared" ca="1" si="565"/>
        <v>0.60470203057662664</v>
      </c>
      <c r="CQ106" s="42">
        <f t="shared" ca="1" si="566"/>
        <v>0.32314584647151257</v>
      </c>
      <c r="CR106" s="42">
        <f t="shared" ca="1" si="567"/>
        <v>0.67685415352848743</v>
      </c>
      <c r="CS106" s="42">
        <f t="shared" si="568"/>
        <v>0.98162450344672281</v>
      </c>
      <c r="CT106" s="42">
        <f t="shared" si="569"/>
        <v>93.254327827438672</v>
      </c>
      <c r="CU106" s="42">
        <f t="shared" si="570"/>
        <v>0.98801719747153338</v>
      </c>
      <c r="CV106" s="42">
        <f t="shared" ca="1" si="571"/>
        <v>86.945513377494933</v>
      </c>
      <c r="CW106" s="42">
        <f t="shared" ca="1" si="572"/>
        <v>0.38512264453418221</v>
      </c>
      <c r="CX106" s="42">
        <f t="shared" ca="1" si="573"/>
        <v>4.2346361856668935</v>
      </c>
      <c r="CY106" s="42">
        <f t="shared" ca="1" si="574"/>
        <v>0.39056119191586924</v>
      </c>
      <c r="CZ106" s="42">
        <f t="shared" ca="1" si="575"/>
        <v>2.2359519199838366E-2</v>
      </c>
      <c r="DA106" s="42">
        <f t="shared" ca="1" si="415"/>
        <v>-1.99853821989803E-2</v>
      </c>
      <c r="DB106" s="42">
        <f t="shared" ca="1" si="576"/>
        <v>0.22800602201982731</v>
      </c>
      <c r="DC106" s="42">
        <f t="shared" ca="1" si="577"/>
        <v>0.13972295013135821</v>
      </c>
      <c r="DD106" s="42">
        <f t="shared" ca="1" si="423"/>
        <v>-457.68190716655346</v>
      </c>
      <c r="DE106" s="40"/>
      <c r="DF106" s="36">
        <f t="shared" si="121"/>
        <v>200</v>
      </c>
      <c r="DG106" s="35">
        <f t="shared" si="416"/>
        <v>0.28399999999999997</v>
      </c>
      <c r="DH106" s="197">
        <f t="shared" si="129"/>
        <v>169.23611111111677</v>
      </c>
      <c r="DI106" s="41">
        <f t="shared" si="417"/>
        <v>0.46366057838662128</v>
      </c>
      <c r="DJ106" s="40">
        <f t="shared" ca="1" si="578"/>
        <v>-0.82098055206983023</v>
      </c>
      <c r="DK106" s="40">
        <f t="shared" si="579"/>
        <v>2.5189751902588361E-2</v>
      </c>
      <c r="DL106" s="40">
        <f t="shared" si="580"/>
        <v>0.19338305926412305</v>
      </c>
      <c r="DM106" s="42">
        <f t="shared" ca="1" si="581"/>
        <v>-4.1151008945429339</v>
      </c>
      <c r="DN106" s="42">
        <f t="shared" ca="1" si="582"/>
        <v>-4.3084839538070572</v>
      </c>
      <c r="DO106" s="42">
        <f t="shared" ca="1" si="583"/>
        <v>1.9350504614976089E-5</v>
      </c>
      <c r="DP106" s="42">
        <f t="shared" ca="1" si="584"/>
        <v>0.99998064949538501</v>
      </c>
      <c r="DQ106" s="42">
        <f t="shared" ca="1" si="585"/>
        <v>8.2188699799010938E-6</v>
      </c>
      <c r="DR106" s="42">
        <f t="shared" ca="1" si="586"/>
        <v>0.99999178113002007</v>
      </c>
      <c r="DS106" s="42">
        <f t="shared" si="587"/>
        <v>0.98162450344672281</v>
      </c>
      <c r="DT106" s="42">
        <f t="shared" si="588"/>
        <v>196.32490068934456</v>
      </c>
      <c r="DU106" s="42">
        <f t="shared" si="589"/>
        <v>0.98801719747153338</v>
      </c>
      <c r="DV106" s="42">
        <f t="shared" ca="1" si="590"/>
        <v>86.945513377494933</v>
      </c>
      <c r="DW106" s="42">
        <f t="shared" ca="1" si="591"/>
        <v>8.3893181317384926E-5</v>
      </c>
      <c r="DX106" s="42">
        <f t="shared" si="592"/>
        <v>0</v>
      </c>
      <c r="DY106" s="92">
        <f t="shared" si="593"/>
        <v>0</v>
      </c>
      <c r="DZ106" s="42">
        <f t="shared" si="594"/>
        <v>0</v>
      </c>
      <c r="EA106" s="42">
        <f t="shared" si="418"/>
        <v>0</v>
      </c>
      <c r="EB106" s="42">
        <f t="shared" si="595"/>
        <v>0</v>
      </c>
      <c r="EC106" s="42">
        <f t="shared" si="596"/>
        <v>0</v>
      </c>
      <c r="ED106" s="42">
        <f t="shared" ca="1" si="424"/>
        <v>0</v>
      </c>
      <c r="EE106" s="40"/>
      <c r="EF106" s="120">
        <f t="shared" ca="1" si="130"/>
        <v>88</v>
      </c>
      <c r="EG106" s="42">
        <f t="shared" ca="1" si="597"/>
        <v>250.83961035689248</v>
      </c>
      <c r="EH106" s="36">
        <f t="shared" ca="1" si="419"/>
        <v>250.83961035689248</v>
      </c>
      <c r="EI106" s="36">
        <f t="shared" ca="1" si="124"/>
        <v>-2.8879999999999999</v>
      </c>
      <c r="EJ106" s="153">
        <f t="shared" ca="1" si="131"/>
        <v>-1</v>
      </c>
      <c r="EK106" s="153" t="str">
        <f t="shared" ca="1" si="229"/>
        <v/>
      </c>
      <c r="EL106" s="153" t="str">
        <f t="shared" ca="1" si="501"/>
        <v/>
      </c>
      <c r="EM106" s="153">
        <f t="shared" ca="1" si="230"/>
        <v>2</v>
      </c>
      <c r="EN106" s="153">
        <f t="shared" ca="1" si="231"/>
        <v>0</v>
      </c>
    </row>
    <row r="107" spans="1:146" x14ac:dyDescent="0.3">
      <c r="A107" s="36">
        <f ca="1">IF($M$22=1,A106+'Auto X'!$E$6,A$48)</f>
        <v>88.5</v>
      </c>
      <c r="B107" s="35">
        <f>IF($M$22=2,B106+'Auto X'!$E$6,B$48)</f>
        <v>0.28399999999999997</v>
      </c>
      <c r="C107" s="39">
        <f>IF($M$22=3,C106+'Auto X'!$E$6,C$48)</f>
        <v>45295.440972222219</v>
      </c>
      <c r="D107" s="35">
        <f>IF($M$22=4,D106+'Auto X'!$E$6,D$48)</f>
        <v>2.5999999999999999E-2</v>
      </c>
      <c r="E107" s="35">
        <f>IF($M$22=5,E106+'Auto X'!$E$6,E$48)</f>
        <v>0.04</v>
      </c>
      <c r="F107" s="36">
        <f t="shared" si="117"/>
        <v>75</v>
      </c>
      <c r="G107" s="35">
        <f t="shared" si="404"/>
        <v>0.28399999999999997</v>
      </c>
      <c r="H107" s="197">
        <f t="shared" si="125"/>
        <v>169.23611111111677</v>
      </c>
      <c r="I107" s="41">
        <f t="shared" si="405"/>
        <v>0.46366057838662128</v>
      </c>
      <c r="J107" s="40">
        <f t="shared" ca="1" si="502"/>
        <v>0.16551443847757333</v>
      </c>
      <c r="K107" s="40">
        <f t="shared" si="503"/>
        <v>2.5189751902588361E-2</v>
      </c>
      <c r="L107" s="40">
        <f t="shared" si="504"/>
        <v>0.19338305926412305</v>
      </c>
      <c r="M107" s="42">
        <f t="shared" ca="1" si="505"/>
        <v>0.98614734458046516</v>
      </c>
      <c r="N107" s="42">
        <f t="shared" ca="1" si="506"/>
        <v>0.79276428531634213</v>
      </c>
      <c r="O107" s="42">
        <f t="shared" ca="1" si="507"/>
        <v>0.8379695931301383</v>
      </c>
      <c r="P107" s="42">
        <f t="shared" ca="1" si="508"/>
        <v>0.16203040686986164</v>
      </c>
      <c r="Q107" s="42">
        <f t="shared" ca="1" si="509"/>
        <v>0.78604241585547496</v>
      </c>
      <c r="R107" s="42">
        <f t="shared" ca="1" si="510"/>
        <v>0.21395758414452506</v>
      </c>
      <c r="S107" s="42">
        <f t="shared" si="511"/>
        <v>0.98162450344672281</v>
      </c>
      <c r="T107" s="42">
        <f t="shared" si="512"/>
        <v>73.621837758504213</v>
      </c>
      <c r="U107" s="42">
        <f t="shared" si="513"/>
        <v>0.98801719747153338</v>
      </c>
      <c r="V107" s="42">
        <f t="shared" ca="1" si="514"/>
        <v>87.439521976230708</v>
      </c>
      <c r="W107" s="42">
        <f t="shared" ca="1" si="515"/>
        <v>0.2453224464433609</v>
      </c>
      <c r="X107" s="42">
        <f t="shared" ca="1" si="516"/>
        <v>1.5840892247748677</v>
      </c>
      <c r="Y107" s="42">
        <f t="shared" ca="1" si="517"/>
        <v>-0.16008882850073305</v>
      </c>
      <c r="Z107" s="42">
        <f t="shared" ca="1" si="518"/>
        <v>1.4162505577907202E-2</v>
      </c>
      <c r="AA107" s="42">
        <f t="shared" ca="1" si="406"/>
        <v>-1.1538742219873051E-2</v>
      </c>
      <c r="AB107" s="42">
        <f t="shared" ca="1" si="519"/>
        <v>0.14606465861301826</v>
      </c>
      <c r="AC107" s="42">
        <f t="shared" ca="1" si="520"/>
        <v>-7.3035585013810828E-2</v>
      </c>
      <c r="AD107" s="42">
        <f t="shared" ca="1" si="420"/>
        <v>-1007.9553876125663</v>
      </c>
      <c r="AF107" s="36">
        <f t="shared" si="118"/>
        <v>80</v>
      </c>
      <c r="AG107" s="35">
        <f t="shared" si="407"/>
        <v>0.28399999999999997</v>
      </c>
      <c r="AH107" s="197">
        <f t="shared" si="126"/>
        <v>169.23611111111677</v>
      </c>
      <c r="AI107" s="41">
        <f t="shared" si="408"/>
        <v>0.46366057838662128</v>
      </c>
      <c r="AJ107" s="40">
        <f t="shared" ca="1" si="521"/>
        <v>0.10097591734000218</v>
      </c>
      <c r="AK107" s="40">
        <f t="shared" si="522"/>
        <v>2.5189751902588361E-2</v>
      </c>
      <c r="AL107" s="40">
        <f t="shared" si="523"/>
        <v>0.19338305926412305</v>
      </c>
      <c r="AM107" s="42">
        <f t="shared" ca="1" si="524"/>
        <v>0.6524132451037149</v>
      </c>
      <c r="AN107" s="42">
        <f t="shared" ca="1" si="525"/>
        <v>0.45903018583959188</v>
      </c>
      <c r="AO107" s="42">
        <f t="shared" ca="1" si="526"/>
        <v>0.74293268892757214</v>
      </c>
      <c r="AP107" s="42">
        <f t="shared" ca="1" si="527"/>
        <v>0.25706731107242786</v>
      </c>
      <c r="AQ107" s="42">
        <f t="shared" ca="1" si="528"/>
        <v>0.6768937552697929</v>
      </c>
      <c r="AR107" s="42">
        <f t="shared" ca="1" si="529"/>
        <v>0.3231062447302071</v>
      </c>
      <c r="AS107" s="42">
        <f t="shared" si="530"/>
        <v>0.98162450344672281</v>
      </c>
      <c r="AT107" s="42">
        <f t="shared" si="531"/>
        <v>78.529960275737821</v>
      </c>
      <c r="AU107" s="42">
        <f t="shared" si="532"/>
        <v>0.98801719747153338</v>
      </c>
      <c r="AV107" s="42">
        <f t="shared" ca="1" si="533"/>
        <v>87.439521976230708</v>
      </c>
      <c r="AW107" s="42">
        <f t="shared" ca="1" si="534"/>
        <v>0.32246520036998949</v>
      </c>
      <c r="AX107" s="42">
        <f t="shared" ca="1" si="535"/>
        <v>2.8956777676178973</v>
      </c>
      <c r="AY107" s="42">
        <f t="shared" ca="1" si="536"/>
        <v>-0.25398692424732305</v>
      </c>
      <c r="AZ107" s="42">
        <f t="shared" ca="1" si="537"/>
        <v>1.8615969574456902E-2</v>
      </c>
      <c r="BA107" s="42">
        <f t="shared" ca="1" si="409"/>
        <v>-1.4930148532657263E-2</v>
      </c>
      <c r="BB107" s="42">
        <f t="shared" ca="1" si="538"/>
        <v>0.1919953517889586</v>
      </c>
      <c r="BC107" s="42">
        <f t="shared" ca="1" si="539"/>
        <v>-0.11764701220180016</v>
      </c>
      <c r="BD107" s="42">
        <f t="shared" ca="1" si="421"/>
        <v>1377.1611161910516</v>
      </c>
      <c r="BE107" s="40"/>
      <c r="BF107" s="36">
        <f t="shared" si="119"/>
        <v>90</v>
      </c>
      <c r="BG107" s="35">
        <f t="shared" si="410"/>
        <v>0.28399999999999997</v>
      </c>
      <c r="BH107" s="197">
        <f t="shared" si="127"/>
        <v>169.23611111111677</v>
      </c>
      <c r="BI107" s="41">
        <f t="shared" si="411"/>
        <v>0.46366057838662128</v>
      </c>
      <c r="BJ107" s="40">
        <f t="shared" ca="1" si="540"/>
        <v>-1.6807118316381289E-2</v>
      </c>
      <c r="BK107" s="40">
        <f t="shared" si="541"/>
        <v>2.5189751902588361E-2</v>
      </c>
      <c r="BL107" s="40">
        <f t="shared" si="542"/>
        <v>0.19338305926412305</v>
      </c>
      <c r="BM107" s="42">
        <f t="shared" ca="1" si="543"/>
        <v>4.3347300524179067E-2</v>
      </c>
      <c r="BN107" s="42">
        <f t="shared" ca="1" si="544"/>
        <v>-0.15003575873994399</v>
      </c>
      <c r="BO107" s="42">
        <f t="shared" ca="1" si="545"/>
        <v>0.51728765686626865</v>
      </c>
      <c r="BP107" s="42">
        <f t="shared" ca="1" si="546"/>
        <v>0.48271234313373135</v>
      </c>
      <c r="BQ107" s="42">
        <f t="shared" ca="1" si="547"/>
        <v>0.44036820158378437</v>
      </c>
      <c r="BR107" s="42">
        <f t="shared" ca="1" si="548"/>
        <v>0.55963179841621558</v>
      </c>
      <c r="BS107" s="42">
        <f t="shared" si="549"/>
        <v>0.98162450344672281</v>
      </c>
      <c r="BT107" s="42">
        <f t="shared" si="550"/>
        <v>88.34620531020505</v>
      </c>
      <c r="BU107" s="42">
        <f t="shared" si="551"/>
        <v>0.98801719747153338</v>
      </c>
      <c r="BV107" s="42">
        <f t="shared" ca="1" si="552"/>
        <v>87.439521976230708</v>
      </c>
      <c r="BW107" s="42">
        <f t="shared" ca="1" si="553"/>
        <v>0.39856765243830783</v>
      </c>
      <c r="BX107" s="42">
        <f t="shared" ca="1" si="554"/>
        <v>6.3265258913842146</v>
      </c>
      <c r="BY107" s="42">
        <f t="shared" ca="1" si="555"/>
        <v>0.51108910102362692</v>
      </c>
      <c r="BZ107" s="42">
        <f t="shared" ca="1" si="556"/>
        <v>2.3009376771946321E-2</v>
      </c>
      <c r="CA107" s="42">
        <f t="shared" ca="1" si="412"/>
        <v>-2.0953141348265227E-2</v>
      </c>
      <c r="CB107" s="42">
        <f t="shared" ca="1" si="557"/>
        <v>0.23730665062087739</v>
      </c>
      <c r="CC107" s="42">
        <f t="shared" ca="1" si="558"/>
        <v>0.18038649680635482</v>
      </c>
      <c r="CD107" s="42">
        <f t="shared" ca="1" si="422"/>
        <v>236.73705430789261</v>
      </c>
      <c r="CE107" s="40"/>
      <c r="CF107" s="36">
        <f t="shared" si="120"/>
        <v>95</v>
      </c>
      <c r="CG107" s="35">
        <f t="shared" si="413"/>
        <v>0.28399999999999997</v>
      </c>
      <c r="CH107" s="197">
        <f t="shared" si="128"/>
        <v>169.23611111111677</v>
      </c>
      <c r="CI107" s="41">
        <f t="shared" si="414"/>
        <v>0.46366057838662128</v>
      </c>
      <c r="CJ107" s="40">
        <f t="shared" ca="1" si="559"/>
        <v>-7.0874339586656995E-2</v>
      </c>
      <c r="CK107" s="40">
        <f t="shared" si="560"/>
        <v>2.5189751902588361E-2</v>
      </c>
      <c r="CL107" s="40">
        <f t="shared" si="561"/>
        <v>0.19338305926412305</v>
      </c>
      <c r="CM107" s="42">
        <f t="shared" ca="1" si="562"/>
        <v>-0.23623883011216879</v>
      </c>
      <c r="CN107" s="42">
        <f t="shared" ca="1" si="563"/>
        <v>-0.42962188937629187</v>
      </c>
      <c r="CO107" s="42">
        <f t="shared" ca="1" si="564"/>
        <v>0.40662367500694102</v>
      </c>
      <c r="CP107" s="42">
        <f t="shared" ca="1" si="565"/>
        <v>0.59337632499305903</v>
      </c>
      <c r="CQ107" s="42">
        <f t="shared" ca="1" si="566"/>
        <v>0.3337353557489191</v>
      </c>
      <c r="CR107" s="42">
        <f t="shared" ca="1" si="567"/>
        <v>0.6662646442510809</v>
      </c>
      <c r="CS107" s="42">
        <f t="shared" si="568"/>
        <v>0.98162450344672281</v>
      </c>
      <c r="CT107" s="42">
        <f t="shared" si="569"/>
        <v>93.254327827438672</v>
      </c>
      <c r="CU107" s="42">
        <f t="shared" si="570"/>
        <v>0.98801719747153338</v>
      </c>
      <c r="CV107" s="42">
        <f t="shared" ca="1" si="571"/>
        <v>87.439521976230708</v>
      </c>
      <c r="CW107" s="42">
        <f t="shared" ca="1" si="572"/>
        <v>0.38796392300374816</v>
      </c>
      <c r="CX107" s="42">
        <f t="shared" ca="1" si="573"/>
        <v>4.4327134942085422</v>
      </c>
      <c r="CY107" s="42">
        <f t="shared" ca="1" si="574"/>
        <v>0.40175118380593344</v>
      </c>
      <c r="CZ107" s="42">
        <f t="shared" ca="1" si="575"/>
        <v>2.239722171055351E-2</v>
      </c>
      <c r="DA107" s="42">
        <f t="shared" ca="1" si="415"/>
        <v>-2.025979379863576E-2</v>
      </c>
      <c r="DB107" s="42">
        <f t="shared" ca="1" si="576"/>
        <v>0.23099320420641992</v>
      </c>
      <c r="DC107" s="42">
        <f t="shared" ca="1" si="577"/>
        <v>0.14430167980663836</v>
      </c>
      <c r="DD107" s="42">
        <f t="shared" ca="1" si="423"/>
        <v>-358.64325289572906</v>
      </c>
      <c r="DE107" s="40"/>
      <c r="DF107" s="36">
        <f t="shared" si="121"/>
        <v>200</v>
      </c>
      <c r="DG107" s="35">
        <f t="shared" si="416"/>
        <v>0.28399999999999997</v>
      </c>
      <c r="DH107" s="197">
        <f t="shared" si="129"/>
        <v>169.23611111111677</v>
      </c>
      <c r="DI107" s="41">
        <f t="shared" si="417"/>
        <v>0.46366057838662128</v>
      </c>
      <c r="DJ107" s="40">
        <f t="shared" ca="1" si="578"/>
        <v>-0.81531481453415289</v>
      </c>
      <c r="DK107" s="40">
        <f t="shared" si="579"/>
        <v>2.5189751902588361E-2</v>
      </c>
      <c r="DL107" s="40">
        <f t="shared" si="580"/>
        <v>0.19338305926412305</v>
      </c>
      <c r="DM107" s="42">
        <f t="shared" ca="1" si="581"/>
        <v>-4.0858028911023165</v>
      </c>
      <c r="DN107" s="42">
        <f t="shared" ca="1" si="582"/>
        <v>-4.2791859503664398</v>
      </c>
      <c r="DO107" s="42">
        <f t="shared" ca="1" si="583"/>
        <v>2.1962328415890346E-5</v>
      </c>
      <c r="DP107" s="42">
        <f t="shared" ca="1" si="584"/>
        <v>0.99997803767158411</v>
      </c>
      <c r="DQ107" s="42">
        <f t="shared" ca="1" si="585"/>
        <v>9.3789051906688558E-6</v>
      </c>
      <c r="DR107" s="42">
        <f t="shared" ca="1" si="586"/>
        <v>0.9999906210948093</v>
      </c>
      <c r="DS107" s="42">
        <f t="shared" si="587"/>
        <v>0.98162450344672281</v>
      </c>
      <c r="DT107" s="42">
        <f t="shared" si="588"/>
        <v>196.32490068934456</v>
      </c>
      <c r="DU107" s="42">
        <f t="shared" si="589"/>
        <v>0.98801719747153338</v>
      </c>
      <c r="DV107" s="42">
        <f t="shared" ca="1" si="590"/>
        <v>87.439521976230708</v>
      </c>
      <c r="DW107" s="42">
        <f t="shared" ca="1" si="591"/>
        <v>9.4602073298242475E-5</v>
      </c>
      <c r="DX107" s="42">
        <f t="shared" si="592"/>
        <v>0</v>
      </c>
      <c r="DY107" s="92">
        <f t="shared" si="593"/>
        <v>0</v>
      </c>
      <c r="DZ107" s="42">
        <f t="shared" si="594"/>
        <v>0</v>
      </c>
      <c r="EA107" s="42">
        <f t="shared" si="418"/>
        <v>0</v>
      </c>
      <c r="EB107" s="42">
        <f t="shared" si="595"/>
        <v>0</v>
      </c>
      <c r="EC107" s="42">
        <f t="shared" si="596"/>
        <v>0</v>
      </c>
      <c r="ED107" s="42">
        <f t="shared" ca="1" si="424"/>
        <v>0</v>
      </c>
      <c r="EE107" s="40"/>
      <c r="EF107" s="120">
        <f t="shared" ca="1" si="130"/>
        <v>88.5</v>
      </c>
      <c r="EG107" s="42">
        <f t="shared" ca="1" si="597"/>
        <v>247.29952999064886</v>
      </c>
      <c r="EH107" s="36">
        <f t="shared" ca="1" si="419"/>
        <v>247.29952999064886</v>
      </c>
      <c r="EI107" s="36">
        <f t="shared" ca="1" si="124"/>
        <v>-3.54</v>
      </c>
      <c r="EJ107" s="153">
        <f t="shared" ca="1" si="131"/>
        <v>-1</v>
      </c>
      <c r="EK107" s="153" t="str">
        <f t="shared" ca="1" si="229"/>
        <v/>
      </c>
      <c r="EL107" s="153" t="str">
        <f t="shared" ca="1" si="501"/>
        <v/>
      </c>
      <c r="EM107" s="153">
        <f t="shared" ca="1" si="230"/>
        <v>2</v>
      </c>
      <c r="EN107" s="153">
        <f t="shared" ca="1" si="231"/>
        <v>0</v>
      </c>
    </row>
    <row r="108" spans="1:146" x14ac:dyDescent="0.3">
      <c r="A108" s="36">
        <f ca="1">IF($M$22=1,A107+'Auto X'!$E$6,A$48)</f>
        <v>89</v>
      </c>
      <c r="B108" s="35">
        <f>IF($M$22=2,B107+'Auto X'!$E$6,B$48)</f>
        <v>0.28399999999999997</v>
      </c>
      <c r="C108" s="39">
        <f>IF($M$22=3,C107+'Auto X'!$E$6,C$48)</f>
        <v>45295.440972222219</v>
      </c>
      <c r="D108" s="35">
        <f>IF($M$22=4,D107+'Auto X'!$E$6,D$48)</f>
        <v>2.5999999999999999E-2</v>
      </c>
      <c r="E108" s="35">
        <f>IF($M$22=5,E107+'Auto X'!$E$6,E$48)</f>
        <v>0.04</v>
      </c>
      <c r="F108" s="36">
        <f t="shared" si="117"/>
        <v>75</v>
      </c>
      <c r="G108" s="35">
        <f t="shared" si="404"/>
        <v>0.28399999999999997</v>
      </c>
      <c r="H108" s="197">
        <f t="shared" si="125"/>
        <v>169.23611111111677</v>
      </c>
      <c r="I108" s="41">
        <f t="shared" si="405"/>
        <v>0.46366057838662128</v>
      </c>
      <c r="J108" s="40">
        <f t="shared" ca="1" si="502"/>
        <v>0.17114825619582946</v>
      </c>
      <c r="K108" s="40">
        <f t="shared" si="503"/>
        <v>2.5189751902588361E-2</v>
      </c>
      <c r="L108" s="40">
        <f t="shared" si="504"/>
        <v>0.19338305926412305</v>
      </c>
      <c r="M108" s="42">
        <f t="shared" ca="1" si="505"/>
        <v>1.0152802879711347</v>
      </c>
      <c r="N108" s="42">
        <f t="shared" ca="1" si="506"/>
        <v>0.82189722870701165</v>
      </c>
      <c r="O108" s="42">
        <f t="shared" ca="1" si="507"/>
        <v>0.84501388098213992</v>
      </c>
      <c r="P108" s="42">
        <f t="shared" ca="1" si="508"/>
        <v>0.15498611901786002</v>
      </c>
      <c r="Q108" s="42">
        <f t="shared" ca="1" si="509"/>
        <v>0.79443230481755034</v>
      </c>
      <c r="R108" s="42">
        <f t="shared" ca="1" si="510"/>
        <v>0.20556769518244966</v>
      </c>
      <c r="S108" s="42">
        <f t="shared" si="511"/>
        <v>0.98162450344672281</v>
      </c>
      <c r="T108" s="42">
        <f t="shared" si="512"/>
        <v>73.621837758504213</v>
      </c>
      <c r="U108" s="42">
        <f t="shared" si="513"/>
        <v>0.98801719747153338</v>
      </c>
      <c r="V108" s="42">
        <f t="shared" ca="1" si="514"/>
        <v>87.933530574966468</v>
      </c>
      <c r="W108" s="42">
        <f t="shared" ca="1" si="515"/>
        <v>0.23827362882243663</v>
      </c>
      <c r="X108" s="42">
        <f t="shared" ca="1" si="516"/>
        <v>1.5057948677595707</v>
      </c>
      <c r="Y108" s="42">
        <f t="shared" ca="1" si="517"/>
        <v>-0.15312895095901563</v>
      </c>
      <c r="Z108" s="42">
        <f t="shared" ca="1" si="518"/>
        <v>1.3678297648152041E-2</v>
      </c>
      <c r="AA108" s="42">
        <f t="shared" ca="1" si="406"/>
        <v>-1.1283119945795254E-2</v>
      </c>
      <c r="AB108" s="42">
        <f t="shared" ca="1" si="519"/>
        <v>0.14266931497388793</v>
      </c>
      <c r="AC108" s="42">
        <f t="shared" ca="1" si="520"/>
        <v>-7.0171650785930503E-2</v>
      </c>
      <c r="AD108" s="42">
        <f t="shared" ca="1" si="420"/>
        <v>-1047.1025661202148</v>
      </c>
      <c r="AF108" s="36">
        <f t="shared" si="118"/>
        <v>80</v>
      </c>
      <c r="AG108" s="35">
        <f t="shared" si="407"/>
        <v>0.28399999999999997</v>
      </c>
      <c r="AH108" s="197">
        <f t="shared" si="126"/>
        <v>169.23611111111677</v>
      </c>
      <c r="AI108" s="41">
        <f t="shared" si="408"/>
        <v>0.46366057838662128</v>
      </c>
      <c r="AJ108" s="40">
        <f t="shared" ca="1" si="521"/>
        <v>0.10660973505825827</v>
      </c>
      <c r="AK108" s="40">
        <f t="shared" si="522"/>
        <v>2.5189751902588361E-2</v>
      </c>
      <c r="AL108" s="40">
        <f t="shared" si="523"/>
        <v>0.19338305926412305</v>
      </c>
      <c r="AM108" s="42">
        <f t="shared" ca="1" si="524"/>
        <v>0.68154618849438398</v>
      </c>
      <c r="AN108" s="42">
        <f t="shared" ca="1" si="525"/>
        <v>0.48816312923026095</v>
      </c>
      <c r="AO108" s="42">
        <f t="shared" ca="1" si="526"/>
        <v>0.75223702441438578</v>
      </c>
      <c r="AP108" s="42">
        <f t="shared" ca="1" si="527"/>
        <v>0.24776297558561422</v>
      </c>
      <c r="AQ108" s="42">
        <f t="shared" ca="1" si="528"/>
        <v>0.68728285077913376</v>
      </c>
      <c r="AR108" s="42">
        <f t="shared" ca="1" si="529"/>
        <v>0.3127171492208663</v>
      </c>
      <c r="AS108" s="42">
        <f t="shared" si="530"/>
        <v>0.98162450344672281</v>
      </c>
      <c r="AT108" s="42">
        <f t="shared" si="531"/>
        <v>78.529960275737821</v>
      </c>
      <c r="AU108" s="42">
        <f t="shared" si="532"/>
        <v>0.98801719747153338</v>
      </c>
      <c r="AV108" s="42">
        <f t="shared" ca="1" si="533"/>
        <v>87.933530574966468</v>
      </c>
      <c r="AW108" s="42">
        <f t="shared" ca="1" si="534"/>
        <v>0.31625983622691484</v>
      </c>
      <c r="AX108" s="42">
        <f t="shared" ca="1" si="535"/>
        <v>2.7709921168543268</v>
      </c>
      <c r="AY108" s="42">
        <f t="shared" ca="1" si="536"/>
        <v>-0.24479408077530651</v>
      </c>
      <c r="AZ108" s="42">
        <f t="shared" ca="1" si="537"/>
        <v>1.8155161338862434E-2</v>
      </c>
      <c r="BA108" s="42">
        <f t="shared" ca="1" si="409"/>
        <v>-1.474958059204803E-2</v>
      </c>
      <c r="BB108" s="42">
        <f t="shared" ca="1" si="538"/>
        <v>0.18936453190911923</v>
      </c>
      <c r="BC108" s="42">
        <f t="shared" ca="1" si="539"/>
        <v>-0.11386421299538538</v>
      </c>
      <c r="BD108" s="42">
        <f t="shared" ca="1" si="421"/>
        <v>1439.5039415728368</v>
      </c>
      <c r="BE108" s="40"/>
      <c r="BF108" s="36">
        <f t="shared" si="119"/>
        <v>90</v>
      </c>
      <c r="BG108" s="35">
        <f t="shared" si="410"/>
        <v>0.28399999999999997</v>
      </c>
      <c r="BH108" s="197">
        <f t="shared" si="127"/>
        <v>169.23611111111677</v>
      </c>
      <c r="BI108" s="41">
        <f t="shared" si="411"/>
        <v>0.46366057838662128</v>
      </c>
      <c r="BJ108" s="40">
        <f t="shared" ca="1" si="540"/>
        <v>-1.1173300598125189E-2</v>
      </c>
      <c r="BK108" s="40">
        <f t="shared" si="541"/>
        <v>2.5189751902588361E-2</v>
      </c>
      <c r="BL108" s="40">
        <f t="shared" si="542"/>
        <v>0.19338305926412305</v>
      </c>
      <c r="BM108" s="42">
        <f t="shared" ca="1" si="543"/>
        <v>7.2480243914848141E-2</v>
      </c>
      <c r="BN108" s="42">
        <f t="shared" ca="1" si="544"/>
        <v>-0.12090281534927491</v>
      </c>
      <c r="BO108" s="42">
        <f t="shared" ca="1" si="545"/>
        <v>0.52889013640787508</v>
      </c>
      <c r="BP108" s="42">
        <f t="shared" ca="1" si="546"/>
        <v>0.47110986359212487</v>
      </c>
      <c r="BQ108" s="42">
        <f t="shared" ca="1" si="547"/>
        <v>0.451884006102656</v>
      </c>
      <c r="BR108" s="42">
        <f t="shared" ca="1" si="548"/>
        <v>0.548115993897344</v>
      </c>
      <c r="BS108" s="42">
        <f t="shared" si="549"/>
        <v>0.98162450344672281</v>
      </c>
      <c r="BT108" s="42">
        <f t="shared" si="550"/>
        <v>88.34620531020505</v>
      </c>
      <c r="BU108" s="42">
        <f t="shared" si="551"/>
        <v>0.98801719747153338</v>
      </c>
      <c r="BV108" s="42">
        <f t="shared" ca="1" si="552"/>
        <v>87.933530574966468</v>
      </c>
      <c r="BW108" s="42">
        <f t="shared" ca="1" si="553"/>
        <v>0.39789575660439058</v>
      </c>
      <c r="BX108" s="42">
        <f t="shared" ca="1" si="554"/>
        <v>6.5849398010768709</v>
      </c>
      <c r="BY108" s="42">
        <f t="shared" ca="1" si="555"/>
        <v>0.52255255034404569</v>
      </c>
      <c r="BZ108" s="42">
        <f t="shared" ca="1" si="556"/>
        <v>2.2841539866030804E-2</v>
      </c>
      <c r="CA108" s="42">
        <f t="shared" ca="1" si="412"/>
        <v>-2.1052495088948662E-2</v>
      </c>
      <c r="CB108" s="42">
        <f t="shared" ca="1" si="557"/>
        <v>0.2382450601281976</v>
      </c>
      <c r="CC108" s="42">
        <f t="shared" ca="1" si="558"/>
        <v>0.18510367581154874</v>
      </c>
      <c r="CD108" s="42">
        <f t="shared" ca="1" si="422"/>
        <v>107.53009946156445</v>
      </c>
      <c r="CE108" s="40"/>
      <c r="CF108" s="36">
        <f t="shared" si="120"/>
        <v>95</v>
      </c>
      <c r="CG108" s="35">
        <f t="shared" si="413"/>
        <v>0.28399999999999997</v>
      </c>
      <c r="CH108" s="197">
        <f t="shared" si="128"/>
        <v>169.23611111111677</v>
      </c>
      <c r="CI108" s="41">
        <f t="shared" si="414"/>
        <v>0.46366057838662128</v>
      </c>
      <c r="CJ108" s="40">
        <f t="shared" ca="1" si="559"/>
        <v>-6.5240521868400972E-2</v>
      </c>
      <c r="CK108" s="40">
        <f t="shared" si="560"/>
        <v>2.5189751902588361E-2</v>
      </c>
      <c r="CL108" s="40">
        <f t="shared" si="561"/>
        <v>0.19338305926412305</v>
      </c>
      <c r="CM108" s="42">
        <f t="shared" ca="1" si="562"/>
        <v>-0.2071058867215001</v>
      </c>
      <c r="CN108" s="42">
        <f t="shared" ca="1" si="563"/>
        <v>-0.40048894598562312</v>
      </c>
      <c r="CO108" s="42">
        <f t="shared" ca="1" si="564"/>
        <v>0.41796358241494269</v>
      </c>
      <c r="CP108" s="42">
        <f t="shared" ca="1" si="565"/>
        <v>0.58203641758505731</v>
      </c>
      <c r="CQ108" s="42">
        <f t="shared" ca="1" si="566"/>
        <v>0.34439821179730956</v>
      </c>
      <c r="CR108" s="42">
        <f t="shared" ca="1" si="567"/>
        <v>0.65560178820269044</v>
      </c>
      <c r="CS108" s="42">
        <f t="shared" si="568"/>
        <v>0.98162450344672281</v>
      </c>
      <c r="CT108" s="42">
        <f t="shared" si="569"/>
        <v>93.254327827438672</v>
      </c>
      <c r="CU108" s="42">
        <f t="shared" si="570"/>
        <v>0.98801719747153338</v>
      </c>
      <c r="CV108" s="42">
        <f t="shared" ca="1" si="571"/>
        <v>87.933530574966468</v>
      </c>
      <c r="CW108" s="42">
        <f t="shared" ca="1" si="572"/>
        <v>0.39047748923776876</v>
      </c>
      <c r="CX108" s="42">
        <f t="shared" ca="1" si="573"/>
        <v>4.6363897073769209</v>
      </c>
      <c r="CY108" s="42">
        <f t="shared" ca="1" si="574"/>
        <v>0.41295520734277397</v>
      </c>
      <c r="CZ108" s="42">
        <f t="shared" ca="1" si="575"/>
        <v>2.2415688001618892E-2</v>
      </c>
      <c r="DA108" s="42">
        <f t="shared" ca="1" si="415"/>
        <v>-2.051920853834438E-2</v>
      </c>
      <c r="DB108" s="42">
        <f t="shared" ca="1" si="576"/>
        <v>0.23380327977373891</v>
      </c>
      <c r="DC108" s="42">
        <f t="shared" ca="1" si="577"/>
        <v>0.14891212341956114</v>
      </c>
      <c r="DD108" s="42">
        <f t="shared" ca="1" si="423"/>
        <v>-256.80514631153972</v>
      </c>
      <c r="DE108" s="40"/>
      <c r="DF108" s="36">
        <f t="shared" si="121"/>
        <v>200</v>
      </c>
      <c r="DG108" s="35">
        <f t="shared" si="416"/>
        <v>0.28399999999999997</v>
      </c>
      <c r="DH108" s="197">
        <f t="shared" si="129"/>
        <v>169.23611111111677</v>
      </c>
      <c r="DI108" s="41">
        <f t="shared" si="417"/>
        <v>0.46366057838662128</v>
      </c>
      <c r="DJ108" s="40">
        <f t="shared" ca="1" si="578"/>
        <v>-0.80968099681589678</v>
      </c>
      <c r="DK108" s="40">
        <f t="shared" si="579"/>
        <v>2.5189751902588361E-2</v>
      </c>
      <c r="DL108" s="40">
        <f t="shared" si="580"/>
        <v>0.19338305926412305</v>
      </c>
      <c r="DM108" s="42">
        <f t="shared" ca="1" si="581"/>
        <v>-4.0566699477116472</v>
      </c>
      <c r="DN108" s="42">
        <f t="shared" ca="1" si="582"/>
        <v>-4.2500530069757705</v>
      </c>
      <c r="DO108" s="42">
        <f t="shared" ca="1" si="583"/>
        <v>2.488867301467858E-5</v>
      </c>
      <c r="DP108" s="42">
        <f t="shared" ca="1" si="584"/>
        <v>0.99997511132698536</v>
      </c>
      <c r="DQ108" s="42">
        <f t="shared" ca="1" si="585"/>
        <v>1.0685996639216751E-5</v>
      </c>
      <c r="DR108" s="42">
        <f t="shared" ca="1" si="586"/>
        <v>0.99998931400336077</v>
      </c>
      <c r="DS108" s="42">
        <f t="shared" si="587"/>
        <v>0.98162450344672281</v>
      </c>
      <c r="DT108" s="42">
        <f t="shared" si="588"/>
        <v>196.32490068934456</v>
      </c>
      <c r="DU108" s="42">
        <f t="shared" si="589"/>
        <v>0.98801719747153338</v>
      </c>
      <c r="DV108" s="42">
        <f t="shared" ca="1" si="590"/>
        <v>87.933530574966468</v>
      </c>
      <c r="DW108" s="42">
        <f t="shared" ca="1" si="591"/>
        <v>1.0651507159131466E-4</v>
      </c>
      <c r="DX108" s="42">
        <f t="shared" si="592"/>
        <v>0</v>
      </c>
      <c r="DY108" s="92">
        <f t="shared" si="593"/>
        <v>0</v>
      </c>
      <c r="DZ108" s="42">
        <f t="shared" si="594"/>
        <v>0</v>
      </c>
      <c r="EA108" s="42">
        <f t="shared" si="418"/>
        <v>0</v>
      </c>
      <c r="EB108" s="42">
        <f t="shared" si="595"/>
        <v>0</v>
      </c>
      <c r="EC108" s="42">
        <f t="shared" si="596"/>
        <v>0</v>
      </c>
      <c r="ED108" s="42">
        <f t="shared" ca="1" si="424"/>
        <v>0</v>
      </c>
      <c r="EE108" s="40"/>
      <c r="EF108" s="120">
        <f t="shared" ca="1" si="130"/>
        <v>89</v>
      </c>
      <c r="EG108" s="42">
        <f t="shared" ca="1" si="597"/>
        <v>243.12632860264671</v>
      </c>
      <c r="EH108" s="36">
        <f t="shared" ca="1" si="419"/>
        <v>243.12632860264671</v>
      </c>
      <c r="EI108" s="36">
        <f t="shared" ca="1" si="124"/>
        <v>-4.173</v>
      </c>
      <c r="EJ108" s="153">
        <f t="shared" ca="1" si="131"/>
        <v>-1</v>
      </c>
      <c r="EK108" s="153" t="str">
        <f t="shared" ca="1" si="229"/>
        <v/>
      </c>
      <c r="EL108" s="153" t="str">
        <f t="shared" ca="1" si="501"/>
        <v/>
      </c>
      <c r="EM108" s="153">
        <f t="shared" ca="1" si="230"/>
        <v>2</v>
      </c>
      <c r="EN108" s="153">
        <f t="shared" ca="1" si="231"/>
        <v>0</v>
      </c>
    </row>
    <row r="109" spans="1:146" x14ac:dyDescent="0.3">
      <c r="A109" s="36">
        <f ca="1">IF($M$22=1,A108+'Auto X'!$E$6,A$48)</f>
        <v>89.5</v>
      </c>
      <c r="B109" s="35">
        <f>IF($M$22=2,B108+'Auto X'!$E$6,B$48)</f>
        <v>0.28399999999999997</v>
      </c>
      <c r="C109" s="39">
        <f>IF($M$22=3,C108+'Auto X'!$E$6,C$48)</f>
        <v>45295.440972222219</v>
      </c>
      <c r="D109" s="35">
        <f>IF($M$22=4,D108+'Auto X'!$E$6,D$48)</f>
        <v>2.5999999999999999E-2</v>
      </c>
      <c r="E109" s="35">
        <f>IF($M$22=5,E108+'Auto X'!$E$6,E$48)</f>
        <v>0.04</v>
      </c>
      <c r="F109" s="36">
        <f t="shared" si="117"/>
        <v>75</v>
      </c>
      <c r="G109" s="35">
        <f t="shared" si="404"/>
        <v>0.28399999999999997</v>
      </c>
      <c r="H109" s="197">
        <f t="shared" si="125"/>
        <v>169.23611111111677</v>
      </c>
      <c r="I109" s="41">
        <f t="shared" si="405"/>
        <v>0.46366057838662128</v>
      </c>
      <c r="J109" s="40">
        <f t="shared" ca="1" si="502"/>
        <v>0.17675051174449927</v>
      </c>
      <c r="K109" s="40">
        <f t="shared" si="503"/>
        <v>2.5189751902588361E-2</v>
      </c>
      <c r="L109" s="40">
        <f t="shared" si="504"/>
        <v>0.19338305926412305</v>
      </c>
      <c r="M109" s="42">
        <f t="shared" ca="1" si="505"/>
        <v>1.0442500207387717</v>
      </c>
      <c r="N109" s="42">
        <f t="shared" ca="1" si="506"/>
        <v>0.85086696147464869</v>
      </c>
      <c r="O109" s="42">
        <f t="shared" ca="1" si="507"/>
        <v>0.85181513513464047</v>
      </c>
      <c r="P109" s="42">
        <f t="shared" ca="1" si="508"/>
        <v>0.14818486486535953</v>
      </c>
      <c r="Q109" s="42">
        <f t="shared" ca="1" si="509"/>
        <v>0.80257837025641787</v>
      </c>
      <c r="R109" s="42">
        <f t="shared" ca="1" si="510"/>
        <v>0.19742162974358213</v>
      </c>
      <c r="S109" s="42">
        <f t="shared" si="511"/>
        <v>0.98162450344672281</v>
      </c>
      <c r="T109" s="42">
        <f t="shared" si="512"/>
        <v>73.621837758504213</v>
      </c>
      <c r="U109" s="42">
        <f t="shared" si="513"/>
        <v>0.98801719747153338</v>
      </c>
      <c r="V109" s="42">
        <f t="shared" ca="1" si="514"/>
        <v>88.427539173702243</v>
      </c>
      <c r="W109" s="42">
        <f t="shared" ca="1" si="515"/>
        <v>0.23127042408752399</v>
      </c>
      <c r="X109" s="42">
        <f t="shared" ca="1" si="516"/>
        <v>1.4309202521701394</v>
      </c>
      <c r="Y109" s="42">
        <f t="shared" ca="1" si="517"/>
        <v>-0.14640919489197041</v>
      </c>
      <c r="Z109" s="42">
        <f t="shared" ca="1" si="518"/>
        <v>1.3202103680678331E-2</v>
      </c>
      <c r="AA109" s="42">
        <f t="shared" ca="1" si="406"/>
        <v>-1.102489099882294E-2</v>
      </c>
      <c r="AB109" s="42">
        <f t="shared" ca="1" si="519"/>
        <v>0.13925401394587827</v>
      </c>
      <c r="AC109" s="42">
        <f t="shared" ca="1" si="520"/>
        <v>-6.7390947043797222E-2</v>
      </c>
      <c r="AD109" s="42">
        <f t="shared" ca="1" si="420"/>
        <v>-1084.5398739149302</v>
      </c>
      <c r="AF109" s="36">
        <f t="shared" si="118"/>
        <v>80</v>
      </c>
      <c r="AG109" s="35">
        <f t="shared" si="407"/>
        <v>0.28399999999999997</v>
      </c>
      <c r="AH109" s="197">
        <f t="shared" si="126"/>
        <v>169.23611111111677</v>
      </c>
      <c r="AI109" s="41">
        <f t="shared" si="408"/>
        <v>0.46366057838662128</v>
      </c>
      <c r="AJ109" s="40">
        <f t="shared" ca="1" si="521"/>
        <v>0.11221199060692799</v>
      </c>
      <c r="AK109" s="40">
        <f t="shared" si="522"/>
        <v>2.5189751902588361E-2</v>
      </c>
      <c r="AL109" s="40">
        <f t="shared" si="523"/>
        <v>0.19338305926412305</v>
      </c>
      <c r="AM109" s="42">
        <f t="shared" ca="1" si="524"/>
        <v>0.7105159212620209</v>
      </c>
      <c r="AN109" s="42">
        <f t="shared" ca="1" si="525"/>
        <v>0.51713286199789787</v>
      </c>
      <c r="AO109" s="42">
        <f t="shared" ca="1" si="526"/>
        <v>0.76130786930172212</v>
      </c>
      <c r="AP109" s="42">
        <f t="shared" ca="1" si="527"/>
        <v>0.23869213069827794</v>
      </c>
      <c r="AQ109" s="42">
        <f t="shared" ca="1" si="528"/>
        <v>0.69746829248471387</v>
      </c>
      <c r="AR109" s="42">
        <f t="shared" ca="1" si="529"/>
        <v>0.30253170751528613</v>
      </c>
      <c r="AS109" s="42">
        <f t="shared" si="530"/>
        <v>0.98162450344672281</v>
      </c>
      <c r="AT109" s="42">
        <f t="shared" si="531"/>
        <v>78.529960275737821</v>
      </c>
      <c r="AU109" s="42">
        <f t="shared" si="532"/>
        <v>0.98801719747153338</v>
      </c>
      <c r="AV109" s="42">
        <f t="shared" ca="1" si="533"/>
        <v>88.427539173702243</v>
      </c>
      <c r="AW109" s="42">
        <f t="shared" ca="1" si="534"/>
        <v>0.3099466880302722</v>
      </c>
      <c r="AX109" s="42">
        <f t="shared" ca="1" si="535"/>
        <v>2.650845235550122</v>
      </c>
      <c r="AY109" s="42">
        <f t="shared" ca="1" si="536"/>
        <v>-0.23583193003102149</v>
      </c>
      <c r="AZ109" s="42">
        <f t="shared" ca="1" si="537"/>
        <v>1.7693348931249082E-2</v>
      </c>
      <c r="BA109" s="42">
        <f t="shared" ca="1" si="409"/>
        <v>-1.4559127523137937E-2</v>
      </c>
      <c r="BB109" s="42">
        <f t="shared" ca="1" si="538"/>
        <v>0.18662706477812296</v>
      </c>
      <c r="BC109" s="42">
        <f t="shared" ca="1" si="539"/>
        <v>-0.11015556667807981</v>
      </c>
      <c r="BD109" s="42">
        <f t="shared" ca="1" si="421"/>
        <v>1499.5773822249391</v>
      </c>
      <c r="BE109" s="40"/>
      <c r="BF109" s="36">
        <f t="shared" si="119"/>
        <v>90</v>
      </c>
      <c r="BG109" s="35">
        <f t="shared" si="410"/>
        <v>0.28399999999999997</v>
      </c>
      <c r="BH109" s="197">
        <f t="shared" si="127"/>
        <v>169.23611111111677</v>
      </c>
      <c r="BI109" s="41">
        <f t="shared" si="411"/>
        <v>0.46366057838662128</v>
      </c>
      <c r="BJ109" s="40">
        <f t="shared" ca="1" si="540"/>
        <v>-5.5710450494553601E-3</v>
      </c>
      <c r="BK109" s="40">
        <f t="shared" si="541"/>
        <v>2.5189751902588361E-2</v>
      </c>
      <c r="BL109" s="40">
        <f t="shared" si="542"/>
        <v>0.19338305926412305</v>
      </c>
      <c r="BM109" s="42">
        <f t="shared" ca="1" si="543"/>
        <v>0.10144997668248554</v>
      </c>
      <c r="BN109" s="42">
        <f t="shared" ca="1" si="544"/>
        <v>-9.1933082581637515E-2</v>
      </c>
      <c r="BO109" s="42">
        <f t="shared" ca="1" si="545"/>
        <v>0.54040336728698468</v>
      </c>
      <c r="BP109" s="42">
        <f t="shared" ca="1" si="546"/>
        <v>0.45959663271301532</v>
      </c>
      <c r="BQ109" s="42">
        <f t="shared" ca="1" si="547"/>
        <v>0.46337560332619987</v>
      </c>
      <c r="BR109" s="42">
        <f t="shared" ca="1" si="548"/>
        <v>0.53662439667380013</v>
      </c>
      <c r="BS109" s="42">
        <f t="shared" si="549"/>
        <v>0.98162450344672281</v>
      </c>
      <c r="BT109" s="42">
        <f t="shared" si="550"/>
        <v>88.34620531020505</v>
      </c>
      <c r="BU109" s="42">
        <f t="shared" si="551"/>
        <v>0.98801719747153338</v>
      </c>
      <c r="BV109" s="42">
        <f t="shared" ca="1" si="552"/>
        <v>88.427539173702243</v>
      </c>
      <c r="BW109" s="42">
        <f t="shared" ca="1" si="553"/>
        <v>0.39689457723362553</v>
      </c>
      <c r="BX109" s="42">
        <f t="shared" ca="1" si="554"/>
        <v>6.8490637431738506</v>
      </c>
      <c r="BY109" s="42">
        <f t="shared" ca="1" si="555"/>
        <v>0.53392782045106635</v>
      </c>
      <c r="BZ109" s="42">
        <f t="shared" ca="1" si="556"/>
        <v>2.2656781037225519E-2</v>
      </c>
      <c r="CA109" s="42">
        <f t="shared" ca="1" si="412"/>
        <v>-2.1134344621849824E-2</v>
      </c>
      <c r="CB109" s="42">
        <f t="shared" ca="1" si="557"/>
        <v>0.23898067905223461</v>
      </c>
      <c r="CC109" s="42">
        <f t="shared" ca="1" si="558"/>
        <v>0.18981093886644107</v>
      </c>
      <c r="CD109" s="42">
        <f t="shared" ca="1" si="422"/>
        <v>-24.53187158692538</v>
      </c>
      <c r="CE109" s="40"/>
      <c r="CF109" s="36">
        <f t="shared" si="120"/>
        <v>95</v>
      </c>
      <c r="CG109" s="35">
        <f t="shared" si="413"/>
        <v>0.28399999999999997</v>
      </c>
      <c r="CH109" s="197">
        <f t="shared" si="128"/>
        <v>169.23611111111677</v>
      </c>
      <c r="CI109" s="41">
        <f t="shared" si="414"/>
        <v>0.46366057838662128</v>
      </c>
      <c r="CJ109" s="40">
        <f t="shared" ca="1" si="559"/>
        <v>-5.9638266319731105E-2</v>
      </c>
      <c r="CK109" s="40">
        <f t="shared" si="560"/>
        <v>2.5189751902588361E-2</v>
      </c>
      <c r="CL109" s="40">
        <f t="shared" si="561"/>
        <v>0.19338305926412305</v>
      </c>
      <c r="CM109" s="42">
        <f t="shared" ca="1" si="562"/>
        <v>-0.17813615395386251</v>
      </c>
      <c r="CN109" s="42">
        <f t="shared" ca="1" si="563"/>
        <v>-0.37151921321798553</v>
      </c>
      <c r="CO109" s="42">
        <f t="shared" ca="1" si="564"/>
        <v>0.42930802466806051</v>
      </c>
      <c r="CP109" s="42">
        <f t="shared" ca="1" si="565"/>
        <v>0.57069197533193949</v>
      </c>
      <c r="CQ109" s="42">
        <f t="shared" ca="1" si="566"/>
        <v>0.35512542412747139</v>
      </c>
      <c r="CR109" s="42">
        <f t="shared" ca="1" si="567"/>
        <v>0.64487457587252861</v>
      </c>
      <c r="CS109" s="42">
        <f t="shared" si="568"/>
        <v>0.98162450344672281</v>
      </c>
      <c r="CT109" s="42">
        <f t="shared" si="569"/>
        <v>93.254327827438672</v>
      </c>
      <c r="CU109" s="42">
        <f t="shared" si="570"/>
        <v>0.98801719747153338</v>
      </c>
      <c r="CV109" s="42">
        <f t="shared" ca="1" si="571"/>
        <v>88.427539173702243</v>
      </c>
      <c r="CW109" s="42">
        <f t="shared" ca="1" si="572"/>
        <v>0.39266251445902611</v>
      </c>
      <c r="CX109" s="42">
        <f t="shared" ca="1" si="573"/>
        <v>4.8456694474782296</v>
      </c>
      <c r="CY109" s="42">
        <f t="shared" ca="1" si="574"/>
        <v>0.42416371138457704</v>
      </c>
      <c r="CZ109" s="42">
        <f t="shared" ca="1" si="575"/>
        <v>2.2415193156916809E-2</v>
      </c>
      <c r="DA109" s="42">
        <f t="shared" ca="1" si="415"/>
        <v>-2.0763274571497545E-2</v>
      </c>
      <c r="DB109" s="42">
        <f t="shared" ca="1" si="576"/>
        <v>0.23643244258421617</v>
      </c>
      <c r="DC109" s="42">
        <f t="shared" ca="1" si="577"/>
        <v>0.15355039363043271</v>
      </c>
      <c r="DD109" s="42">
        <f t="shared" ca="1" si="423"/>
        <v>-152.16527626088538</v>
      </c>
      <c r="DE109" s="40"/>
      <c r="DF109" s="36">
        <f t="shared" si="121"/>
        <v>200</v>
      </c>
      <c r="DG109" s="35">
        <f t="shared" si="416"/>
        <v>0.28399999999999997</v>
      </c>
      <c r="DH109" s="197">
        <f t="shared" si="129"/>
        <v>169.23611111111677</v>
      </c>
      <c r="DI109" s="41">
        <f t="shared" si="417"/>
        <v>0.46366057838662128</v>
      </c>
      <c r="DJ109" s="40">
        <f t="shared" ca="1" si="578"/>
        <v>-0.804078741267227</v>
      </c>
      <c r="DK109" s="40">
        <f t="shared" si="579"/>
        <v>2.5189751902588361E-2</v>
      </c>
      <c r="DL109" s="40">
        <f t="shared" si="580"/>
        <v>0.19338305926412305</v>
      </c>
      <c r="DM109" s="42">
        <f t="shared" ca="1" si="581"/>
        <v>-4.0277002149440104</v>
      </c>
      <c r="DN109" s="42">
        <f t="shared" ca="1" si="582"/>
        <v>-4.2210832742081337</v>
      </c>
      <c r="DO109" s="42">
        <f t="shared" ca="1" si="583"/>
        <v>2.8162548766517351E-5</v>
      </c>
      <c r="DP109" s="42">
        <f t="shared" ca="1" si="584"/>
        <v>0.99997183745123353</v>
      </c>
      <c r="DQ109" s="42">
        <f t="shared" ca="1" si="585"/>
        <v>1.2156554563659148E-5</v>
      </c>
      <c r="DR109" s="42">
        <f t="shared" ca="1" si="586"/>
        <v>0.99998784344543634</v>
      </c>
      <c r="DS109" s="42">
        <f t="shared" si="587"/>
        <v>0.98162450344672281</v>
      </c>
      <c r="DT109" s="42">
        <f t="shared" si="588"/>
        <v>196.32490068934456</v>
      </c>
      <c r="DU109" s="42">
        <f t="shared" si="589"/>
        <v>0.98801719747153338</v>
      </c>
      <c r="DV109" s="42">
        <f t="shared" ca="1" si="590"/>
        <v>88.427539173702243</v>
      </c>
      <c r="DW109" s="42">
        <f t="shared" ca="1" si="591"/>
        <v>1.1974775803018028E-4</v>
      </c>
      <c r="DX109" s="42">
        <f t="shared" si="592"/>
        <v>0</v>
      </c>
      <c r="DY109" s="92">
        <f t="shared" si="593"/>
        <v>0</v>
      </c>
      <c r="DZ109" s="42">
        <f t="shared" si="594"/>
        <v>0</v>
      </c>
      <c r="EA109" s="42">
        <f t="shared" si="418"/>
        <v>0</v>
      </c>
      <c r="EB109" s="42">
        <f t="shared" si="595"/>
        <v>0</v>
      </c>
      <c r="EC109" s="42">
        <f t="shared" si="596"/>
        <v>0</v>
      </c>
      <c r="ED109" s="42">
        <f t="shared" ca="1" si="424"/>
        <v>0</v>
      </c>
      <c r="EE109" s="40"/>
      <c r="EF109" s="120">
        <f t="shared" ca="1" si="130"/>
        <v>89.5</v>
      </c>
      <c r="EG109" s="42">
        <f t="shared" ca="1" si="597"/>
        <v>238.34036046219813</v>
      </c>
      <c r="EH109" s="36">
        <f t="shared" ca="1" si="419"/>
        <v>238.34036046219813</v>
      </c>
      <c r="EI109" s="36">
        <f t="shared" ca="1" si="124"/>
        <v>-4.7859999999999996</v>
      </c>
      <c r="EJ109" s="153">
        <f t="shared" ca="1" si="131"/>
        <v>-1</v>
      </c>
      <c r="EK109" s="153" t="str">
        <f t="shared" ca="1" si="229"/>
        <v/>
      </c>
      <c r="EL109" s="153" t="str">
        <f t="shared" ca="1" si="501"/>
        <v/>
      </c>
      <c r="EM109" s="153">
        <f t="shared" ca="1" si="230"/>
        <v>2</v>
      </c>
      <c r="EN109" s="153">
        <f t="shared" ca="1" si="231"/>
        <v>0</v>
      </c>
    </row>
    <row r="110" spans="1:146" x14ac:dyDescent="0.3">
      <c r="A110" s="36">
        <f ca="1">IF($M$22=1,A109+'Auto X'!$E$6,A$48)</f>
        <v>90</v>
      </c>
      <c r="B110" s="35">
        <f>IF($M$22=2,B109+'Auto X'!$E$6,B$48)</f>
        <v>0.28399999999999997</v>
      </c>
      <c r="C110" s="39">
        <f>IF($M$22=3,C109+'Auto X'!$E$6,C$48)</f>
        <v>45295.440972222219</v>
      </c>
      <c r="D110" s="35">
        <f>IF($M$22=4,D109+'Auto X'!$E$6,D$48)</f>
        <v>2.5999999999999999E-2</v>
      </c>
      <c r="E110" s="35">
        <f>IF($M$22=5,E109+'Auto X'!$E$6,E$48)</f>
        <v>0.04</v>
      </c>
      <c r="F110" s="36">
        <f t="shared" si="117"/>
        <v>75</v>
      </c>
      <c r="G110" s="35">
        <f t="shared" si="404"/>
        <v>0.28399999999999997</v>
      </c>
      <c r="H110" s="197">
        <f t="shared" si="125"/>
        <v>169.23611111111677</v>
      </c>
      <c r="I110" s="41">
        <f t="shared" si="405"/>
        <v>0.46366057838662128</v>
      </c>
      <c r="J110" s="40">
        <f t="shared" ca="1" si="502"/>
        <v>0.18232155679395459</v>
      </c>
      <c r="K110" s="40">
        <f t="shared" si="503"/>
        <v>2.5189751902588361E-2</v>
      </c>
      <c r="L110" s="40">
        <f t="shared" si="504"/>
        <v>0.19338305926412305</v>
      </c>
      <c r="M110" s="42">
        <f t="shared" ca="1" si="505"/>
        <v>1.0730583614003308</v>
      </c>
      <c r="N110" s="42">
        <f t="shared" ca="1" si="506"/>
        <v>0.87967530213620782</v>
      </c>
      <c r="O110" s="42">
        <f t="shared" ca="1" si="507"/>
        <v>0.85837753418355711</v>
      </c>
      <c r="P110" s="42">
        <f t="shared" ca="1" si="508"/>
        <v>0.14162246581644289</v>
      </c>
      <c r="Q110" s="42">
        <f t="shared" ca="1" si="509"/>
        <v>0.81048238370560721</v>
      </c>
      <c r="R110" s="42">
        <f t="shared" ca="1" si="510"/>
        <v>0.18951761629439273</v>
      </c>
      <c r="S110" s="42">
        <f t="shared" si="511"/>
        <v>0.98162450344672281</v>
      </c>
      <c r="T110" s="42">
        <f t="shared" si="512"/>
        <v>73.621837758504213</v>
      </c>
      <c r="U110" s="42">
        <f t="shared" si="513"/>
        <v>0.98801719747153338</v>
      </c>
      <c r="V110" s="42">
        <f t="shared" ca="1" si="514"/>
        <v>88.921547772438004</v>
      </c>
      <c r="W110" s="42">
        <f t="shared" ca="1" si="515"/>
        <v>0.22432359328650928</v>
      </c>
      <c r="X110" s="42">
        <f t="shared" ca="1" si="516"/>
        <v>1.3593463394569412</v>
      </c>
      <c r="Y110" s="42">
        <f t="shared" ca="1" si="517"/>
        <v>-0.13992543177496994</v>
      </c>
      <c r="Z110" s="42">
        <f t="shared" ca="1" si="518"/>
        <v>1.2734400992578419E-2</v>
      </c>
      <c r="AA110" s="42">
        <f t="shared" ca="1" si="406"/>
        <v>-1.0764654193254111E-2</v>
      </c>
      <c r="AB110" s="42">
        <f t="shared" ca="1" si="519"/>
        <v>0.13582573154031821</v>
      </c>
      <c r="AC110" s="42">
        <f t="shared" ca="1" si="520"/>
        <v>-6.4692869064805661E-2</v>
      </c>
      <c r="AD110" s="42">
        <f t="shared" ca="1" si="420"/>
        <v>-1120.3268302715294</v>
      </c>
      <c r="AF110" s="36">
        <f t="shared" si="118"/>
        <v>80</v>
      </c>
      <c r="AG110" s="35">
        <f t="shared" si="407"/>
        <v>0.28399999999999997</v>
      </c>
      <c r="AH110" s="197">
        <f t="shared" si="126"/>
        <v>169.23611111111677</v>
      </c>
      <c r="AI110" s="41">
        <f t="shared" si="408"/>
        <v>0.46366057838662128</v>
      </c>
      <c r="AJ110" s="40">
        <f t="shared" ca="1" si="521"/>
        <v>0.11778303565638346</v>
      </c>
      <c r="AK110" s="40">
        <f t="shared" si="522"/>
        <v>2.5189751902588361E-2</v>
      </c>
      <c r="AL110" s="40">
        <f t="shared" si="523"/>
        <v>0.19338305926412305</v>
      </c>
      <c r="AM110" s="42">
        <f t="shared" ca="1" si="524"/>
        <v>0.73932426192358047</v>
      </c>
      <c r="AN110" s="42">
        <f t="shared" ca="1" si="525"/>
        <v>0.54594120265945745</v>
      </c>
      <c r="AO110" s="42">
        <f t="shared" ca="1" si="526"/>
        <v>0.77014493989360477</v>
      </c>
      <c r="AP110" s="42">
        <f t="shared" ca="1" si="527"/>
        <v>0.22985506010639525</v>
      </c>
      <c r="AQ110" s="42">
        <f t="shared" ca="1" si="528"/>
        <v>0.70744682263616265</v>
      </c>
      <c r="AR110" s="42">
        <f t="shared" ca="1" si="529"/>
        <v>0.29255317736383735</v>
      </c>
      <c r="AS110" s="42">
        <f t="shared" si="530"/>
        <v>0.98162450344672281</v>
      </c>
      <c r="AT110" s="42">
        <f t="shared" si="531"/>
        <v>78.529960275737821</v>
      </c>
      <c r="AU110" s="42">
        <f t="shared" si="532"/>
        <v>0.98801719747153338</v>
      </c>
      <c r="AV110" s="42">
        <f t="shared" ca="1" si="533"/>
        <v>88.921547772438004</v>
      </c>
      <c r="AW110" s="42">
        <f t="shared" ca="1" si="534"/>
        <v>0.30354096104289713</v>
      </c>
      <c r="AX110" s="42">
        <f t="shared" ca="1" si="535"/>
        <v>2.5351216889355932</v>
      </c>
      <c r="AY110" s="42">
        <f t="shared" ca="1" si="536"/>
        <v>-0.22710075231097146</v>
      </c>
      <c r="AZ110" s="42">
        <f t="shared" ca="1" si="537"/>
        <v>1.7231412260126897E-2</v>
      </c>
      <c r="BA110" s="42">
        <f t="shared" ca="1" si="409"/>
        <v>-1.4359468966861843E-2</v>
      </c>
      <c r="BB110" s="42">
        <f t="shared" ca="1" si="538"/>
        <v>0.18379106933012118</v>
      </c>
      <c r="BC110" s="42">
        <f t="shared" ca="1" si="539"/>
        <v>-0.10652225943741113</v>
      </c>
      <c r="BD110" s="42">
        <f t="shared" ca="1" si="421"/>
        <v>1557.4391555322036</v>
      </c>
      <c r="BE110" s="40"/>
      <c r="BF110" s="36">
        <f t="shared" si="119"/>
        <v>90</v>
      </c>
      <c r="BG110" s="35">
        <f t="shared" si="410"/>
        <v>0.28399999999999997</v>
      </c>
      <c r="BH110" s="197">
        <f t="shared" si="127"/>
        <v>169.23611111111677</v>
      </c>
      <c r="BI110" s="41">
        <f t="shared" si="411"/>
        <v>0.46366057838662128</v>
      </c>
      <c r="BJ110" s="40">
        <f t="shared" ca="1" si="540"/>
        <v>0</v>
      </c>
      <c r="BK110" s="40">
        <f t="shared" si="541"/>
        <v>2.5189751902588361E-2</v>
      </c>
      <c r="BL110" s="40">
        <f t="shared" si="542"/>
        <v>0.19338305926412305</v>
      </c>
      <c r="BM110" s="42">
        <f t="shared" ca="1" si="543"/>
        <v>0.13025831734404478</v>
      </c>
      <c r="BN110" s="42">
        <f t="shared" ca="1" si="544"/>
        <v>-6.3124741920078276E-2</v>
      </c>
      <c r="BO110" s="42">
        <f t="shared" ca="1" si="545"/>
        <v>0.55181897151292092</v>
      </c>
      <c r="BP110" s="42">
        <f t="shared" ca="1" si="546"/>
        <v>0.44818102848707914</v>
      </c>
      <c r="BQ110" s="42">
        <f t="shared" ca="1" si="547"/>
        <v>0.47483358619092353</v>
      </c>
      <c r="BR110" s="42">
        <f t="shared" ca="1" si="548"/>
        <v>0.52516641380907647</v>
      </c>
      <c r="BS110" s="42">
        <f t="shared" si="549"/>
        <v>0.98162450344672281</v>
      </c>
      <c r="BT110" s="42">
        <f t="shared" si="550"/>
        <v>88.34620531020505</v>
      </c>
      <c r="BU110" s="42">
        <f t="shared" si="551"/>
        <v>0.98801719747153338</v>
      </c>
      <c r="BV110" s="42">
        <f t="shared" ca="1" si="552"/>
        <v>88.921547772438004</v>
      </c>
      <c r="BW110" s="42">
        <f t="shared" ca="1" si="553"/>
        <v>0.395572123608114</v>
      </c>
      <c r="BX110" s="42">
        <f t="shared" ca="1" si="554"/>
        <v>7.1188515433195221</v>
      </c>
      <c r="BY110" s="42">
        <f t="shared" ca="1" si="555"/>
        <v>0.54520663374582001</v>
      </c>
      <c r="BZ110" s="42">
        <f t="shared" ca="1" si="556"/>
        <v>2.2455836988478133E-2</v>
      </c>
      <c r="CA110" s="42">
        <f t="shared" ca="1" si="412"/>
        <v>-2.1198789448670836E-2</v>
      </c>
      <c r="CB110" s="42">
        <f t="shared" ca="1" si="557"/>
        <v>0.23951503396883439</v>
      </c>
      <c r="CC110" s="42">
        <f t="shared" ca="1" si="558"/>
        <v>0.19450443258828848</v>
      </c>
      <c r="CD110" s="42">
        <f t="shared" ca="1" si="422"/>
        <v>-159.42577165976112</v>
      </c>
      <c r="CE110" s="40"/>
      <c r="CF110" s="36">
        <f t="shared" si="120"/>
        <v>95</v>
      </c>
      <c r="CG110" s="35">
        <f t="shared" si="413"/>
        <v>0.28399999999999997</v>
      </c>
      <c r="CH110" s="197">
        <f t="shared" si="128"/>
        <v>169.23611111111677</v>
      </c>
      <c r="CI110" s="41">
        <f t="shared" si="414"/>
        <v>0.46366057838662128</v>
      </c>
      <c r="CJ110" s="40">
        <f t="shared" ca="1" si="559"/>
        <v>-5.4067221270275821E-2</v>
      </c>
      <c r="CK110" s="40">
        <f t="shared" si="560"/>
        <v>2.5189751902588361E-2</v>
      </c>
      <c r="CL110" s="40">
        <f t="shared" si="561"/>
        <v>0.19338305926412305</v>
      </c>
      <c r="CM110" s="42">
        <f t="shared" ca="1" si="562"/>
        <v>-0.14932781329230366</v>
      </c>
      <c r="CN110" s="42">
        <f t="shared" ca="1" si="563"/>
        <v>-0.34271087255642674</v>
      </c>
      <c r="CO110" s="42">
        <f t="shared" ca="1" si="564"/>
        <v>0.44064748474090087</v>
      </c>
      <c r="CP110" s="42">
        <f t="shared" ca="1" si="565"/>
        <v>0.55935251525909913</v>
      </c>
      <c r="CQ110" s="42">
        <f t="shared" ca="1" si="566"/>
        <v>0.36590799121863099</v>
      </c>
      <c r="CR110" s="42">
        <f t="shared" ca="1" si="567"/>
        <v>0.63409200878136907</v>
      </c>
      <c r="CS110" s="42">
        <f t="shared" si="568"/>
        <v>0.98162450344672281</v>
      </c>
      <c r="CT110" s="42">
        <f t="shared" si="569"/>
        <v>93.254327827438672</v>
      </c>
      <c r="CU110" s="42">
        <f t="shared" si="570"/>
        <v>0.98801719747153338</v>
      </c>
      <c r="CV110" s="42">
        <f t="shared" ca="1" si="571"/>
        <v>88.921547772438004</v>
      </c>
      <c r="CW110" s="42">
        <f t="shared" ca="1" si="572"/>
        <v>0.39451901834880149</v>
      </c>
      <c r="CX110" s="42">
        <f t="shared" ca="1" si="573"/>
        <v>5.0605525974108971</v>
      </c>
      <c r="CY110" s="42">
        <f t="shared" ca="1" si="574"/>
        <v>0.43536729294658516</v>
      </c>
      <c r="CZ110" s="42">
        <f t="shared" ca="1" si="575"/>
        <v>2.2396054312643628E-2</v>
      </c>
      <c r="DA110" s="42">
        <f t="shared" ca="1" si="415"/>
        <v>-2.0991682519481171E-2</v>
      </c>
      <c r="DB110" s="42">
        <f t="shared" ca="1" si="576"/>
        <v>0.23887738908209089</v>
      </c>
      <c r="DC110" s="42">
        <f t="shared" ca="1" si="577"/>
        <v>0.15821259832969353</v>
      </c>
      <c r="DD110" s="42">
        <f t="shared" ca="1" si="423"/>
        <v>-44.72370129455161</v>
      </c>
      <c r="DE110" s="40"/>
      <c r="DF110" s="36">
        <f t="shared" si="121"/>
        <v>200</v>
      </c>
      <c r="DG110" s="35">
        <f t="shared" si="416"/>
        <v>0.28399999999999997</v>
      </c>
      <c r="DH110" s="197">
        <f t="shared" si="129"/>
        <v>169.23611111111677</v>
      </c>
      <c r="DI110" s="41">
        <f t="shared" si="417"/>
        <v>0.46366057838662128</v>
      </c>
      <c r="DJ110" s="40">
        <f t="shared" ca="1" si="578"/>
        <v>-0.79850769621777162</v>
      </c>
      <c r="DK110" s="40">
        <f t="shared" si="579"/>
        <v>2.5189751902588361E-2</v>
      </c>
      <c r="DL110" s="40">
        <f t="shared" si="580"/>
        <v>0.19338305926412305</v>
      </c>
      <c r="DM110" s="42">
        <f t="shared" ca="1" si="581"/>
        <v>-3.9988918742824509</v>
      </c>
      <c r="DN110" s="42">
        <f t="shared" ca="1" si="582"/>
        <v>-4.1922749335465737</v>
      </c>
      <c r="DO110" s="42">
        <f t="shared" ca="1" si="583"/>
        <v>3.1819871675447109E-5</v>
      </c>
      <c r="DP110" s="42">
        <f t="shared" ca="1" si="584"/>
        <v>0.99996818012832456</v>
      </c>
      <c r="DQ110" s="42">
        <f t="shared" ca="1" si="585"/>
        <v>1.3808550834365768E-5</v>
      </c>
      <c r="DR110" s="42">
        <f t="shared" ca="1" si="586"/>
        <v>0.99998619144916567</v>
      </c>
      <c r="DS110" s="42">
        <f t="shared" si="587"/>
        <v>0.98162450344672281</v>
      </c>
      <c r="DT110" s="42">
        <f t="shared" si="588"/>
        <v>196.32490068934456</v>
      </c>
      <c r="DU110" s="42">
        <f t="shared" si="589"/>
        <v>0.98801719747153338</v>
      </c>
      <c r="DV110" s="42">
        <f t="shared" ca="1" si="590"/>
        <v>88.921547772438004</v>
      </c>
      <c r="DW110" s="42">
        <f t="shared" ca="1" si="591"/>
        <v>1.3442466272309121E-4</v>
      </c>
      <c r="DX110" s="42">
        <f t="shared" si="592"/>
        <v>0</v>
      </c>
      <c r="DY110" s="92">
        <f t="shared" si="593"/>
        <v>0</v>
      </c>
      <c r="DZ110" s="42">
        <f t="shared" si="594"/>
        <v>0</v>
      </c>
      <c r="EA110" s="42">
        <f t="shared" si="418"/>
        <v>0</v>
      </c>
      <c r="EB110" s="42">
        <f t="shared" si="595"/>
        <v>0</v>
      </c>
      <c r="EC110" s="42">
        <f t="shared" si="596"/>
        <v>0</v>
      </c>
      <c r="ED110" s="42">
        <f t="shared" ca="1" si="424"/>
        <v>0</v>
      </c>
      <c r="EE110" s="40"/>
      <c r="EF110" s="120">
        <f t="shared" ca="1" si="130"/>
        <v>90</v>
      </c>
      <c r="EG110" s="42">
        <f t="shared" ca="1" si="597"/>
        <v>232.96285230636144</v>
      </c>
      <c r="EH110" s="36">
        <f t="shared" ca="1" si="419"/>
        <v>232.96285230636144</v>
      </c>
      <c r="EI110" s="36">
        <f t="shared" ca="1" si="124"/>
        <v>-5.3780000000000001</v>
      </c>
      <c r="EJ110" s="153">
        <f t="shared" ca="1" si="131"/>
        <v>-1</v>
      </c>
      <c r="EK110" s="153" t="str">
        <f t="shared" ca="1" si="229"/>
        <v/>
      </c>
      <c r="EL110" s="153" t="str">
        <f t="shared" ca="1" si="501"/>
        <v/>
      </c>
      <c r="EM110" s="153">
        <f t="shared" ca="1" si="230"/>
        <v>2</v>
      </c>
      <c r="EN110" s="153">
        <f t="shared" ca="1" si="231"/>
        <v>0</v>
      </c>
    </row>
    <row r="111" spans="1:146" x14ac:dyDescent="0.3">
      <c r="A111" s="36">
        <f ca="1">IF($M$22=1,A110+'Auto X'!$E$6,A$48)</f>
        <v>90.5</v>
      </c>
      <c r="B111" s="35">
        <f>IF($M$22=2,B110+'Auto X'!$E$6,B$48)</f>
        <v>0.28399999999999997</v>
      </c>
      <c r="C111" s="39">
        <f>IF($M$22=3,C110+'Auto X'!$E$6,C$48)</f>
        <v>45295.440972222219</v>
      </c>
      <c r="D111" s="35">
        <f>IF($M$22=4,D110+'Auto X'!$E$6,D$48)</f>
        <v>2.5999999999999999E-2</v>
      </c>
      <c r="E111" s="35">
        <f>IF($M$22=5,E110+'Auto X'!$E$6,E$48)</f>
        <v>0.04</v>
      </c>
      <c r="F111" s="36">
        <f t="shared" si="117"/>
        <v>75</v>
      </c>
      <c r="G111" s="35">
        <f t="shared" si="404"/>
        <v>0.28399999999999997</v>
      </c>
      <c r="H111" s="197">
        <f t="shared" si="125"/>
        <v>169.23611111111677</v>
      </c>
      <c r="I111" s="41">
        <f t="shared" si="405"/>
        <v>0.46366057838662128</v>
      </c>
      <c r="J111" s="40">
        <f t="shared" ca="1" si="502"/>
        <v>0.18786173716957008</v>
      </c>
      <c r="K111" s="40">
        <f t="shared" si="503"/>
        <v>2.5189751902588361E-2</v>
      </c>
      <c r="L111" s="40">
        <f t="shared" si="504"/>
        <v>0.19338305926412305</v>
      </c>
      <c r="M111" s="42">
        <f t="shared" ca="1" si="505"/>
        <v>1.1017070982477952</v>
      </c>
      <c r="N111" s="42">
        <f t="shared" ca="1" si="506"/>
        <v>0.9083240389836722</v>
      </c>
      <c r="O111" s="42">
        <f t="shared" ca="1" si="507"/>
        <v>0.86470548498760968</v>
      </c>
      <c r="P111" s="42">
        <f t="shared" ca="1" si="508"/>
        <v>0.13529451501239032</v>
      </c>
      <c r="Q111" s="42">
        <f t="shared" ca="1" si="509"/>
        <v>0.81814647726507228</v>
      </c>
      <c r="R111" s="42">
        <f t="shared" ca="1" si="510"/>
        <v>0.18185352273492769</v>
      </c>
      <c r="S111" s="42">
        <f t="shared" si="511"/>
        <v>0.98162450344672281</v>
      </c>
      <c r="T111" s="42">
        <f t="shared" si="512"/>
        <v>73.621837758504213</v>
      </c>
      <c r="U111" s="42">
        <f t="shared" si="513"/>
        <v>0.98801719747153338</v>
      </c>
      <c r="V111" s="42">
        <f t="shared" ca="1" si="514"/>
        <v>89.415556371173764</v>
      </c>
      <c r="W111" s="42">
        <f t="shared" ca="1" si="515"/>
        <v>0.21744315947178194</v>
      </c>
      <c r="X111" s="42">
        <f t="shared" ca="1" si="516"/>
        <v>1.2909562128023033</v>
      </c>
      <c r="Y111" s="42">
        <f t="shared" ca="1" si="517"/>
        <v>-0.13367330755581219</v>
      </c>
      <c r="Z111" s="42">
        <f t="shared" ca="1" si="518"/>
        <v>1.2275614689436205E-2</v>
      </c>
      <c r="AA111" s="42">
        <f t="shared" ca="1" si="406"/>
        <v>-1.0502983657736494E-2</v>
      </c>
      <c r="AB111" s="42">
        <f t="shared" ca="1" si="519"/>
        <v>0.13239113923054835</v>
      </c>
      <c r="AC111" s="42">
        <f t="shared" ca="1" si="520"/>
        <v>-6.2076689045040601E-2</v>
      </c>
      <c r="AD111" s="42">
        <f t="shared" ca="1" si="420"/>
        <v>-1154.5218935988485</v>
      </c>
      <c r="AF111" s="36">
        <f t="shared" si="118"/>
        <v>80</v>
      </c>
      <c r="AG111" s="35">
        <f t="shared" si="407"/>
        <v>0.28399999999999997</v>
      </c>
      <c r="AH111" s="197">
        <f t="shared" si="126"/>
        <v>169.23611111111677</v>
      </c>
      <c r="AI111" s="41">
        <f t="shared" si="408"/>
        <v>0.46366057838662128</v>
      </c>
      <c r="AJ111" s="40">
        <f t="shared" ca="1" si="521"/>
        <v>0.1233232160319989</v>
      </c>
      <c r="AK111" s="40">
        <f t="shared" si="522"/>
        <v>2.5189751902588361E-2</v>
      </c>
      <c r="AL111" s="40">
        <f t="shared" si="523"/>
        <v>0.19338305926412305</v>
      </c>
      <c r="AM111" s="42">
        <f t="shared" ca="1" si="524"/>
        <v>0.76797299877104486</v>
      </c>
      <c r="AN111" s="42">
        <f t="shared" ca="1" si="525"/>
        <v>0.57458993950692183</v>
      </c>
      <c r="AO111" s="42">
        <f t="shared" ca="1" si="526"/>
        <v>0.77874838672031821</v>
      </c>
      <c r="AP111" s="42">
        <f t="shared" ca="1" si="527"/>
        <v>0.22125161327968176</v>
      </c>
      <c r="AQ111" s="42">
        <f t="shared" ca="1" si="528"/>
        <v>0.71721567116919482</v>
      </c>
      <c r="AR111" s="42">
        <f t="shared" ca="1" si="529"/>
        <v>0.28278432883080518</v>
      </c>
      <c r="AS111" s="42">
        <f t="shared" si="530"/>
        <v>0.98162450344672281</v>
      </c>
      <c r="AT111" s="42">
        <f t="shared" si="531"/>
        <v>78.529960275737821</v>
      </c>
      <c r="AU111" s="42">
        <f t="shared" si="532"/>
        <v>0.98801719747153338</v>
      </c>
      <c r="AV111" s="42">
        <f t="shared" ca="1" si="533"/>
        <v>89.415556371173764</v>
      </c>
      <c r="AW111" s="42">
        <f t="shared" ca="1" si="534"/>
        <v>0.29705742858710321</v>
      </c>
      <c r="AX111" s="42">
        <f t="shared" ca="1" si="535"/>
        <v>2.4237060102617889</v>
      </c>
      <c r="AY111" s="42">
        <f t="shared" ca="1" si="536"/>
        <v>-0.21860039888864671</v>
      </c>
      <c r="AZ111" s="42">
        <f t="shared" ca="1" si="537"/>
        <v>1.6770187403587707E-2</v>
      </c>
      <c r="BA111" s="42">
        <f t="shared" ca="1" si="409"/>
        <v>-1.4151281135529738E-2</v>
      </c>
      <c r="BB111" s="42">
        <f t="shared" ca="1" si="538"/>
        <v>0.18086460610248584</v>
      </c>
      <c r="BC111" s="42">
        <f t="shared" ca="1" si="539"/>
        <v>-0.10296529988832283</v>
      </c>
      <c r="BD111" s="42">
        <f t="shared" ca="1" si="421"/>
        <v>1613.1469948691058</v>
      </c>
      <c r="BE111" s="40"/>
      <c r="BF111" s="36">
        <f t="shared" si="119"/>
        <v>90</v>
      </c>
      <c r="BG111" s="35">
        <f t="shared" si="410"/>
        <v>0.28399999999999997</v>
      </c>
      <c r="BH111" s="197">
        <f t="shared" si="127"/>
        <v>169.23611111111677</v>
      </c>
      <c r="BI111" s="41">
        <f t="shared" si="411"/>
        <v>0.46366057838662128</v>
      </c>
      <c r="BJ111" s="40">
        <f t="shared" ca="1" si="540"/>
        <v>5.5401803756153509E-3</v>
      </c>
      <c r="BK111" s="40">
        <f t="shared" si="541"/>
        <v>2.5189751902588361E-2</v>
      </c>
      <c r="BL111" s="40">
        <f t="shared" si="542"/>
        <v>0.19338305926412305</v>
      </c>
      <c r="BM111" s="42">
        <f t="shared" ca="1" si="543"/>
        <v>0.15890705419150855</v>
      </c>
      <c r="BN111" s="42">
        <f t="shared" ca="1" si="544"/>
        <v>-3.4476005072614502E-2</v>
      </c>
      <c r="BO111" s="42">
        <f t="shared" ca="1" si="545"/>
        <v>0.56312894856105622</v>
      </c>
      <c r="BP111" s="42">
        <f t="shared" ca="1" si="546"/>
        <v>0.43687105143894378</v>
      </c>
      <c r="BQ111" s="42">
        <f t="shared" ca="1" si="547"/>
        <v>0.4862487880746002</v>
      </c>
      <c r="BR111" s="42">
        <f t="shared" ca="1" si="548"/>
        <v>0.51375121192539974</v>
      </c>
      <c r="BS111" s="42">
        <f t="shared" si="549"/>
        <v>0.98162450344672281</v>
      </c>
      <c r="BT111" s="42">
        <f t="shared" si="550"/>
        <v>88.34620531020505</v>
      </c>
      <c r="BU111" s="42">
        <f t="shared" si="551"/>
        <v>0.98801719747153338</v>
      </c>
      <c r="BV111" s="42">
        <f t="shared" ca="1" si="552"/>
        <v>89.415556371173764</v>
      </c>
      <c r="BW111" s="42">
        <f t="shared" ca="1" si="553"/>
        <v>0.39393700859015124</v>
      </c>
      <c r="BX111" s="42">
        <f t="shared" ca="1" si="554"/>
        <v>7.3942529812239215</v>
      </c>
      <c r="BY111" s="42">
        <f t="shared" ca="1" si="555"/>
        <v>0.55638108557238608</v>
      </c>
      <c r="BZ111" s="42">
        <f t="shared" ca="1" si="556"/>
        <v>2.2239462216742542E-2</v>
      </c>
      <c r="CA111" s="42">
        <f t="shared" ca="1" si="412"/>
        <v>-2.1245970051441812E-2</v>
      </c>
      <c r="CB111" s="42">
        <f t="shared" ca="1" si="557"/>
        <v>0.23985012671365522</v>
      </c>
      <c r="CC111" s="42">
        <f t="shared" ca="1" si="558"/>
        <v>0.19918040208546842</v>
      </c>
      <c r="CD111" s="42">
        <f t="shared" ca="1" si="422"/>
        <v>-297.12649061196083</v>
      </c>
      <c r="CE111" s="40"/>
      <c r="CF111" s="36">
        <f t="shared" si="120"/>
        <v>95</v>
      </c>
      <c r="CG111" s="35">
        <f t="shared" si="413"/>
        <v>0.28399999999999997</v>
      </c>
      <c r="CH111" s="197">
        <f t="shared" si="128"/>
        <v>169.23611111111677</v>
      </c>
      <c r="CI111" s="41">
        <f t="shared" si="414"/>
        <v>0.46366057838662128</v>
      </c>
      <c r="CJ111" s="40">
        <f t="shared" ca="1" si="559"/>
        <v>-4.8527040894660436E-2</v>
      </c>
      <c r="CK111" s="40">
        <f t="shared" si="560"/>
        <v>2.5189751902588361E-2</v>
      </c>
      <c r="CL111" s="40">
        <f t="shared" si="561"/>
        <v>0.19338305926412305</v>
      </c>
      <c r="CM111" s="42">
        <f t="shared" ca="1" si="562"/>
        <v>-0.12067907644483972</v>
      </c>
      <c r="CN111" s="42">
        <f t="shared" ca="1" si="563"/>
        <v>-0.3140621357089628</v>
      </c>
      <c r="CO111" s="42">
        <f t="shared" ca="1" si="564"/>
        <v>0.45197261621671347</v>
      </c>
      <c r="CP111" s="42">
        <f t="shared" ca="1" si="565"/>
        <v>0.54802738378328653</v>
      </c>
      <c r="CQ111" s="42">
        <f t="shared" ca="1" si="566"/>
        <v>0.37673692344514997</v>
      </c>
      <c r="CR111" s="42">
        <f t="shared" ca="1" si="567"/>
        <v>0.62326307655485003</v>
      </c>
      <c r="CS111" s="42">
        <f t="shared" si="568"/>
        <v>0.98162450344672281</v>
      </c>
      <c r="CT111" s="42">
        <f t="shared" si="569"/>
        <v>93.254327827438672</v>
      </c>
      <c r="CU111" s="42">
        <f t="shared" si="570"/>
        <v>0.98801719747153338</v>
      </c>
      <c r="CV111" s="42">
        <f t="shared" ca="1" si="571"/>
        <v>89.415556371173764</v>
      </c>
      <c r="CW111" s="42">
        <f t="shared" ca="1" si="572"/>
        <v>0.3960478455419349</v>
      </c>
      <c r="CX111" s="42">
        <f t="shared" ca="1" si="573"/>
        <v>5.281034379897747</v>
      </c>
      <c r="CY111" s="42">
        <f t="shared" ca="1" si="574"/>
        <v>0.44655671760831417</v>
      </c>
      <c r="CZ111" s="42">
        <f t="shared" ca="1" si="575"/>
        <v>2.235862816868725E-2</v>
      </c>
      <c r="DA111" s="42">
        <f t="shared" ca="1" si="415"/>
        <v>-2.1204165544622112E-2</v>
      </c>
      <c r="DB111" s="42">
        <f t="shared" ca="1" si="576"/>
        <v>0.24113531825270124</v>
      </c>
      <c r="DC111" s="42">
        <f t="shared" ca="1" si="577"/>
        <v>0.16289485055104513</v>
      </c>
      <c r="DD111" s="42">
        <f t="shared" ca="1" si="423"/>
        <v>65.517189948873352</v>
      </c>
      <c r="DE111" s="40"/>
      <c r="DF111" s="36">
        <f t="shared" si="121"/>
        <v>200</v>
      </c>
      <c r="DG111" s="35">
        <f t="shared" si="416"/>
        <v>0.28399999999999997</v>
      </c>
      <c r="DH111" s="197">
        <f t="shared" si="129"/>
        <v>169.23611111111677</v>
      </c>
      <c r="DI111" s="41">
        <f t="shared" si="417"/>
        <v>0.46366057838662128</v>
      </c>
      <c r="DJ111" s="40">
        <f t="shared" ca="1" si="578"/>
        <v>-0.79296751584215619</v>
      </c>
      <c r="DK111" s="40">
        <f t="shared" si="579"/>
        <v>2.5189751902588361E-2</v>
      </c>
      <c r="DL111" s="40">
        <f t="shared" si="580"/>
        <v>0.19338305926412305</v>
      </c>
      <c r="DM111" s="42">
        <f t="shared" ca="1" si="581"/>
        <v>-3.9702431374349865</v>
      </c>
      <c r="DN111" s="42">
        <f t="shared" ca="1" si="582"/>
        <v>-4.1636261966991093</v>
      </c>
      <c r="DO111" s="42">
        <f t="shared" ca="1" si="583"/>
        <v>3.5899662326440251E-5</v>
      </c>
      <c r="DP111" s="42">
        <f t="shared" ca="1" si="584"/>
        <v>0.99996410033767358</v>
      </c>
      <c r="DQ111" s="42">
        <f t="shared" ca="1" si="585"/>
        <v>1.5661638554172647E-5</v>
      </c>
      <c r="DR111" s="42">
        <f t="shared" ca="1" si="586"/>
        <v>0.99998433836144585</v>
      </c>
      <c r="DS111" s="42">
        <f t="shared" si="587"/>
        <v>0.98162450344672281</v>
      </c>
      <c r="DT111" s="42">
        <f t="shared" si="588"/>
        <v>196.32490068934456</v>
      </c>
      <c r="DU111" s="42">
        <f t="shared" si="589"/>
        <v>0.98801719747153338</v>
      </c>
      <c r="DV111" s="42">
        <f t="shared" ca="1" si="590"/>
        <v>89.415556371173764</v>
      </c>
      <c r="DW111" s="42">
        <f t="shared" ca="1" si="591"/>
        <v>1.5067975239694469E-4</v>
      </c>
      <c r="DX111" s="42">
        <f t="shared" si="592"/>
        <v>0</v>
      </c>
      <c r="DY111" s="92">
        <f t="shared" si="593"/>
        <v>0</v>
      </c>
      <c r="DZ111" s="42">
        <f t="shared" si="594"/>
        <v>0</v>
      </c>
      <c r="EA111" s="42">
        <f t="shared" si="418"/>
        <v>0</v>
      </c>
      <c r="EB111" s="42">
        <f t="shared" si="595"/>
        <v>0</v>
      </c>
      <c r="EC111" s="42">
        <f t="shared" si="596"/>
        <v>0</v>
      </c>
      <c r="ED111" s="42">
        <f t="shared" ca="1" si="424"/>
        <v>0</v>
      </c>
      <c r="EE111" s="40"/>
      <c r="EF111" s="120">
        <f t="shared" ca="1" si="130"/>
        <v>90.5</v>
      </c>
      <c r="EG111" s="42">
        <f t="shared" ca="1" si="597"/>
        <v>227.01580060716987</v>
      </c>
      <c r="EH111" s="36">
        <f t="shared" ca="1" si="419"/>
        <v>227.01580060716987</v>
      </c>
      <c r="EI111" s="36">
        <f t="shared" ca="1" si="124"/>
        <v>-5.9470000000000001</v>
      </c>
      <c r="EJ111" s="153">
        <f t="shared" ca="1" si="131"/>
        <v>-1</v>
      </c>
      <c r="EK111" s="153" t="str">
        <f t="shared" ca="1" si="229"/>
        <v/>
      </c>
      <c r="EL111" s="153" t="str">
        <f t="shared" ca="1" si="501"/>
        <v/>
      </c>
      <c r="EM111" s="153">
        <f t="shared" ca="1" si="230"/>
        <v>2</v>
      </c>
      <c r="EN111" s="153">
        <f t="shared" ca="1" si="231"/>
        <v>0</v>
      </c>
      <c r="EP111" s="267"/>
    </row>
    <row r="112" spans="1:146" x14ac:dyDescent="0.3">
      <c r="A112" s="36">
        <f ca="1">IF($M$22=1,A111+'Auto X'!$E$6,A$48)</f>
        <v>91</v>
      </c>
      <c r="B112" s="35">
        <f>IF($M$22=2,B111+'Auto X'!$E$6,B$48)</f>
        <v>0.28399999999999997</v>
      </c>
      <c r="C112" s="39">
        <f>IF($M$22=3,C111+'Auto X'!$E$6,C$48)</f>
        <v>45295.440972222219</v>
      </c>
      <c r="D112" s="35">
        <f>IF($M$22=4,D111+'Auto X'!$E$6,D$48)</f>
        <v>2.5999999999999999E-2</v>
      </c>
      <c r="E112" s="35">
        <f>IF($M$22=5,E111+'Auto X'!$E$6,E$48)</f>
        <v>0.04</v>
      </c>
      <c r="F112" s="36">
        <f t="shared" si="117"/>
        <v>75</v>
      </c>
      <c r="G112" s="35">
        <f t="shared" si="404"/>
        <v>0.28399999999999997</v>
      </c>
      <c r="H112" s="197">
        <f t="shared" si="125"/>
        <v>169.23611111111677</v>
      </c>
      <c r="I112" s="41">
        <f t="shared" si="405"/>
        <v>0.46366057838662128</v>
      </c>
      <c r="J112" s="40">
        <f t="shared" ca="1" si="502"/>
        <v>0.19337139298053962</v>
      </c>
      <c r="K112" s="40">
        <f t="shared" si="503"/>
        <v>2.5189751902588361E-2</v>
      </c>
      <c r="L112" s="40">
        <f t="shared" si="504"/>
        <v>0.19338305926412305</v>
      </c>
      <c r="M112" s="42">
        <f t="shared" ca="1" si="505"/>
        <v>1.1301979900142993</v>
      </c>
      <c r="N112" s="42">
        <f t="shared" ca="1" si="506"/>
        <v>0.9368149307501763</v>
      </c>
      <c r="O112" s="42">
        <f t="shared" ca="1" si="507"/>
        <v>0.8708035967291895</v>
      </c>
      <c r="P112" s="42">
        <f t="shared" ca="1" si="508"/>
        <v>0.12919640327081053</v>
      </c>
      <c r="Q112" s="42">
        <f t="shared" ca="1" si="509"/>
        <v>0.82557311813763712</v>
      </c>
      <c r="R112" s="42">
        <f t="shared" ca="1" si="510"/>
        <v>0.17442688186236285</v>
      </c>
      <c r="S112" s="42">
        <f t="shared" si="511"/>
        <v>0.98162450344672281</v>
      </c>
      <c r="T112" s="42">
        <f t="shared" si="512"/>
        <v>73.621837758504213</v>
      </c>
      <c r="U112" s="42">
        <f t="shared" si="513"/>
        <v>0.98801719747153338</v>
      </c>
      <c r="V112" s="42">
        <f t="shared" ca="1" si="514"/>
        <v>89.909564969909539</v>
      </c>
      <c r="W112" s="42">
        <f t="shared" ca="1" si="515"/>
        <v>0.21063841647198531</v>
      </c>
      <c r="X112" s="42">
        <f t="shared" ca="1" si="516"/>
        <v>1.2256351834370864</v>
      </c>
      <c r="Y112" s="42">
        <f t="shared" ca="1" si="517"/>
        <v>-0.12764826828302825</v>
      </c>
      <c r="Z112" s="42">
        <f t="shared" ca="1" si="518"/>
        <v>1.182611959219192E-2</v>
      </c>
      <c r="AA112" s="42">
        <f t="shared" ca="1" si="406"/>
        <v>-1.0240428164898839E-2</v>
      </c>
      <c r="AB112" s="42">
        <f t="shared" ca="1" si="519"/>
        <v>0.12895659690967026</v>
      </c>
      <c r="AC112" s="42">
        <f t="shared" ca="1" si="520"/>
        <v>-5.9541564791399458E-2</v>
      </c>
      <c r="AD112" s="42">
        <f t="shared" ca="1" si="420"/>
        <v>-1187.1824082814569</v>
      </c>
      <c r="AF112" s="36">
        <f t="shared" si="118"/>
        <v>80</v>
      </c>
      <c r="AG112" s="35">
        <f t="shared" si="407"/>
        <v>0.28399999999999997</v>
      </c>
      <c r="AH112" s="197">
        <f t="shared" si="126"/>
        <v>169.23611111111677</v>
      </c>
      <c r="AI112" s="41">
        <f t="shared" si="408"/>
        <v>0.46366057838662128</v>
      </c>
      <c r="AJ112" s="40">
        <f t="shared" ca="1" si="521"/>
        <v>0.12883287184296838</v>
      </c>
      <c r="AK112" s="40">
        <f t="shared" si="522"/>
        <v>2.5189751902588361E-2</v>
      </c>
      <c r="AL112" s="40">
        <f t="shared" si="523"/>
        <v>0.19338305926412305</v>
      </c>
      <c r="AM112" s="42">
        <f t="shared" ca="1" si="524"/>
        <v>0.79646389053754851</v>
      </c>
      <c r="AN112" s="42">
        <f t="shared" ca="1" si="525"/>
        <v>0.60308083127342549</v>
      </c>
      <c r="AO112" s="42">
        <f t="shared" ca="1" si="526"/>
        <v>0.78711877221839399</v>
      </c>
      <c r="AP112" s="42">
        <f t="shared" ca="1" si="527"/>
        <v>0.21288122778160598</v>
      </c>
      <c r="AQ112" s="42">
        <f t="shared" ca="1" si="528"/>
        <v>0.72677254114767553</v>
      </c>
      <c r="AR112" s="42">
        <f t="shared" ca="1" si="529"/>
        <v>0.27322745885232447</v>
      </c>
      <c r="AS112" s="42">
        <f t="shared" si="530"/>
        <v>0.98162450344672281</v>
      </c>
      <c r="AT112" s="42">
        <f t="shared" si="531"/>
        <v>78.529960275737821</v>
      </c>
      <c r="AU112" s="42">
        <f t="shared" si="532"/>
        <v>0.98801719747153338</v>
      </c>
      <c r="AV112" s="42">
        <f t="shared" ca="1" si="533"/>
        <v>89.909564969909539</v>
      </c>
      <c r="AW112" s="42">
        <f t="shared" ca="1" si="534"/>
        <v>0.29051040154463725</v>
      </c>
      <c r="AX112" s="42">
        <f t="shared" ca="1" si="535"/>
        <v>2.316482909809416</v>
      </c>
      <c r="AY112" s="42">
        <f t="shared" ca="1" si="536"/>
        <v>-0.2103303140670815</v>
      </c>
      <c r="AZ112" s="42">
        <f t="shared" ca="1" si="537"/>
        <v>1.6310466101037695E-2</v>
      </c>
      <c r="BA112" s="42">
        <f t="shared" ca="1" si="409"/>
        <v>-1.393523457776058E-2</v>
      </c>
      <c r="BB112" s="42">
        <f t="shared" ca="1" si="538"/>
        <v>0.17785565129825598</v>
      </c>
      <c r="BC112" s="42">
        <f t="shared" ca="1" si="539"/>
        <v>-9.9485524373899847E-2</v>
      </c>
      <c r="BD112" s="42">
        <f t="shared" ca="1" si="421"/>
        <v>1666.7585450952922</v>
      </c>
      <c r="BE112" s="40"/>
      <c r="BF112" s="36">
        <f t="shared" si="119"/>
        <v>90</v>
      </c>
      <c r="BG112" s="35">
        <f t="shared" si="410"/>
        <v>0.28399999999999997</v>
      </c>
      <c r="BH112" s="197">
        <f t="shared" si="127"/>
        <v>169.23611111111677</v>
      </c>
      <c r="BI112" s="41">
        <f t="shared" si="411"/>
        <v>0.46366057838662128</v>
      </c>
      <c r="BJ112" s="40">
        <f t="shared" ca="1" si="540"/>
        <v>1.1049836186584935E-2</v>
      </c>
      <c r="BK112" s="40">
        <f t="shared" si="541"/>
        <v>2.5189751902588361E-2</v>
      </c>
      <c r="BL112" s="40">
        <f t="shared" si="542"/>
        <v>0.19338305926412305</v>
      </c>
      <c r="BM112" s="42">
        <f t="shared" ca="1" si="543"/>
        <v>0.18739794595801268</v>
      </c>
      <c r="BN112" s="42">
        <f t="shared" ca="1" si="544"/>
        <v>-5.9851133061103734E-3</v>
      </c>
      <c r="BO112" s="42">
        <f t="shared" ca="1" si="545"/>
        <v>0.57432568351763191</v>
      </c>
      <c r="BP112" s="42">
        <f t="shared" ca="1" si="546"/>
        <v>0.42567431648236809</v>
      </c>
      <c r="BQ112" s="42">
        <f t="shared" ca="1" si="547"/>
        <v>0.49761229950440911</v>
      </c>
      <c r="BR112" s="42">
        <f t="shared" ca="1" si="548"/>
        <v>0.50238770049559089</v>
      </c>
      <c r="BS112" s="42">
        <f t="shared" si="549"/>
        <v>0.98162450344672281</v>
      </c>
      <c r="BT112" s="42">
        <f t="shared" si="550"/>
        <v>88.34620531020505</v>
      </c>
      <c r="BU112" s="42">
        <f t="shared" si="551"/>
        <v>0.98801719747153338</v>
      </c>
      <c r="BV112" s="42">
        <f t="shared" ca="1" si="552"/>
        <v>89.909564969909539</v>
      </c>
      <c r="BW112" s="42">
        <f t="shared" ca="1" si="553"/>
        <v>0.39199839708092266</v>
      </c>
      <c r="BX112" s="42">
        <f t="shared" ca="1" si="554"/>
        <v>7.6752139792164584</v>
      </c>
      <c r="BY112" s="42">
        <f t="shared" ca="1" si="555"/>
        <v>0.56744365226501348</v>
      </c>
      <c r="BZ112" s="42">
        <f t="shared" ca="1" si="556"/>
        <v>2.2008425630388684E-2</v>
      </c>
      <c r="CA112" s="42">
        <f t="shared" ca="1" si="412"/>
        <v>-2.12760661398755E-2</v>
      </c>
      <c r="CB112" s="42">
        <f t="shared" ca="1" si="557"/>
        <v>0.23998841297937981</v>
      </c>
      <c r="CC112" s="42">
        <f t="shared" ca="1" si="558"/>
        <v>0.20383519780157594</v>
      </c>
      <c r="CD112" s="42">
        <f t="shared" ca="1" si="422"/>
        <v>-437.6069896082293</v>
      </c>
      <c r="CE112" s="40"/>
      <c r="CF112" s="36">
        <f t="shared" si="120"/>
        <v>95</v>
      </c>
      <c r="CG112" s="35">
        <f t="shared" si="413"/>
        <v>0.28399999999999997</v>
      </c>
      <c r="CH112" s="197">
        <f t="shared" si="128"/>
        <v>169.23611111111677</v>
      </c>
      <c r="CI112" s="41">
        <f t="shared" si="414"/>
        <v>0.46366057838662128</v>
      </c>
      <c r="CJ112" s="40">
        <f t="shared" ca="1" si="559"/>
        <v>-4.3017385083690816E-2</v>
      </c>
      <c r="CK112" s="40">
        <f t="shared" si="560"/>
        <v>2.5189751902588361E-2</v>
      </c>
      <c r="CL112" s="40">
        <f t="shared" si="561"/>
        <v>0.19338305926412305</v>
      </c>
      <c r="CM112" s="42">
        <f t="shared" ca="1" si="562"/>
        <v>-9.2188184678335394E-2</v>
      </c>
      <c r="CN112" s="42">
        <f t="shared" ca="1" si="563"/>
        <v>-0.28557124394245847</v>
      </c>
      <c r="CO112" s="42">
        <f t="shared" ca="1" si="564"/>
        <v>0.46327426266463373</v>
      </c>
      <c r="CP112" s="42">
        <f t="shared" ca="1" si="565"/>
        <v>0.53672573733536622</v>
      </c>
      <c r="CQ112" s="42">
        <f t="shared" ca="1" si="566"/>
        <v>0.38760326532201705</v>
      </c>
      <c r="CR112" s="42">
        <f t="shared" ca="1" si="567"/>
        <v>0.61239673467798295</v>
      </c>
      <c r="CS112" s="42">
        <f t="shared" si="568"/>
        <v>0.98162450344672281</v>
      </c>
      <c r="CT112" s="42">
        <f t="shared" si="569"/>
        <v>93.254327827438672</v>
      </c>
      <c r="CU112" s="42">
        <f t="shared" si="570"/>
        <v>0.98801719747153338</v>
      </c>
      <c r="CV112" s="42">
        <f t="shared" ca="1" si="571"/>
        <v>89.909564969909539</v>
      </c>
      <c r="CW112" s="42">
        <f t="shared" ca="1" si="572"/>
        <v>0.3972506394393383</v>
      </c>
      <c r="CX112" s="42">
        <f t="shared" ca="1" si="573"/>
        <v>5.5071054466077527</v>
      </c>
      <c r="CY112" s="42">
        <f t="shared" ca="1" si="574"/>
        <v>0.45772293865860247</v>
      </c>
      <c r="CZ112" s="42">
        <f t="shared" ca="1" si="575"/>
        <v>2.2303308431437754E-2</v>
      </c>
      <c r="DA112" s="42">
        <f t="shared" ca="1" si="415"/>
        <v>-2.1400499242388474E-2</v>
      </c>
      <c r="DB112" s="42">
        <f t="shared" ca="1" si="576"/>
        <v>0.24320392946507358</v>
      </c>
      <c r="DC112" s="42">
        <f t="shared" ca="1" si="577"/>
        <v>0.16759327809003452</v>
      </c>
      <c r="DD112" s="42">
        <f t="shared" ca="1" si="423"/>
        <v>178.55272330387618</v>
      </c>
      <c r="DE112" s="40"/>
      <c r="DF112" s="36">
        <f t="shared" si="121"/>
        <v>200</v>
      </c>
      <c r="DG112" s="35">
        <f t="shared" si="416"/>
        <v>0.28399999999999997</v>
      </c>
      <c r="DH112" s="197">
        <f t="shared" si="129"/>
        <v>169.23611111111677</v>
      </c>
      <c r="DI112" s="41">
        <f t="shared" si="417"/>
        <v>0.46366057838662128</v>
      </c>
      <c r="DJ112" s="40">
        <f t="shared" ca="1" si="578"/>
        <v>-0.78745786003118656</v>
      </c>
      <c r="DK112" s="40">
        <f t="shared" si="579"/>
        <v>2.5189751902588361E-2</v>
      </c>
      <c r="DL112" s="40">
        <f t="shared" si="580"/>
        <v>0.19338305926412305</v>
      </c>
      <c r="DM112" s="42">
        <f t="shared" ca="1" si="581"/>
        <v>-3.9417522456684821</v>
      </c>
      <c r="DN112" s="42">
        <f t="shared" ca="1" si="582"/>
        <v>-4.1351353049326054</v>
      </c>
      <c r="DO112" s="42">
        <f t="shared" ca="1" si="583"/>
        <v>4.0444253389534494E-5</v>
      </c>
      <c r="DP112" s="42">
        <f t="shared" ca="1" si="584"/>
        <v>0.99995955574661044</v>
      </c>
      <c r="DQ112" s="42">
        <f t="shared" ca="1" si="585"/>
        <v>1.7737278076341128E-5</v>
      </c>
      <c r="DR112" s="42">
        <f t="shared" ca="1" si="586"/>
        <v>0.9999822627219237</v>
      </c>
      <c r="DS112" s="42">
        <f t="shared" si="587"/>
        <v>0.98162450344672281</v>
      </c>
      <c r="DT112" s="42">
        <f t="shared" si="588"/>
        <v>196.32490068934456</v>
      </c>
      <c r="DU112" s="42">
        <f t="shared" si="589"/>
        <v>0.98801719747153338</v>
      </c>
      <c r="DV112" s="42">
        <f t="shared" ca="1" si="590"/>
        <v>89.909564969909539</v>
      </c>
      <c r="DW112" s="42">
        <f t="shared" ca="1" si="591"/>
        <v>1.6865692830718952E-4</v>
      </c>
      <c r="DX112" s="42">
        <f t="shared" si="592"/>
        <v>0</v>
      </c>
      <c r="DY112" s="92">
        <f t="shared" si="593"/>
        <v>0</v>
      </c>
      <c r="DZ112" s="42">
        <f t="shared" si="594"/>
        <v>0</v>
      </c>
      <c r="EA112" s="42">
        <f t="shared" si="418"/>
        <v>0</v>
      </c>
      <c r="EB112" s="42">
        <f t="shared" si="595"/>
        <v>0</v>
      </c>
      <c r="EC112" s="42">
        <f t="shared" si="596"/>
        <v>0</v>
      </c>
      <c r="ED112" s="42">
        <f t="shared" ca="1" si="424"/>
        <v>0</v>
      </c>
      <c r="EE112" s="40"/>
      <c r="EF112" s="120">
        <f t="shared" ca="1" si="130"/>
        <v>91</v>
      </c>
      <c r="EG112" s="42">
        <f t="shared" ca="1" si="597"/>
        <v>220.5218705094822</v>
      </c>
      <c r="EH112" s="36">
        <f t="shared" ca="1" si="419"/>
        <v>220.5218705094822</v>
      </c>
      <c r="EI112" s="36">
        <f t="shared" ca="1" si="124"/>
        <v>-6.4939999999999998</v>
      </c>
      <c r="EJ112" s="153">
        <f ca="1">SIGN(EI112)</f>
        <v>-1</v>
      </c>
      <c r="EK112" s="153" t="str">
        <f t="shared" ca="1" si="229"/>
        <v/>
      </c>
      <c r="EL112" s="153" t="str">
        <f t="shared" ca="1" si="501"/>
        <v/>
      </c>
      <c r="EM112" s="153">
        <f t="shared" ca="1" si="230"/>
        <v>2</v>
      </c>
      <c r="EN112" s="153">
        <f t="shared" ca="1" si="231"/>
        <v>0</v>
      </c>
      <c r="EP112" s="267"/>
    </row>
    <row r="113" spans="1:144" x14ac:dyDescent="0.3">
      <c r="A113" s="36">
        <f ca="1">IF($M$22=1,A112+'Auto X'!$E$6,A$48)</f>
        <v>91.5</v>
      </c>
      <c r="B113" s="35">
        <f>IF($M$22=2,B112+'Auto X'!$E$6,B$48)</f>
        <v>0.28399999999999997</v>
      </c>
      <c r="C113" s="39">
        <f>IF($M$22=3,C112+'Auto X'!$E$6,C$48)</f>
        <v>45295.440972222219</v>
      </c>
      <c r="D113" s="35">
        <f>IF($M$22=4,D112+'Auto X'!$E$6,D$48)</f>
        <v>2.5999999999999999E-2</v>
      </c>
      <c r="E113" s="35">
        <f>IF($M$22=5,E112+'Auto X'!$E$6,E$48)</f>
        <v>0.04</v>
      </c>
      <c r="F113" s="36">
        <f t="shared" si="117"/>
        <v>75</v>
      </c>
      <c r="G113" s="35">
        <f t="shared" si="404"/>
        <v>0.28399999999999997</v>
      </c>
      <c r="H113" s="197">
        <f t="shared" si="125"/>
        <v>169.23611111111677</v>
      </c>
      <c r="I113" s="41">
        <f t="shared" si="405"/>
        <v>0.46366057838662128</v>
      </c>
      <c r="J113" s="40">
        <f t="shared" ca="1" si="502"/>
        <v>0.19885085874516517</v>
      </c>
      <c r="K113" s="40">
        <f t="shared" si="503"/>
        <v>2.5189751902588361E-2</v>
      </c>
      <c r="L113" s="40">
        <f t="shared" si="504"/>
        <v>0.19338305926412305</v>
      </c>
      <c r="M113" s="42">
        <f t="shared" ca="1" si="505"/>
        <v>1.1585327665220062</v>
      </c>
      <c r="N113" s="42">
        <f t="shared" ca="1" si="506"/>
        <v>0.96514970725788318</v>
      </c>
      <c r="O113" s="42">
        <f t="shared" ca="1" si="507"/>
        <v>0.87667665597457256</v>
      </c>
      <c r="P113" s="42">
        <f t="shared" ca="1" si="508"/>
        <v>0.12332334402542745</v>
      </c>
      <c r="Q113" s="42">
        <f t="shared" ca="1" si="509"/>
        <v>0.83276508351898682</v>
      </c>
      <c r="R113" s="42">
        <f t="shared" ca="1" si="510"/>
        <v>0.16723491648101313</v>
      </c>
      <c r="S113" s="42">
        <f t="shared" si="511"/>
        <v>0.98162450344672281</v>
      </c>
      <c r="T113" s="42">
        <f t="shared" si="512"/>
        <v>73.621837758504213</v>
      </c>
      <c r="U113" s="42">
        <f t="shared" si="513"/>
        <v>0.98801719747153338</v>
      </c>
      <c r="V113" s="42">
        <f t="shared" ca="1" si="514"/>
        <v>90.403573568645299</v>
      </c>
      <c r="W113" s="42">
        <f t="shared" ca="1" si="515"/>
        <v>0.20391794045042372</v>
      </c>
      <c r="X113" s="42">
        <f t="shared" ca="1" si="516"/>
        <v>1.1632708843880657</v>
      </c>
      <c r="Y113" s="42">
        <f t="shared" ca="1" si="517"/>
        <v>-0.12184558474682058</v>
      </c>
      <c r="Z113" s="42">
        <f t="shared" ca="1" si="518"/>
        <v>1.1386242256430595E-2</v>
      </c>
      <c r="AA113" s="42">
        <f t="shared" ca="1" si="406"/>
        <v>-9.977510621665046E-3</v>
      </c>
      <c r="AB113" s="42">
        <f t="shared" ca="1" si="519"/>
        <v>0.12552814774075102</v>
      </c>
      <c r="AC113" s="42">
        <f t="shared" ca="1" si="520"/>
        <v>-5.7086548293030601E-2</v>
      </c>
      <c r="AD113" s="42">
        <f t="shared" ca="1" si="420"/>
        <v>-1218.3645578059673</v>
      </c>
      <c r="AF113" s="36">
        <f t="shared" si="118"/>
        <v>80</v>
      </c>
      <c r="AG113" s="35">
        <f t="shared" si="407"/>
        <v>0.28399999999999997</v>
      </c>
      <c r="AH113" s="197">
        <f t="shared" si="126"/>
        <v>169.23611111111677</v>
      </c>
      <c r="AI113" s="41">
        <f t="shared" si="408"/>
        <v>0.46366057838662128</v>
      </c>
      <c r="AJ113" s="40">
        <f t="shared" ca="1" si="521"/>
        <v>0.13431233760759406</v>
      </c>
      <c r="AK113" s="40">
        <f t="shared" si="522"/>
        <v>2.5189751902588361E-2</v>
      </c>
      <c r="AL113" s="40">
        <f t="shared" si="523"/>
        <v>0.19338305926412305</v>
      </c>
      <c r="AM113" s="42">
        <f t="shared" ca="1" si="524"/>
        <v>0.82479866704525584</v>
      </c>
      <c r="AN113" s="42">
        <f t="shared" ca="1" si="525"/>
        <v>0.63141560778113281</v>
      </c>
      <c r="AO113" s="42">
        <f t="shared" ca="1" si="526"/>
        <v>0.79525704821445742</v>
      </c>
      <c r="AP113" s="42">
        <f t="shared" ca="1" si="527"/>
        <v>0.20474295178554258</v>
      </c>
      <c r="AQ113" s="42">
        <f t="shared" ca="1" si="528"/>
        <v>0.73611559327852583</v>
      </c>
      <c r="AR113" s="42">
        <f t="shared" ca="1" si="529"/>
        <v>0.26388440672147417</v>
      </c>
      <c r="AS113" s="42">
        <f t="shared" si="530"/>
        <v>0.98162450344672281</v>
      </c>
      <c r="AT113" s="42">
        <f t="shared" si="531"/>
        <v>78.529960275737821</v>
      </c>
      <c r="AU113" s="42">
        <f t="shared" si="532"/>
        <v>0.98801719747153338</v>
      </c>
      <c r="AV113" s="42">
        <f t="shared" ca="1" si="533"/>
        <v>90.403573568645299</v>
      </c>
      <c r="AW113" s="42">
        <f t="shared" ca="1" si="534"/>
        <v>0.28391370183257991</v>
      </c>
      <c r="AX113" s="42">
        <f t="shared" ca="1" si="535"/>
        <v>2.213337472818111</v>
      </c>
      <c r="AY113" s="42">
        <f t="shared" ca="1" si="536"/>
        <v>-0.20228955742520105</v>
      </c>
      <c r="AZ113" s="42">
        <f t="shared" ca="1" si="537"/>
        <v>1.5852995483600866E-2</v>
      </c>
      <c r="BA113" s="42">
        <f t="shared" ca="1" si="409"/>
        <v>-1.3711992095123872E-2</v>
      </c>
      <c r="BB113" s="42">
        <f t="shared" ca="1" si="538"/>
        <v>0.17477207268052106</v>
      </c>
      <c r="BC113" s="42">
        <f t="shared" ca="1" si="539"/>
        <v>-9.6083602603684565E-2</v>
      </c>
      <c r="BD113" s="42">
        <f t="shared" ca="1" si="421"/>
        <v>1718.3312635909447</v>
      </c>
      <c r="BE113" s="40"/>
      <c r="BF113" s="36">
        <f t="shared" si="119"/>
        <v>90</v>
      </c>
      <c r="BG113" s="35">
        <f t="shared" si="410"/>
        <v>0.28399999999999997</v>
      </c>
      <c r="BH113" s="197">
        <f t="shared" si="127"/>
        <v>169.23611111111677</v>
      </c>
      <c r="BI113" s="41">
        <f t="shared" si="411"/>
        <v>0.46366057838662128</v>
      </c>
      <c r="BJ113" s="40">
        <f t="shared" ca="1" si="540"/>
        <v>1.6529301951210506E-2</v>
      </c>
      <c r="BK113" s="40">
        <f t="shared" si="541"/>
        <v>2.5189751902588361E-2</v>
      </c>
      <c r="BL113" s="40">
        <f t="shared" si="542"/>
        <v>0.19338305926412305</v>
      </c>
      <c r="BM113" s="42">
        <f t="shared" ca="1" si="543"/>
        <v>0.21573272246571965</v>
      </c>
      <c r="BN113" s="42">
        <f t="shared" ca="1" si="544"/>
        <v>2.2349663201596592E-2</v>
      </c>
      <c r="BO113" s="42">
        <f t="shared" ca="1" si="545"/>
        <v>0.585401953538917</v>
      </c>
      <c r="BP113" s="42">
        <f t="shared" ca="1" si="546"/>
        <v>0.414598046461083</v>
      </c>
      <c r="BQ113" s="42">
        <f t="shared" ca="1" si="547"/>
        <v>0.50891548337261683</v>
      </c>
      <c r="BR113" s="42">
        <f t="shared" ca="1" si="548"/>
        <v>0.49108451662738312</v>
      </c>
      <c r="BS113" s="42">
        <f t="shared" si="549"/>
        <v>0.98162450344672281</v>
      </c>
      <c r="BT113" s="42">
        <f t="shared" si="550"/>
        <v>88.34620531020505</v>
      </c>
      <c r="BU113" s="42">
        <f t="shared" si="551"/>
        <v>0.98801719747153338</v>
      </c>
      <c r="BV113" s="42">
        <f t="shared" ca="1" si="552"/>
        <v>90.403573568645299</v>
      </c>
      <c r="BW113" s="42">
        <f t="shared" ca="1" si="553"/>
        <v>0.38976595437967321</v>
      </c>
      <c r="BX113" s="42">
        <f t="shared" ca="1" si="554"/>
        <v>7.9616767944047098</v>
      </c>
      <c r="BY113" s="42">
        <f t="shared" ca="1" si="555"/>
        <v>0.57838719752988155</v>
      </c>
      <c r="BZ113" s="42">
        <f t="shared" ca="1" si="556"/>
        <v>2.1763507271959665E-2</v>
      </c>
      <c r="CA113" s="42">
        <f t="shared" ca="1" si="412"/>
        <v>-2.1289294800982673E-2</v>
      </c>
      <c r="CB113" s="42">
        <f t="shared" ca="1" si="557"/>
        <v>0.23993277981140365</v>
      </c>
      <c r="CC113" s="42">
        <f t="shared" ca="1" si="558"/>
        <v>0.20846528174817119</v>
      </c>
      <c r="CD113" s="42">
        <f t="shared" ca="1" si="422"/>
        <v>-580.83839720235494</v>
      </c>
      <c r="CE113" s="40"/>
      <c r="CF113" s="36">
        <f t="shared" si="120"/>
        <v>95</v>
      </c>
      <c r="CG113" s="35">
        <f t="shared" si="413"/>
        <v>0.28399999999999997</v>
      </c>
      <c r="CH113" s="197">
        <f t="shared" si="128"/>
        <v>169.23611111111677</v>
      </c>
      <c r="CI113" s="41">
        <f t="shared" si="414"/>
        <v>0.46366057838662128</v>
      </c>
      <c r="CJ113" s="40">
        <f t="shared" ca="1" si="559"/>
        <v>-3.7537919319065208E-2</v>
      </c>
      <c r="CK113" s="40">
        <f t="shared" si="560"/>
        <v>2.5189751902588361E-2</v>
      </c>
      <c r="CL113" s="40">
        <f t="shared" si="561"/>
        <v>0.19338305926412305</v>
      </c>
      <c r="CM113" s="42">
        <f t="shared" ca="1" si="562"/>
        <v>-6.3853408170628276E-2</v>
      </c>
      <c r="CN113" s="42">
        <f t="shared" ca="1" si="563"/>
        <v>-0.25723646743475131</v>
      </c>
      <c r="CO113" s="42">
        <f t="shared" ca="1" si="564"/>
        <v>0.47454347570904071</v>
      </c>
      <c r="CP113" s="42">
        <f t="shared" ca="1" si="565"/>
        <v>0.52545652429095924</v>
      </c>
      <c r="CQ113" s="42">
        <f t="shared" ca="1" si="566"/>
        <v>0.39849811699913917</v>
      </c>
      <c r="CR113" s="42">
        <f t="shared" ca="1" si="567"/>
        <v>0.60150188300086083</v>
      </c>
      <c r="CS113" s="42">
        <f t="shared" si="568"/>
        <v>0.98162450344672281</v>
      </c>
      <c r="CT113" s="42">
        <f t="shared" si="569"/>
        <v>93.254327827438672</v>
      </c>
      <c r="CU113" s="42">
        <f t="shared" si="570"/>
        <v>0.98801719747153338</v>
      </c>
      <c r="CV113" s="42">
        <f t="shared" ca="1" si="571"/>
        <v>90.403573568645299</v>
      </c>
      <c r="CW113" s="42">
        <f t="shared" ca="1" si="572"/>
        <v>0.39812981359266908</v>
      </c>
      <c r="CX113" s="42">
        <f t="shared" ca="1" si="573"/>
        <v>5.7387519765281709</v>
      </c>
      <c r="CY113" s="42">
        <f t="shared" ca="1" si="574"/>
        <v>0.46885711494844706</v>
      </c>
      <c r="CZ113" s="42">
        <f t="shared" ca="1" si="575"/>
        <v>2.2230523204876087E-2</v>
      </c>
      <c r="DA113" s="42">
        <f t="shared" ca="1" si="415"/>
        <v>-2.1580501360494931E-2</v>
      </c>
      <c r="DB113" s="42">
        <f t="shared" ca="1" si="576"/>
        <v>0.24508141829143498</v>
      </c>
      <c r="DC113" s="42">
        <f t="shared" ca="1" si="577"/>
        <v>0.1723040327978326</v>
      </c>
      <c r="DD113" s="42">
        <f t="shared" ca="1" si="423"/>
        <v>294.37598826408527</v>
      </c>
      <c r="DE113" s="40"/>
      <c r="DF113" s="36">
        <f t="shared" si="121"/>
        <v>200</v>
      </c>
      <c r="DG113" s="35">
        <f t="shared" si="416"/>
        <v>0.28399999999999997</v>
      </c>
      <c r="DH113" s="197">
        <f t="shared" si="129"/>
        <v>169.23611111111677</v>
      </c>
      <c r="DI113" s="41">
        <f t="shared" si="417"/>
        <v>0.46366057838662128</v>
      </c>
      <c r="DJ113" s="40">
        <f t="shared" ca="1" si="578"/>
        <v>-0.78197839426656102</v>
      </c>
      <c r="DK113" s="40">
        <f t="shared" si="579"/>
        <v>2.5189751902588361E-2</v>
      </c>
      <c r="DL113" s="40">
        <f t="shared" si="580"/>
        <v>0.19338305926412305</v>
      </c>
      <c r="DM113" s="42">
        <f t="shared" ca="1" si="581"/>
        <v>-3.9134174691607755</v>
      </c>
      <c r="DN113" s="42">
        <f t="shared" ca="1" si="582"/>
        <v>-4.1068005284248983</v>
      </c>
      <c r="DO113" s="42">
        <f t="shared" ca="1" si="583"/>
        <v>4.5499505668696795E-5</v>
      </c>
      <c r="DP113" s="42">
        <f t="shared" ca="1" si="584"/>
        <v>0.99995450049433132</v>
      </c>
      <c r="DQ113" s="42">
        <f t="shared" ca="1" si="585"/>
        <v>2.0058869557122654E-5</v>
      </c>
      <c r="DR113" s="42">
        <f t="shared" ca="1" si="586"/>
        <v>0.99997994113044286</v>
      </c>
      <c r="DS113" s="42">
        <f t="shared" si="587"/>
        <v>0.98162450344672281</v>
      </c>
      <c r="DT113" s="42">
        <f t="shared" si="588"/>
        <v>196.32490068934456</v>
      </c>
      <c r="DU113" s="42">
        <f t="shared" si="589"/>
        <v>0.98801719747153338</v>
      </c>
      <c r="DV113" s="42">
        <f t="shared" ca="1" si="590"/>
        <v>90.403573568645299</v>
      </c>
      <c r="DW113" s="42">
        <f t="shared" ca="1" si="591"/>
        <v>1.8851053252536869E-4</v>
      </c>
      <c r="DX113" s="42">
        <f t="shared" si="592"/>
        <v>0</v>
      </c>
      <c r="DY113" s="92">
        <f t="shared" si="593"/>
        <v>0</v>
      </c>
      <c r="DZ113" s="42">
        <f t="shared" si="594"/>
        <v>0</v>
      </c>
      <c r="EA113" s="42">
        <f t="shared" si="418"/>
        <v>0</v>
      </c>
      <c r="EB113" s="42">
        <f t="shared" si="595"/>
        <v>0</v>
      </c>
      <c r="EC113" s="42">
        <f t="shared" si="596"/>
        <v>0</v>
      </c>
      <c r="ED113" s="42">
        <f t="shared" ca="1" si="424"/>
        <v>0</v>
      </c>
      <c r="EE113" s="40"/>
      <c r="EF113" s="120">
        <f t="shared" ca="1" si="130"/>
        <v>91.5</v>
      </c>
      <c r="EG113" s="42">
        <f t="shared" ca="1" si="597"/>
        <v>213.50429684670775</v>
      </c>
      <c r="EH113" s="36">
        <f t="shared" ca="1" si="419"/>
        <v>213.50429684670775</v>
      </c>
      <c r="EI113" s="36">
        <f t="shared" ca="1" si="124"/>
        <v>-7.0179999999999998</v>
      </c>
      <c r="EJ113" s="153">
        <f t="shared" ref="EJ113:EJ150" ca="1" si="598">SIGN(EI113)</f>
        <v>-1</v>
      </c>
      <c r="EK113" s="153" t="str">
        <f t="shared" ca="1" si="229"/>
        <v/>
      </c>
      <c r="EL113" s="153" t="str">
        <f t="shared" ca="1" si="501"/>
        <v/>
      </c>
      <c r="EM113" s="153">
        <f t="shared" ca="1" si="230"/>
        <v>2</v>
      </c>
      <c r="EN113" s="153">
        <f t="shared" ca="1" si="231"/>
        <v>0</v>
      </c>
    </row>
    <row r="114" spans="1:144" x14ac:dyDescent="0.3">
      <c r="A114" s="36">
        <f ca="1">IF($M$22=1,A113+'Auto X'!$E$6,A$48)</f>
        <v>92</v>
      </c>
      <c r="B114" s="35">
        <f>IF($M$22=2,B113+'Auto X'!$E$6,B$48)</f>
        <v>0.28399999999999997</v>
      </c>
      <c r="C114" s="39">
        <f>IF($M$22=3,C113+'Auto X'!$E$6,C$48)</f>
        <v>45295.440972222219</v>
      </c>
      <c r="D114" s="35">
        <f>IF($M$22=4,D113+'Auto X'!$E$6,D$48)</f>
        <v>2.5999999999999999E-2</v>
      </c>
      <c r="E114" s="35">
        <f>IF($M$22=5,E113+'Auto X'!$E$6,E$48)</f>
        <v>0.04</v>
      </c>
      <c r="F114" s="36">
        <f t="shared" si="117"/>
        <v>75</v>
      </c>
      <c r="G114" s="35">
        <f t="shared" ref="G114:G150" si="599">IF($M$22=2,$B114,G$48)</f>
        <v>0.28399999999999997</v>
      </c>
      <c r="H114" s="197">
        <f t="shared" si="125"/>
        <v>169.23611111111677</v>
      </c>
      <c r="I114" s="41">
        <f t="shared" ref="I114:I145" si="600">H114/365</f>
        <v>0.46366057838662128</v>
      </c>
      <c r="J114" s="40">
        <f t="shared" ca="1" si="502"/>
        <v>0.20430046351272979</v>
      </c>
      <c r="K114" s="40">
        <f t="shared" si="503"/>
        <v>2.5189751902588361E-2</v>
      </c>
      <c r="L114" s="40">
        <f t="shared" si="504"/>
        <v>0.19338305926412305</v>
      </c>
      <c r="M114" s="42">
        <f t="shared" ca="1" si="505"/>
        <v>1.1867131293123245</v>
      </c>
      <c r="N114" s="42">
        <f t="shared" ca="1" si="506"/>
        <v>0.99333007004820151</v>
      </c>
      <c r="O114" s="42">
        <f t="shared" ca="1" si="507"/>
        <v>0.88232960277531403</v>
      </c>
      <c r="P114" s="42">
        <f t="shared" ca="1" si="508"/>
        <v>0.117670397224686</v>
      </c>
      <c r="Q114" s="42">
        <f t="shared" ca="1" si="509"/>
        <v>0.83972543593294635</v>
      </c>
      <c r="R114" s="42">
        <f t="shared" ca="1" si="510"/>
        <v>0.16027456406705365</v>
      </c>
      <c r="S114" s="42">
        <f t="shared" si="511"/>
        <v>0.98162450344672281</v>
      </c>
      <c r="T114" s="42">
        <f t="shared" si="512"/>
        <v>73.621837758504213</v>
      </c>
      <c r="U114" s="42">
        <f t="shared" si="513"/>
        <v>0.98801719747153338</v>
      </c>
      <c r="V114" s="42">
        <f t="shared" ca="1" si="514"/>
        <v>90.897582167381074</v>
      </c>
      <c r="W114" s="42">
        <f t="shared" ca="1" si="515"/>
        <v>0.19728960396626391</v>
      </c>
      <c r="X114" s="42">
        <f t="shared" ca="1" si="516"/>
        <v>1.1037533521603482</v>
      </c>
      <c r="Y114" s="42">
        <f t="shared" ca="1" si="517"/>
        <v>-0.11626037609129633</v>
      </c>
      <c r="Z114" s="42">
        <f t="shared" ca="1" si="518"/>
        <v>1.095626306481411E-2</v>
      </c>
      <c r="AA114" s="42">
        <f t="shared" ref="AA114:AA150" ca="1" si="601">IF(OR($F$8&lt;=2,I114&lt;=0),0,(IF($F$8=3,-1*$E114*F114*S114*Q114+$D114*$A114*U114*O114,$E114*F114*S114*R114-$D114*$A114*U114*P114)-(W114*$A114*G114*U114/(2*SQRT(I114))))/365)</f>
        <v>-9.7147277112380644E-3</v>
      </c>
      <c r="AB114" s="42">
        <f t="shared" ca="1" si="519"/>
        <v>0.1221115147894041</v>
      </c>
      <c r="AC114" s="42">
        <f t="shared" ca="1" si="520"/>
        <v>-5.4710594140770043E-2</v>
      </c>
      <c r="AD114" s="42">
        <f t="shared" ca="1" si="420"/>
        <v>-1248.1233239198259</v>
      </c>
      <c r="AF114" s="36">
        <f t="shared" si="118"/>
        <v>80</v>
      </c>
      <c r="AG114" s="35">
        <f t="shared" ref="AG114:AG150" si="602">IF($M$22=2,$B114,AG$48)</f>
        <v>0.28399999999999997</v>
      </c>
      <c r="AH114" s="197">
        <f t="shared" si="126"/>
        <v>169.23611111111677</v>
      </c>
      <c r="AI114" s="41">
        <f t="shared" ref="AI114:AI145" si="603">AH114/365</f>
        <v>0.46366057838662128</v>
      </c>
      <c r="AJ114" s="40">
        <f t="shared" ca="1" si="521"/>
        <v>0.13976194237515863</v>
      </c>
      <c r="AK114" s="40">
        <f t="shared" si="522"/>
        <v>2.5189751902588361E-2</v>
      </c>
      <c r="AL114" s="40">
        <f t="shared" si="523"/>
        <v>0.19338305926412305</v>
      </c>
      <c r="AM114" s="42">
        <f t="shared" ca="1" si="524"/>
        <v>0.85297902983557394</v>
      </c>
      <c r="AN114" s="42">
        <f t="shared" ca="1" si="525"/>
        <v>0.65959597057145092</v>
      </c>
      <c r="AO114" s="42">
        <f t="shared" ca="1" si="526"/>
        <v>0.80316453332958959</v>
      </c>
      <c r="AP114" s="42">
        <f t="shared" ca="1" si="527"/>
        <v>0.19683546667041035</v>
      </c>
      <c r="AQ114" s="42">
        <f t="shared" ca="1" si="528"/>
        <v>0.7452434296267223</v>
      </c>
      <c r="AR114" s="42">
        <f t="shared" ca="1" si="529"/>
        <v>0.2547565703732777</v>
      </c>
      <c r="AS114" s="42">
        <f t="shared" si="530"/>
        <v>0.98162450344672281</v>
      </c>
      <c r="AT114" s="42">
        <f t="shared" si="531"/>
        <v>78.529960275737821</v>
      </c>
      <c r="AU114" s="42">
        <f t="shared" si="532"/>
        <v>0.98801719747153338</v>
      </c>
      <c r="AV114" s="42">
        <f t="shared" ca="1" si="533"/>
        <v>90.897582167381074</v>
      </c>
      <c r="AW114" s="42">
        <f t="shared" ca="1" si="534"/>
        <v>0.27728063972466965</v>
      </c>
      <c r="AX114" s="42">
        <f t="shared" ca="1" si="535"/>
        <v>2.1141553462682836</v>
      </c>
      <c r="AY114" s="42">
        <f t="shared" ca="1" si="536"/>
        <v>-0.19447682614270032</v>
      </c>
      <c r="AZ114" s="42">
        <f t="shared" ca="1" si="537"/>
        <v>1.5398478026865069E-2</v>
      </c>
      <c r="BA114" s="42">
        <f t="shared" ref="BA114:BA150" ca="1" si="604">IF(OR($F$10&lt;=2,AI114&lt;=0),0,(IF($F$10=3,-1*$E114*AF114*AS114*AQ114+$D114*$A114*AU114*AO114,$E114*AF114*AS114*AR114-$D114*$A114*AU114*AP114)-(AW114*$A114*AG114*AU114/(2*SQRT(AI114))))/365)</f>
        <v>-1.3482206811954152E-2</v>
      </c>
      <c r="BB114" s="42">
        <f t="shared" ca="1" si="538"/>
        <v>0.17162160731157566</v>
      </c>
      <c r="BC114" s="42">
        <f t="shared" ca="1" si="539"/>
        <v>-9.2760043583248478E-2</v>
      </c>
      <c r="BD114" s="42">
        <f t="shared" ca="1" si="421"/>
        <v>1767.9223268658584</v>
      </c>
      <c r="BE114" s="40"/>
      <c r="BF114" s="36">
        <f t="shared" si="119"/>
        <v>90</v>
      </c>
      <c r="BG114" s="35">
        <f t="shared" ref="BG114:BG150" si="605">IF($M$22=2,$B114,BG$48)</f>
        <v>0.28399999999999997</v>
      </c>
      <c r="BH114" s="197">
        <f t="shared" si="127"/>
        <v>169.23611111111677</v>
      </c>
      <c r="BI114" s="41">
        <f t="shared" ref="BI114:BI145" si="606">BH114/365</f>
        <v>0.46366057838662128</v>
      </c>
      <c r="BJ114" s="40">
        <f t="shared" ca="1" si="540"/>
        <v>2.1978906718775167E-2</v>
      </c>
      <c r="BK114" s="40">
        <f t="shared" si="541"/>
        <v>2.5189751902588361E-2</v>
      </c>
      <c r="BL114" s="40">
        <f t="shared" si="542"/>
        <v>0.19338305926412305</v>
      </c>
      <c r="BM114" s="42">
        <f t="shared" ca="1" si="543"/>
        <v>0.24391308525603819</v>
      </c>
      <c r="BN114" s="42">
        <f t="shared" ca="1" si="544"/>
        <v>5.053002599191514E-2</v>
      </c>
      <c r="BO114" s="42">
        <f t="shared" ca="1" si="545"/>
        <v>0.59635093268094619</v>
      </c>
      <c r="BP114" s="42">
        <f t="shared" ca="1" si="546"/>
        <v>0.40364906731905381</v>
      </c>
      <c r="BQ114" s="42">
        <f t="shared" ca="1" si="547"/>
        <v>0.52014998866095319</v>
      </c>
      <c r="BR114" s="42">
        <f t="shared" ca="1" si="548"/>
        <v>0.47985001133904681</v>
      </c>
      <c r="BS114" s="42">
        <f t="shared" si="549"/>
        <v>0.98162450344672281</v>
      </c>
      <c r="BT114" s="42">
        <f t="shared" si="550"/>
        <v>88.34620531020505</v>
      </c>
      <c r="BU114" s="42">
        <f t="shared" si="551"/>
        <v>0.98801719747153338</v>
      </c>
      <c r="BV114" s="42">
        <f t="shared" ca="1" si="552"/>
        <v>90.897582167381074</v>
      </c>
      <c r="BW114" s="42">
        <f t="shared" ca="1" si="553"/>
        <v>0.38724979471918825</v>
      </c>
      <c r="BX114" s="42">
        <f t="shared" ca="1" si="554"/>
        <v>8.2535802136192444</v>
      </c>
      <c r="BY114" s="42">
        <f t="shared" ca="1" si="555"/>
        <v>0.58920497721696352</v>
      </c>
      <c r="BZ114" s="42">
        <f t="shared" ca="1" si="556"/>
        <v>2.1505495157586707E-2</v>
      </c>
      <c r="CA114" s="42">
        <f t="shared" ref="CA114:CA150" ca="1" si="607">IF(OR($F$12&lt;=2,BI114&lt;=0),0,(IF($F$12=3,-1*$E114*BF114*BS114*BQ114+$D114*$A114*BU114*BO114,$E114*BF114*BS114*BR114-$D114*$A114*BU114*BP114)-(BW114*$A114*BG114*BU114/(2*SQRT(BI114))))/365)</f>
        <v>-2.1285908565139084E-2</v>
      </c>
      <c r="CB114" s="42">
        <f t="shared" ca="1" si="557"/>
        <v>0.2396865221703823</v>
      </c>
      <c r="CC114" s="42">
        <f t="shared" ca="1" si="558"/>
        <v>0.2130672331266471</v>
      </c>
      <c r="CD114" s="42">
        <f t="shared" ca="1" si="422"/>
        <v>-726.79010680962233</v>
      </c>
      <c r="CE114" s="40"/>
      <c r="CF114" s="36">
        <f t="shared" si="120"/>
        <v>95</v>
      </c>
      <c r="CG114" s="35">
        <f t="shared" ref="CG114:CG150" si="608">IF($M$22=2,$B114,CG$48)</f>
        <v>0.28399999999999997</v>
      </c>
      <c r="CH114" s="197">
        <f t="shared" si="128"/>
        <v>169.23611111111677</v>
      </c>
      <c r="CI114" s="41">
        <f t="shared" ref="CI114:CI145" si="609">CH114/365</f>
        <v>0.46366057838662128</v>
      </c>
      <c r="CJ114" s="40">
        <f t="shared" ca="1" si="559"/>
        <v>-3.2088314551500512E-2</v>
      </c>
      <c r="CK114" s="40">
        <f t="shared" si="560"/>
        <v>2.5189751902588361E-2</v>
      </c>
      <c r="CL114" s="40">
        <f t="shared" si="561"/>
        <v>0.19338305926412305</v>
      </c>
      <c r="CM114" s="42">
        <f t="shared" ca="1" si="562"/>
        <v>-3.5673045380309534E-2</v>
      </c>
      <c r="CN114" s="42">
        <f t="shared" ca="1" si="563"/>
        <v>-0.2290561046444326</v>
      </c>
      <c r="CO114" s="42">
        <f t="shared" ca="1" si="564"/>
        <v>0.48577153176897869</v>
      </c>
      <c r="CP114" s="42">
        <f t="shared" ca="1" si="565"/>
        <v>0.51422846823102131</v>
      </c>
      <c r="CQ114" s="42">
        <f t="shared" ca="1" si="566"/>
        <v>0.40941265494142626</v>
      </c>
      <c r="CR114" s="42">
        <f t="shared" ca="1" si="567"/>
        <v>0.59058734505857369</v>
      </c>
      <c r="CS114" s="42">
        <f t="shared" si="568"/>
        <v>0.98162450344672281</v>
      </c>
      <c r="CT114" s="42">
        <f t="shared" si="569"/>
        <v>93.254327827438672</v>
      </c>
      <c r="CU114" s="42">
        <f t="shared" si="570"/>
        <v>0.98801719747153338</v>
      </c>
      <c r="CV114" s="42">
        <f t="shared" ca="1" si="571"/>
        <v>90.897582167381074</v>
      </c>
      <c r="CW114" s="42">
        <f t="shared" ca="1" si="572"/>
        <v>0.39868852091717399</v>
      </c>
      <c r="CX114" s="42">
        <f t="shared" ca="1" si="573"/>
        <v>5.9759557829355074</v>
      </c>
      <c r="CY114" s="42">
        <f t="shared" ca="1" si="574"/>
        <v>0.47995062742984029</v>
      </c>
      <c r="CZ114" s="42">
        <f t="shared" ca="1" si="575"/>
        <v>2.2140732346125763E-2</v>
      </c>
      <c r="DA114" s="42">
        <f t="shared" ref="DA114:DA150" ca="1" si="610">IF(OR($F$14&lt;=2,CI114&lt;=0),0,(IF($F$14=3,-1*$E114*CF114*CS114*CQ114+$D114*$A114*CU114*CO114,$E114*CF114*CS114*CR114-$D114*$A114*CU114*CP114)-(CW114*$A114*CG114*CU114/(2*SQRT(CI114))))/365)</f>
        <v>-2.1744031353232895E-2</v>
      </c>
      <c r="DB114" s="42">
        <f t="shared" ca="1" si="576"/>
        <v>0.24676647040493868</v>
      </c>
      <c r="DC114" s="42">
        <f t="shared" ca="1" si="577"/>
        <v>0.17702329952296264</v>
      </c>
      <c r="DD114" s="42">
        <f t="shared" ca="1" si="423"/>
        <v>412.97789146775352</v>
      </c>
      <c r="DE114" s="40"/>
      <c r="DF114" s="36">
        <f t="shared" si="121"/>
        <v>200</v>
      </c>
      <c r="DG114" s="35">
        <f t="shared" ref="DG114:DG150" si="611">IF($M$22=2,$B114,DG$48)</f>
        <v>0.28399999999999997</v>
      </c>
      <c r="DH114" s="197">
        <f t="shared" si="129"/>
        <v>169.23611111111677</v>
      </c>
      <c r="DI114" s="41">
        <f t="shared" ref="DI114:DI145" si="612">DH114/365</f>
        <v>0.46366057838662128</v>
      </c>
      <c r="DJ114" s="40">
        <f t="shared" ca="1" si="578"/>
        <v>-0.77652878949899629</v>
      </c>
      <c r="DK114" s="40">
        <f t="shared" si="579"/>
        <v>2.5189751902588361E-2</v>
      </c>
      <c r="DL114" s="40">
        <f t="shared" si="580"/>
        <v>0.19338305926412305</v>
      </c>
      <c r="DM114" s="42">
        <f t="shared" ca="1" si="581"/>
        <v>-3.8852371063704565</v>
      </c>
      <c r="DN114" s="42">
        <f t="shared" ca="1" si="582"/>
        <v>-4.0786201656345797</v>
      </c>
      <c r="DO114" s="42">
        <f t="shared" ca="1" si="583"/>
        <v>5.1115032634104865E-5</v>
      </c>
      <c r="DP114" s="42">
        <f t="shared" ca="1" si="584"/>
        <v>0.99994888496736589</v>
      </c>
      <c r="DQ114" s="42">
        <f t="shared" ca="1" si="585"/>
        <v>2.2651892143617483E-5</v>
      </c>
      <c r="DR114" s="42">
        <f t="shared" ca="1" si="586"/>
        <v>0.99997734810785643</v>
      </c>
      <c r="DS114" s="42">
        <f t="shared" si="587"/>
        <v>0.98162450344672281</v>
      </c>
      <c r="DT114" s="42">
        <f t="shared" si="588"/>
        <v>196.32490068934456</v>
      </c>
      <c r="DU114" s="42">
        <f t="shared" si="589"/>
        <v>0.98801719747153338</v>
      </c>
      <c r="DV114" s="42">
        <f t="shared" ca="1" si="590"/>
        <v>90.897582167381074</v>
      </c>
      <c r="DW114" s="42">
        <f t="shared" ca="1" si="591"/>
        <v>2.1040586130744788E-4</v>
      </c>
      <c r="DX114" s="42">
        <f t="shared" si="592"/>
        <v>0</v>
      </c>
      <c r="DY114" s="92">
        <f t="shared" si="593"/>
        <v>0</v>
      </c>
      <c r="DZ114" s="42">
        <f t="shared" si="594"/>
        <v>0</v>
      </c>
      <c r="EA114" s="42">
        <f t="shared" ref="EA114:EA150" si="613">IF(OR($F$16&lt;=2,DI114&lt;=0),0,(IF($F$16=3,-1*$E114*DF114*DS114*DQ114+$D114*$A114*DU114*DO114,$E114*DF114*DS114*DR114-$D114*$A114*DU114*DP114)-(DW114*$A114*DG114*DU114/(2*SQRT(DI114))))/365)</f>
        <v>0</v>
      </c>
      <c r="EB114" s="42">
        <f t="shared" si="595"/>
        <v>0</v>
      </c>
      <c r="EC114" s="42">
        <f t="shared" si="596"/>
        <v>0</v>
      </c>
      <c r="ED114" s="42">
        <f t="shared" ca="1" si="424"/>
        <v>0</v>
      </c>
      <c r="EE114" s="40"/>
      <c r="EF114" s="120">
        <f t="shared" ca="1" si="130"/>
        <v>92</v>
      </c>
      <c r="EG114" s="42">
        <f t="shared" ca="1" si="597"/>
        <v>205.98678760416368</v>
      </c>
      <c r="EH114" s="36">
        <f t="shared" ref="EH114:EH145" ca="1" si="614">IF($M$26=1,EG114,OFFSET($AD114,0,$M$26*26-52))</f>
        <v>205.98678760416368</v>
      </c>
      <c r="EI114" s="36">
        <f t="shared" ca="1" si="124"/>
        <v>-7.5179999999999998</v>
      </c>
      <c r="EJ114" s="153">
        <f t="shared" ca="1" si="598"/>
        <v>-1</v>
      </c>
      <c r="EK114" s="153" t="str">
        <f t="shared" ca="1" si="229"/>
        <v/>
      </c>
      <c r="EL114" s="153" t="str">
        <f t="shared" ca="1" si="501"/>
        <v/>
      </c>
      <c r="EM114" s="153">
        <f t="shared" ca="1" si="230"/>
        <v>2</v>
      </c>
      <c r="EN114" s="153">
        <f t="shared" ca="1" si="231"/>
        <v>0</v>
      </c>
    </row>
    <row r="115" spans="1:144" x14ac:dyDescent="0.3">
      <c r="A115" s="36">
        <f ca="1">IF($M$22=1,A114+'Auto X'!$E$6,A$48)</f>
        <v>92.5</v>
      </c>
      <c r="B115" s="35">
        <f>IF($M$22=2,B114+'Auto X'!$E$6,B$48)</f>
        <v>0.28399999999999997</v>
      </c>
      <c r="C115" s="39">
        <f>IF($M$22=3,C114+'Auto X'!$E$6,C$48)</f>
        <v>45295.440972222219</v>
      </c>
      <c r="D115" s="35">
        <f>IF($M$22=4,D114+'Auto X'!$E$6,D$48)</f>
        <v>2.5999999999999999E-2</v>
      </c>
      <c r="E115" s="35">
        <f>IF($M$22=5,E114+'Auto X'!$E$6,E$48)</f>
        <v>0.04</v>
      </c>
      <c r="F115" s="36">
        <f t="shared" ref="F115:F150" si="615">F$48</f>
        <v>75</v>
      </c>
      <c r="G115" s="35">
        <f t="shared" si="599"/>
        <v>0.28399999999999997</v>
      </c>
      <c r="H115" s="197">
        <f t="shared" si="125"/>
        <v>169.23611111111677</v>
      </c>
      <c r="I115" s="41">
        <f t="shared" si="600"/>
        <v>0.46366057838662128</v>
      </c>
      <c r="J115" s="40">
        <f t="shared" ca="1" si="502"/>
        <v>0.20972053098206911</v>
      </c>
      <c r="K115" s="40">
        <f t="shared" si="503"/>
        <v>2.5189751902588361E-2</v>
      </c>
      <c r="L115" s="40">
        <f t="shared" si="504"/>
        <v>0.19338305926412305</v>
      </c>
      <c r="M115" s="42">
        <f t="shared" ca="1" si="505"/>
        <v>1.214740752259051</v>
      </c>
      <c r="N115" s="42">
        <f t="shared" ca="1" si="506"/>
        <v>1.021357692994928</v>
      </c>
      <c r="O115" s="42">
        <f t="shared" ca="1" si="507"/>
        <v>0.88776750784323288</v>
      </c>
      <c r="P115" s="42">
        <f t="shared" ca="1" si="508"/>
        <v>0.1122324921567671</v>
      </c>
      <c r="Q115" s="42">
        <f t="shared" ca="1" si="509"/>
        <v>0.84645749909408108</v>
      </c>
      <c r="R115" s="42">
        <f t="shared" ca="1" si="510"/>
        <v>0.15354250090591889</v>
      </c>
      <c r="S115" s="42">
        <f t="shared" si="511"/>
        <v>0.98162450344672281</v>
      </c>
      <c r="T115" s="42">
        <f t="shared" si="512"/>
        <v>73.621837758504213</v>
      </c>
      <c r="U115" s="42">
        <f t="shared" si="513"/>
        <v>0.98801719747153338</v>
      </c>
      <c r="V115" s="42">
        <f t="shared" ca="1" si="514"/>
        <v>91.391590766116835</v>
      </c>
      <c r="W115" s="42">
        <f t="shared" ca="1" si="515"/>
        <v>0.19076059226264758</v>
      </c>
      <c r="X115" s="42">
        <f t="shared" ca="1" si="516"/>
        <v>1.0469750968778708</v>
      </c>
      <c r="Y115" s="42">
        <f t="shared" ca="1" si="517"/>
        <v>-0.1108876323659749</v>
      </c>
      <c r="Z115" s="42">
        <f t="shared" ca="1" si="518"/>
        <v>1.0536418374651194E-2</v>
      </c>
      <c r="AA115" s="42">
        <f t="shared" ca="1" si="601"/>
        <v>-9.4525496774872843E-3</v>
      </c>
      <c r="AB115" s="42">
        <f t="shared" ca="1" si="519"/>
        <v>0.11871209932599555</v>
      </c>
      <c r="AC115" s="42">
        <f t="shared" ca="1" si="520"/>
        <v>-5.2412567766573943E-2</v>
      </c>
      <c r="AD115" s="42">
        <f t="shared" ref="AD115:AD150" ca="1" si="616">IF($F$8=1,0,IF($M$28=1,X115-$G$8,OFFSET(V115,0,$M$28))*IF($M$30=1,SIGN($B$8),$T$8))</f>
        <v>-1276.5124515610646</v>
      </c>
      <c r="AF115" s="36">
        <f t="shared" ref="AF115:AF150" si="617">AF$48</f>
        <v>80</v>
      </c>
      <c r="AG115" s="35">
        <f t="shared" si="602"/>
        <v>0.28399999999999997</v>
      </c>
      <c r="AH115" s="197">
        <f t="shared" si="126"/>
        <v>169.23611111111677</v>
      </c>
      <c r="AI115" s="41">
        <f t="shared" si="603"/>
        <v>0.46366057838662128</v>
      </c>
      <c r="AJ115" s="40">
        <f t="shared" ca="1" si="521"/>
        <v>0.14518200984449789</v>
      </c>
      <c r="AK115" s="40">
        <f t="shared" si="522"/>
        <v>2.5189751902588361E-2</v>
      </c>
      <c r="AL115" s="40">
        <f t="shared" si="523"/>
        <v>0.19338305926412305</v>
      </c>
      <c r="AM115" s="42">
        <f t="shared" ca="1" si="524"/>
        <v>0.88100665278230017</v>
      </c>
      <c r="AN115" s="42">
        <f t="shared" ca="1" si="525"/>
        <v>0.68762359351817715</v>
      </c>
      <c r="AO115" s="42">
        <f t="shared" ca="1" si="526"/>
        <v>0.81084289041257551</v>
      </c>
      <c r="AP115" s="42">
        <f t="shared" ca="1" si="527"/>
        <v>0.18915710958742443</v>
      </c>
      <c r="AQ115" s="42">
        <f t="shared" ca="1" si="528"/>
        <v>0.7541550766531665</v>
      </c>
      <c r="AR115" s="42">
        <f t="shared" ca="1" si="529"/>
        <v>0.2458449233468335</v>
      </c>
      <c r="AS115" s="42">
        <f t="shared" si="530"/>
        <v>0.98162450344672281</v>
      </c>
      <c r="AT115" s="42">
        <f t="shared" si="531"/>
        <v>78.529960275737821</v>
      </c>
      <c r="AU115" s="42">
        <f t="shared" si="532"/>
        <v>0.98801719747153338</v>
      </c>
      <c r="AV115" s="42">
        <f t="shared" ca="1" si="533"/>
        <v>91.391590766116835</v>
      </c>
      <c r="AW115" s="42">
        <f t="shared" ca="1" si="534"/>
        <v>0.27062399487284339</v>
      </c>
      <c r="AX115" s="42">
        <f t="shared" ca="1" si="535"/>
        <v>2.0188229145032359</v>
      </c>
      <c r="AY115" s="42">
        <f t="shared" ca="1" si="536"/>
        <v>-0.18689047729638286</v>
      </c>
      <c r="AZ115" s="42">
        <f t="shared" ca="1" si="537"/>
        <v>1.4947571709537335E-2</v>
      </c>
      <c r="BA115" s="42">
        <f t="shared" ca="1" si="604"/>
        <v>-1.324652039872449E-2</v>
      </c>
      <c r="BB115" s="42">
        <f t="shared" ca="1" si="538"/>
        <v>0.16841184113702964</v>
      </c>
      <c r="BC115" s="42">
        <f t="shared" ca="1" si="539"/>
        <v>-8.9515201790315468E-2</v>
      </c>
      <c r="BD115" s="42">
        <f t="shared" ref="BD115:BD150" ca="1" si="618">IF($F$10=1,0,IF($M$28=1,AX115-$G$10,OFFSET(AV115,0,$M$28))*IF($M$30=1,SIGN($B$10),$T$10))</f>
        <v>1815.5885427483822</v>
      </c>
      <c r="BE115" s="40"/>
      <c r="BF115" s="36">
        <f t="shared" ref="BF115:BF150" si="619">BF$48</f>
        <v>90</v>
      </c>
      <c r="BG115" s="35">
        <f t="shared" si="605"/>
        <v>0.28399999999999997</v>
      </c>
      <c r="BH115" s="197">
        <f t="shared" si="127"/>
        <v>169.23611111111677</v>
      </c>
      <c r="BI115" s="41">
        <f t="shared" si="606"/>
        <v>0.46366057838662128</v>
      </c>
      <c r="BJ115" s="40">
        <f t="shared" ca="1" si="540"/>
        <v>2.7398974188114347E-2</v>
      </c>
      <c r="BK115" s="40">
        <f t="shared" si="541"/>
        <v>2.5189751902588361E-2</v>
      </c>
      <c r="BL115" s="40">
        <f t="shared" si="542"/>
        <v>0.19338305926412305</v>
      </c>
      <c r="BM115" s="42">
        <f t="shared" ca="1" si="543"/>
        <v>0.27194070820276406</v>
      </c>
      <c r="BN115" s="42">
        <f t="shared" ca="1" si="544"/>
        <v>7.8557648938641006E-2</v>
      </c>
      <c r="BO115" s="42">
        <f t="shared" ca="1" si="545"/>
        <v>0.60716619516142056</v>
      </c>
      <c r="BP115" s="42">
        <f t="shared" ca="1" si="546"/>
        <v>0.39283380483857944</v>
      </c>
      <c r="BQ115" s="42">
        <f t="shared" ca="1" si="547"/>
        <v>0.53130776268255131</v>
      </c>
      <c r="BR115" s="42">
        <f t="shared" ca="1" si="548"/>
        <v>0.46869223731744863</v>
      </c>
      <c r="BS115" s="42">
        <f t="shared" si="549"/>
        <v>0.98162450344672281</v>
      </c>
      <c r="BT115" s="42">
        <f t="shared" si="550"/>
        <v>88.34620531020505</v>
      </c>
      <c r="BU115" s="42">
        <f t="shared" si="551"/>
        <v>0.98801719747153338</v>
      </c>
      <c r="BV115" s="42">
        <f t="shared" ca="1" si="552"/>
        <v>91.391590766116835</v>
      </c>
      <c r="BW115" s="42">
        <f t="shared" ca="1" si="553"/>
        <v>0.38446043023552456</v>
      </c>
      <c r="BX115" s="42">
        <f t="shared" ca="1" si="554"/>
        <v>8.5508597503543911</v>
      </c>
      <c r="BY115" s="42">
        <f t="shared" ca="1" si="555"/>
        <v>0.59989064254284086</v>
      </c>
      <c r="BZ115" s="42">
        <f t="shared" ca="1" si="556"/>
        <v>2.123518224289488E-2</v>
      </c>
      <c r="CA115" s="42">
        <f t="shared" ca="1" si="607"/>
        <v>-2.1266193402507252E-2</v>
      </c>
      <c r="CB115" s="42">
        <f t="shared" ca="1" si="557"/>
        <v>0.23925331872630839</v>
      </c>
      <c r="CC115" s="42">
        <f t="shared" ca="1" si="558"/>
        <v>0.21763775334285326</v>
      </c>
      <c r="CD115" s="42">
        <f t="shared" ref="CD115:CD150" ca="1" si="620">IF($F$12=1,0,IF($M$28=1,BX115-$G$12,OFFSET(BV115,0,$M$28))*IF($M$30=1,SIGN($B$12),$T$12))</f>
        <v>-875.42987517719564</v>
      </c>
      <c r="CE115" s="40"/>
      <c r="CF115" s="36">
        <f t="shared" ref="CF115:CF150" si="621">CF$48</f>
        <v>95</v>
      </c>
      <c r="CG115" s="35">
        <f t="shared" si="608"/>
        <v>0.28399999999999997</v>
      </c>
      <c r="CH115" s="197">
        <f t="shared" si="128"/>
        <v>169.23611111111677</v>
      </c>
      <c r="CI115" s="41">
        <f t="shared" si="609"/>
        <v>0.46366057838662128</v>
      </c>
      <c r="CJ115" s="40">
        <f t="shared" ca="1" si="559"/>
        <v>-2.6668247082161294E-2</v>
      </c>
      <c r="CK115" s="40">
        <f t="shared" si="560"/>
        <v>2.5189751902588361E-2</v>
      </c>
      <c r="CL115" s="40">
        <f t="shared" si="561"/>
        <v>0.19338305926412305</v>
      </c>
      <c r="CM115" s="42">
        <f t="shared" ca="1" si="562"/>
        <v>-7.6454224335834944E-3</v>
      </c>
      <c r="CN115" s="42">
        <f t="shared" ca="1" si="563"/>
        <v>-0.20102848169770654</v>
      </c>
      <c r="CO115" s="42">
        <f t="shared" ca="1" si="564"/>
        <v>0.49694994745360094</v>
      </c>
      <c r="CP115" s="42">
        <f t="shared" ca="1" si="565"/>
        <v>0.50305005254639901</v>
      </c>
      <c r="CQ115" s="42">
        <f t="shared" ca="1" si="566"/>
        <v>0.42033815173868017</v>
      </c>
      <c r="CR115" s="42">
        <f t="shared" ca="1" si="567"/>
        <v>0.57966184826131983</v>
      </c>
      <c r="CS115" s="42">
        <f t="shared" si="568"/>
        <v>0.98162450344672281</v>
      </c>
      <c r="CT115" s="42">
        <f t="shared" si="569"/>
        <v>93.254327827438672</v>
      </c>
      <c r="CU115" s="42">
        <f t="shared" si="570"/>
        <v>0.98801719747153338</v>
      </c>
      <c r="CV115" s="42">
        <f t="shared" ca="1" si="571"/>
        <v>91.391590766116835</v>
      </c>
      <c r="CW115" s="42">
        <f t="shared" ca="1" si="572"/>
        <v>0.39893062098814541</v>
      </c>
      <c r="CX115" s="42">
        <f t="shared" ca="1" si="573"/>
        <v>6.2186944283042251</v>
      </c>
      <c r="CY115" s="42">
        <f t="shared" ca="1" si="574"/>
        <v>0.49099509436673255</v>
      </c>
      <c r="CZ115" s="42">
        <f t="shared" ca="1" si="575"/>
        <v>2.2034424800921243E-2</v>
      </c>
      <c r="DA115" s="42">
        <f t="shared" ca="1" si="610"/>
        <v>-2.1890989779919424E-2</v>
      </c>
      <c r="DB115" s="42">
        <f t="shared" ca="1" si="576"/>
        <v>0.24825825366342638</v>
      </c>
      <c r="DC115" s="42">
        <f t="shared" ca="1" si="577"/>
        <v>0.18174730467677047</v>
      </c>
      <c r="DD115" s="42">
        <f t="shared" ref="DD115:DD150" ca="1" si="622">IF($F$14=1,0,IF($M$28=1,CX115-$G$14,OFFSET(CV115,0,$M$28))*IF($M$30=1,SIGN($B$14),$T$14))</f>
        <v>534.34721415211243</v>
      </c>
      <c r="DE115" s="40"/>
      <c r="DF115" s="36">
        <f t="shared" ref="DF115:DF150" si="623">DF$48</f>
        <v>200</v>
      </c>
      <c r="DG115" s="35">
        <f t="shared" si="611"/>
        <v>0.28399999999999997</v>
      </c>
      <c r="DH115" s="197">
        <f t="shared" si="129"/>
        <v>169.23611111111677</v>
      </c>
      <c r="DI115" s="41">
        <f t="shared" si="612"/>
        <v>0.46366057838662128</v>
      </c>
      <c r="DJ115" s="40">
        <f t="shared" ca="1" si="578"/>
        <v>-0.77110872202965708</v>
      </c>
      <c r="DK115" s="40">
        <f t="shared" si="579"/>
        <v>2.5189751902588361E-2</v>
      </c>
      <c r="DL115" s="40">
        <f t="shared" si="580"/>
        <v>0.19338305926412305</v>
      </c>
      <c r="DM115" s="42">
        <f t="shared" ca="1" si="581"/>
        <v>-3.8572094834237305</v>
      </c>
      <c r="DN115" s="42">
        <f t="shared" ca="1" si="582"/>
        <v>-4.0505925426878537</v>
      </c>
      <c r="DO115" s="42">
        <f t="shared" ca="1" si="583"/>
        <v>5.7344433341005249E-5</v>
      </c>
      <c r="DP115" s="42">
        <f t="shared" ca="1" si="584"/>
        <v>0.99994265556665896</v>
      </c>
      <c r="DQ115" s="42">
        <f t="shared" ca="1" si="585"/>
        <v>2.5544049880041579E-5</v>
      </c>
      <c r="DR115" s="42">
        <f t="shared" ca="1" si="586"/>
        <v>0.99997445595011991</v>
      </c>
      <c r="DS115" s="42">
        <f t="shared" si="587"/>
        <v>0.98162450344672281</v>
      </c>
      <c r="DT115" s="42">
        <f t="shared" si="588"/>
        <v>196.32490068934456</v>
      </c>
      <c r="DU115" s="42">
        <f t="shared" si="589"/>
        <v>0.98801719747153338</v>
      </c>
      <c r="DV115" s="42">
        <f t="shared" ca="1" si="590"/>
        <v>91.391590766116835</v>
      </c>
      <c r="DW115" s="42">
        <f t="shared" ca="1" si="591"/>
        <v>2.3451968413850006E-4</v>
      </c>
      <c r="DX115" s="42">
        <f t="shared" si="592"/>
        <v>0</v>
      </c>
      <c r="DY115" s="92">
        <f t="shared" si="593"/>
        <v>0</v>
      </c>
      <c r="DZ115" s="42">
        <f t="shared" si="594"/>
        <v>0</v>
      </c>
      <c r="EA115" s="42">
        <f t="shared" si="613"/>
        <v>0</v>
      </c>
      <c r="EB115" s="42">
        <f t="shared" si="595"/>
        <v>0</v>
      </c>
      <c r="EC115" s="42">
        <f t="shared" si="596"/>
        <v>0</v>
      </c>
      <c r="ED115" s="42">
        <f t="shared" ref="ED115:ED150" ca="1" si="624">IF($F$16=1,0,IF($M$28=1,DX115-$G$16,OFFSET(DV115,0,$M$28))*IF($M$30=1,SIGN($B$16),$T$16))</f>
        <v>0</v>
      </c>
      <c r="EE115" s="40"/>
      <c r="EF115" s="120">
        <f t="shared" ca="1" si="130"/>
        <v>92.5</v>
      </c>
      <c r="EG115" s="42">
        <f t="shared" ca="1" si="597"/>
        <v>197.9934301622344</v>
      </c>
      <c r="EH115" s="36">
        <f t="shared" ca="1" si="614"/>
        <v>197.9934301622344</v>
      </c>
      <c r="EI115" s="36">
        <f t="shared" ca="1" si="124"/>
        <v>-7.9930000000000003</v>
      </c>
      <c r="EJ115" s="153">
        <f t="shared" ca="1" si="598"/>
        <v>-1</v>
      </c>
      <c r="EK115" s="153" t="str">
        <f t="shared" ca="1" si="229"/>
        <v/>
      </c>
      <c r="EL115" s="153" t="str">
        <f t="shared" ca="1" si="501"/>
        <v/>
      </c>
      <c r="EM115" s="153">
        <f t="shared" ca="1" si="230"/>
        <v>2</v>
      </c>
      <c r="EN115" s="153">
        <f t="shared" ca="1" si="231"/>
        <v>0</v>
      </c>
    </row>
    <row r="116" spans="1:144" x14ac:dyDescent="0.3">
      <c r="A116" s="36">
        <f ca="1">IF($M$22=1,A115+'Auto X'!$E$6,A$48)</f>
        <v>93</v>
      </c>
      <c r="B116" s="35">
        <f>IF($M$22=2,B115+'Auto X'!$E$6,B$48)</f>
        <v>0.28399999999999997</v>
      </c>
      <c r="C116" s="39">
        <f>IF($M$22=3,C115+'Auto X'!$E$6,C$48)</f>
        <v>45295.440972222219</v>
      </c>
      <c r="D116" s="35">
        <f>IF($M$22=4,D115+'Auto X'!$E$6,D$48)</f>
        <v>2.5999999999999999E-2</v>
      </c>
      <c r="E116" s="35">
        <f>IF($M$22=5,E115+'Auto X'!$E$6,E$48)</f>
        <v>0.04</v>
      </c>
      <c r="F116" s="36">
        <f t="shared" si="615"/>
        <v>75</v>
      </c>
      <c r="G116" s="35">
        <f t="shared" si="599"/>
        <v>0.28399999999999997</v>
      </c>
      <c r="H116" s="197">
        <f t="shared" ref="H116:H170" si="625">MAX($C$48+H$48-$C116,0)</f>
        <v>169.23611111111677</v>
      </c>
      <c r="I116" s="41">
        <f t="shared" si="600"/>
        <v>0.46366057838662128</v>
      </c>
      <c r="J116" s="40">
        <f t="shared" ca="1" si="502"/>
        <v>0.21511137961694549</v>
      </c>
      <c r="K116" s="40">
        <f t="shared" si="503"/>
        <v>2.5189751902588361E-2</v>
      </c>
      <c r="L116" s="40">
        <f t="shared" si="504"/>
        <v>0.19338305926412305</v>
      </c>
      <c r="M116" s="42">
        <f t="shared" ca="1" si="505"/>
        <v>1.2426172821649801</v>
      </c>
      <c r="N116" s="42">
        <f t="shared" ca="1" si="506"/>
        <v>1.0492342229008571</v>
      </c>
      <c r="O116" s="42">
        <f t="shared" ca="1" si="507"/>
        <v>0.8929955508226024</v>
      </c>
      <c r="P116" s="42">
        <f t="shared" ca="1" si="508"/>
        <v>0.10700444917739754</v>
      </c>
      <c r="Q116" s="42">
        <f t="shared" ca="1" si="509"/>
        <v>0.85296483437023551</v>
      </c>
      <c r="R116" s="42">
        <f t="shared" ca="1" si="510"/>
        <v>0.14703516562976451</v>
      </c>
      <c r="S116" s="42">
        <f t="shared" si="511"/>
        <v>0.98162450344672281</v>
      </c>
      <c r="T116" s="42">
        <f t="shared" si="512"/>
        <v>73.621837758504213</v>
      </c>
      <c r="U116" s="42">
        <f t="shared" si="513"/>
        <v>0.98801719747153338</v>
      </c>
      <c r="V116" s="42">
        <f t="shared" ca="1" si="514"/>
        <v>91.885599364852609</v>
      </c>
      <c r="W116" s="42">
        <f t="shared" ca="1" si="515"/>
        <v>0.1843374215151673</v>
      </c>
      <c r="X116" s="42">
        <f t="shared" ca="1" si="516"/>
        <v>0.99283116141823413</v>
      </c>
      <c r="Y116" s="42">
        <f t="shared" ca="1" si="517"/>
        <v>-0.1057222359932375</v>
      </c>
      <c r="Z116" s="42">
        <f t="shared" ca="1" si="518"/>
        <v>1.0126902703887004E-2</v>
      </c>
      <c r="AA116" s="42">
        <f t="shared" ca="1" si="601"/>
        <v>-9.191420242312889E-3</v>
      </c>
      <c r="AB116" s="42">
        <f t="shared" ca="1" si="519"/>
        <v>0.11533498068313974</v>
      </c>
      <c r="AC116" s="42">
        <f t="shared" ca="1" si="520"/>
        <v>-5.0191253478159142E-2</v>
      </c>
      <c r="AD116" s="42">
        <f t="shared" ca="1" si="616"/>
        <v>-1303.584419290883</v>
      </c>
      <c r="AF116" s="36">
        <f t="shared" si="617"/>
        <v>80</v>
      </c>
      <c r="AG116" s="35">
        <f t="shared" si="602"/>
        <v>0.28399999999999997</v>
      </c>
      <c r="AH116" s="197">
        <f t="shared" ref="AH116:AH170" si="626">MAX($C$48+AH$48-$C116,0)</f>
        <v>169.23611111111677</v>
      </c>
      <c r="AI116" s="41">
        <f t="shared" si="603"/>
        <v>0.46366057838662128</v>
      </c>
      <c r="AJ116" s="40">
        <f t="shared" ca="1" si="521"/>
        <v>0.15057285847937441</v>
      </c>
      <c r="AK116" s="40">
        <f t="shared" si="522"/>
        <v>2.5189751902588361E-2</v>
      </c>
      <c r="AL116" s="40">
        <f t="shared" si="523"/>
        <v>0.19338305926412305</v>
      </c>
      <c r="AM116" s="42">
        <f t="shared" ca="1" si="524"/>
        <v>0.9088831826882301</v>
      </c>
      <c r="AN116" s="42">
        <f t="shared" ca="1" si="525"/>
        <v>0.71550012342410707</v>
      </c>
      <c r="AO116" s="42">
        <f t="shared" ca="1" si="526"/>
        <v>0.81829410410207815</v>
      </c>
      <c r="AP116" s="42">
        <f t="shared" ca="1" si="527"/>
        <v>0.18170589589792188</v>
      </c>
      <c r="AQ116" s="42">
        <f t="shared" ca="1" si="528"/>
        <v>0.76284996769324642</v>
      </c>
      <c r="AR116" s="42">
        <f t="shared" ca="1" si="529"/>
        <v>0.23715003230675358</v>
      </c>
      <c r="AS116" s="42">
        <f t="shared" si="530"/>
        <v>0.98162450344672281</v>
      </c>
      <c r="AT116" s="42">
        <f t="shared" si="531"/>
        <v>78.529960275737821</v>
      </c>
      <c r="AU116" s="42">
        <f t="shared" si="532"/>
        <v>0.98801719747153338</v>
      </c>
      <c r="AV116" s="42">
        <f t="shared" ca="1" si="533"/>
        <v>91.885599364852609</v>
      </c>
      <c r="AW116" s="42">
        <f t="shared" ca="1" si="534"/>
        <v>0.26395600087145177</v>
      </c>
      <c r="AX116" s="42">
        <f t="shared" ca="1" si="535"/>
        <v>1.927227463731235</v>
      </c>
      <c r="AY116" s="42">
        <f t="shared" ca="1" si="536"/>
        <v>-0.17952855002911894</v>
      </c>
      <c r="AZ116" s="42">
        <f t="shared" ca="1" si="537"/>
        <v>1.4500890361604448E-2</v>
      </c>
      <c r="BA116" s="42">
        <f t="shared" ca="1" si="604"/>
        <v>-1.3005561448371006E-2</v>
      </c>
      <c r="BB116" s="42">
        <f t="shared" ca="1" si="538"/>
        <v>0.16515019040343268</v>
      </c>
      <c r="BC116" s="42">
        <f t="shared" ca="1" si="539"/>
        <v>-8.6349283554535916E-2</v>
      </c>
      <c r="BD116" s="42">
        <f t="shared" ca="1" si="618"/>
        <v>1861.3862681343826</v>
      </c>
      <c r="BE116" s="40"/>
      <c r="BF116" s="36">
        <f t="shared" si="619"/>
        <v>90</v>
      </c>
      <c r="BG116" s="35">
        <f t="shared" si="605"/>
        <v>0.28399999999999997</v>
      </c>
      <c r="BH116" s="197">
        <f t="shared" ref="BH116:BH170" si="627">MAX($C$48+BH$48-$C116,0)</f>
        <v>169.23611111111677</v>
      </c>
      <c r="BI116" s="41">
        <f t="shared" si="606"/>
        <v>0.46366057838662128</v>
      </c>
      <c r="BJ116" s="40">
        <f t="shared" ca="1" si="540"/>
        <v>3.278982282299097E-2</v>
      </c>
      <c r="BK116" s="40">
        <f t="shared" si="541"/>
        <v>2.5189751902588361E-2</v>
      </c>
      <c r="BL116" s="40">
        <f t="shared" si="542"/>
        <v>0.19338305926412305</v>
      </c>
      <c r="BM116" s="42">
        <f t="shared" ca="1" si="543"/>
        <v>0.29981723810869437</v>
      </c>
      <c r="BN116" s="42">
        <f t="shared" ca="1" si="544"/>
        <v>0.10643417884457132</v>
      </c>
      <c r="BO116" s="42">
        <f t="shared" ca="1" si="545"/>
        <v>0.61784171711996916</v>
      </c>
      <c r="BP116" s="42">
        <f t="shared" ca="1" si="546"/>
        <v>0.38215828288003084</v>
      </c>
      <c r="BQ116" s="42">
        <f t="shared" ca="1" si="547"/>
        <v>0.542381061857518</v>
      </c>
      <c r="BR116" s="42">
        <f t="shared" ca="1" si="548"/>
        <v>0.45761893814248206</v>
      </c>
      <c r="BS116" s="42">
        <f t="shared" si="549"/>
        <v>0.98162450344672281</v>
      </c>
      <c r="BT116" s="42">
        <f t="shared" si="550"/>
        <v>88.34620531020505</v>
      </c>
      <c r="BU116" s="42">
        <f t="shared" si="551"/>
        <v>0.98801719747153338</v>
      </c>
      <c r="BV116" s="42">
        <f t="shared" ca="1" si="552"/>
        <v>91.885599364852609</v>
      </c>
      <c r="BW116" s="42">
        <f t="shared" ca="1" si="553"/>
        <v>0.38140872061144587</v>
      </c>
      <c r="BX116" s="42">
        <f t="shared" ca="1" si="554"/>
        <v>8.8534478429467782</v>
      </c>
      <c r="BY116" s="42">
        <f t="shared" ca="1" si="555"/>
        <v>0.61043824182987183</v>
      </c>
      <c r="BZ116" s="42">
        <f t="shared" ca="1" si="556"/>
        <v>2.0953363523793938E-2</v>
      </c>
      <c r="CA116" s="42">
        <f t="shared" ca="1" si="607"/>
        <v>-2.123046666335026E-2</v>
      </c>
      <c r="CB116" s="42">
        <f t="shared" ca="1" si="557"/>
        <v>0.23863720704416316</v>
      </c>
      <c r="CC116" s="42">
        <f t="shared" ca="1" si="558"/>
        <v>0.22217367042105518</v>
      </c>
      <c r="CD116" s="42">
        <f t="shared" ca="1" si="620"/>
        <v>-1026.7239214733893</v>
      </c>
      <c r="CE116" s="40"/>
      <c r="CF116" s="36">
        <f t="shared" si="621"/>
        <v>95</v>
      </c>
      <c r="CG116" s="35">
        <f t="shared" si="608"/>
        <v>0.28399999999999997</v>
      </c>
      <c r="CH116" s="197">
        <f t="shared" ref="CH116:CH170" si="628">MAX($C$48+CH$48-$C116,0)</f>
        <v>169.23611111111677</v>
      </c>
      <c r="CI116" s="41">
        <f t="shared" si="609"/>
        <v>0.46366057838662128</v>
      </c>
      <c r="CJ116" s="40">
        <f t="shared" ca="1" si="559"/>
        <v>-2.1277398447284851E-2</v>
      </c>
      <c r="CK116" s="40">
        <f t="shared" si="560"/>
        <v>2.5189751902588361E-2</v>
      </c>
      <c r="CL116" s="40">
        <f t="shared" si="561"/>
        <v>0.19338305926412305</v>
      </c>
      <c r="CM116" s="42">
        <f t="shared" ca="1" si="562"/>
        <v>2.0231107472345904E-2</v>
      </c>
      <c r="CN116" s="42">
        <f t="shared" ca="1" si="563"/>
        <v>-0.17315195179177714</v>
      </c>
      <c r="CO116" s="42">
        <f t="shared" ca="1" si="564"/>
        <v>0.50807049360721757</v>
      </c>
      <c r="CP116" s="42">
        <f t="shared" ca="1" si="565"/>
        <v>0.49192950639278243</v>
      </c>
      <c r="CQ116" s="42">
        <f t="shared" ca="1" si="566"/>
        <v>0.43126599499626428</v>
      </c>
      <c r="CR116" s="42">
        <f t="shared" ca="1" si="567"/>
        <v>0.56873400500373572</v>
      </c>
      <c r="CS116" s="42">
        <f t="shared" si="568"/>
        <v>0.98162450344672281</v>
      </c>
      <c r="CT116" s="42">
        <f t="shared" si="569"/>
        <v>93.254327827438672</v>
      </c>
      <c r="CU116" s="42">
        <f t="shared" si="570"/>
        <v>0.98801719747153338</v>
      </c>
      <c r="CV116" s="42">
        <f t="shared" ca="1" si="571"/>
        <v>91.885599364852609</v>
      </c>
      <c r="CW116" s="42">
        <f t="shared" ca="1" si="572"/>
        <v>0.39886064567413737</v>
      </c>
      <c r="CX116" s="42">
        <f t="shared" ca="1" si="573"/>
        <v>6.4669413464875447</v>
      </c>
      <c r="CY116" s="42">
        <f t="shared" ca="1" si="574"/>
        <v>0.50198238521178173</v>
      </c>
      <c r="CZ116" s="42">
        <f t="shared" ca="1" si="575"/>
        <v>2.1912115933655885E-2</v>
      </c>
      <c r="DA116" s="42">
        <f t="shared" ca="1" si="610"/>
        <v>-2.2021317556840461E-2</v>
      </c>
      <c r="DB116" s="42">
        <f t="shared" ca="1" si="576"/>
        <v>0.24955640849248936</v>
      </c>
      <c r="DC116" s="42">
        <f t="shared" ca="1" si="577"/>
        <v>0.18647232440143938</v>
      </c>
      <c r="DD116" s="42">
        <f t="shared" ca="1" si="622"/>
        <v>658.47067324377213</v>
      </c>
      <c r="DE116" s="40"/>
      <c r="DF116" s="36">
        <f t="shared" si="623"/>
        <v>200</v>
      </c>
      <c r="DG116" s="35">
        <f t="shared" si="611"/>
        <v>0.28399999999999997</v>
      </c>
      <c r="DH116" s="197">
        <f t="shared" ref="DH116:DH170" si="629">MAX($C$48+DH$48-$C116,0)</f>
        <v>169.23611111111677</v>
      </c>
      <c r="DI116" s="41">
        <f t="shared" si="612"/>
        <v>0.46366057838662128</v>
      </c>
      <c r="DJ116" s="40">
        <f t="shared" ca="1" si="578"/>
        <v>-0.7657178733947807</v>
      </c>
      <c r="DK116" s="40">
        <f t="shared" si="579"/>
        <v>2.5189751902588361E-2</v>
      </c>
      <c r="DL116" s="40">
        <f t="shared" si="580"/>
        <v>0.19338305926412305</v>
      </c>
      <c r="DM116" s="42">
        <f t="shared" ca="1" si="581"/>
        <v>-3.8293329535178016</v>
      </c>
      <c r="DN116" s="42">
        <f t="shared" ca="1" si="582"/>
        <v>-4.0227160127819248</v>
      </c>
      <c r="DO116" s="42">
        <f t="shared" ca="1" si="583"/>
        <v>6.4245533601331502E-5</v>
      </c>
      <c r="DP116" s="42">
        <f t="shared" ca="1" si="584"/>
        <v>0.99993575446639871</v>
      </c>
      <c r="DQ116" s="42">
        <f t="shared" ca="1" si="585"/>
        <v>2.8765424396549069E-5</v>
      </c>
      <c r="DR116" s="42">
        <f t="shared" ca="1" si="586"/>
        <v>0.99997123457560344</v>
      </c>
      <c r="DS116" s="42">
        <f t="shared" si="587"/>
        <v>0.98162450344672281</v>
      </c>
      <c r="DT116" s="42">
        <f t="shared" si="588"/>
        <v>196.32490068934456</v>
      </c>
      <c r="DU116" s="42">
        <f t="shared" si="589"/>
        <v>0.98801719747153338</v>
      </c>
      <c r="DV116" s="42">
        <f t="shared" ca="1" si="590"/>
        <v>91.885599364852609</v>
      </c>
      <c r="DW116" s="42">
        <f t="shared" ca="1" si="591"/>
        <v>2.61040766943395E-4</v>
      </c>
      <c r="DX116" s="42">
        <f t="shared" si="592"/>
        <v>0</v>
      </c>
      <c r="DY116" s="92">
        <f t="shared" si="593"/>
        <v>0</v>
      </c>
      <c r="DZ116" s="42">
        <f t="shared" si="594"/>
        <v>0</v>
      </c>
      <c r="EA116" s="42">
        <f t="shared" si="613"/>
        <v>0</v>
      </c>
      <c r="EB116" s="42">
        <f t="shared" si="595"/>
        <v>0</v>
      </c>
      <c r="EC116" s="42">
        <f t="shared" si="596"/>
        <v>0</v>
      </c>
      <c r="ED116" s="42">
        <f t="shared" ca="1" si="624"/>
        <v>0</v>
      </c>
      <c r="EE116" s="40"/>
      <c r="EF116" s="120">
        <f t="shared" ref="EF116:EF150" ca="1" si="630">OFFSET($A116,0,$M$22-1)</f>
        <v>93</v>
      </c>
      <c r="EG116" s="42">
        <f t="shared" ca="1" si="597"/>
        <v>189.5486006138824</v>
      </c>
      <c r="EH116" s="36">
        <f t="shared" ca="1" si="614"/>
        <v>189.5486006138824</v>
      </c>
      <c r="EI116" s="36">
        <f t="shared" ref="EI116:EI150" ca="1" si="631">ROUND(EH116-EH115,$EI$49)</f>
        <v>-8.4450000000000003</v>
      </c>
      <c r="EJ116" s="153">
        <f t="shared" ca="1" si="598"/>
        <v>-1</v>
      </c>
      <c r="EK116" s="153" t="str">
        <f t="shared" ca="1" si="229"/>
        <v/>
      </c>
      <c r="EL116" s="153" t="str">
        <f t="shared" ca="1" si="501"/>
        <v/>
      </c>
      <c r="EM116" s="153">
        <f t="shared" ca="1" si="230"/>
        <v>2</v>
      </c>
      <c r="EN116" s="153">
        <f t="shared" ca="1" si="231"/>
        <v>0</v>
      </c>
    </row>
    <row r="117" spans="1:144" x14ac:dyDescent="0.3">
      <c r="A117" s="36">
        <f ca="1">IF($M$22=1,A116+'Auto X'!$E$6,A$48)</f>
        <v>93.5</v>
      </c>
      <c r="B117" s="35">
        <f>IF($M$22=2,B116+'Auto X'!$E$6,B$48)</f>
        <v>0.28399999999999997</v>
      </c>
      <c r="C117" s="39">
        <f>IF($M$22=3,C116+'Auto X'!$E$6,C$48)</f>
        <v>45295.440972222219</v>
      </c>
      <c r="D117" s="35">
        <f>IF($M$22=4,D116+'Auto X'!$E$6,D$48)</f>
        <v>2.5999999999999999E-2</v>
      </c>
      <c r="E117" s="35">
        <f>IF($M$22=5,E116+'Auto X'!$E$6,E$48)</f>
        <v>0.04</v>
      </c>
      <c r="F117" s="36">
        <f t="shared" si="615"/>
        <v>75</v>
      </c>
      <c r="G117" s="35">
        <f t="shared" si="599"/>
        <v>0.28399999999999997</v>
      </c>
      <c r="H117" s="197">
        <f t="shared" si="625"/>
        <v>169.23611111111677</v>
      </c>
      <c r="I117" s="41">
        <f t="shared" si="600"/>
        <v>0.46366057838662128</v>
      </c>
      <c r="J117" s="40">
        <f t="shared" ca="1" si="502"/>
        <v>0.22047332275833081</v>
      </c>
      <c r="K117" s="40">
        <f t="shared" si="503"/>
        <v>2.5189751902588361E-2</v>
      </c>
      <c r="L117" s="40">
        <f t="shared" si="504"/>
        <v>0.19338305926412305</v>
      </c>
      <c r="M117" s="42">
        <f t="shared" ca="1" si="505"/>
        <v>1.2703443393425273</v>
      </c>
      <c r="N117" s="42">
        <f t="shared" ca="1" si="506"/>
        <v>1.0769612800784043</v>
      </c>
      <c r="O117" s="42">
        <f t="shared" ca="1" si="507"/>
        <v>0.89801899967503362</v>
      </c>
      <c r="P117" s="42">
        <f t="shared" ca="1" si="508"/>
        <v>0.10198100032496643</v>
      </c>
      <c r="Q117" s="42">
        <f t="shared" ca="1" si="509"/>
        <v>0.85925121790855741</v>
      </c>
      <c r="R117" s="42">
        <f t="shared" ca="1" si="510"/>
        <v>0.14074878209144265</v>
      </c>
      <c r="S117" s="42">
        <f t="shared" si="511"/>
        <v>0.98162450344672281</v>
      </c>
      <c r="T117" s="42">
        <f t="shared" si="512"/>
        <v>73.621837758504213</v>
      </c>
      <c r="U117" s="42">
        <f t="shared" si="513"/>
        <v>0.98801719747153338</v>
      </c>
      <c r="V117" s="42">
        <f t="shared" ca="1" si="514"/>
        <v>92.37960796358837</v>
      </c>
      <c r="W117" s="42">
        <f t="shared" ca="1" si="515"/>
        <v>0.17802595878460986</v>
      </c>
      <c r="X117" s="42">
        <f t="shared" ca="1" si="516"/>
        <v>0.94121917008827616</v>
      </c>
      <c r="Y117" s="42">
        <f t="shared" ca="1" si="517"/>
        <v>-0.10075898213641682</v>
      </c>
      <c r="Z117" s="42">
        <f t="shared" ca="1" si="518"/>
        <v>9.7278709400802667E-3</v>
      </c>
      <c r="AA117" s="42">
        <f t="shared" ca="1" si="601"/>
        <v>-8.9317566464840233E-3</v>
      </c>
      <c r="AB117" s="42">
        <f t="shared" ca="1" si="519"/>
        <v>0.11198491755355164</v>
      </c>
      <c r="AC117" s="42">
        <f t="shared" ca="1" si="520"/>
        <v>-4.804536226715915E-2</v>
      </c>
      <c r="AD117" s="42">
        <f t="shared" ca="1" si="616"/>
        <v>-1329.3904149558621</v>
      </c>
      <c r="AF117" s="36">
        <f t="shared" si="617"/>
        <v>80</v>
      </c>
      <c r="AG117" s="35">
        <f t="shared" si="602"/>
        <v>0.28399999999999997</v>
      </c>
      <c r="AH117" s="197">
        <f t="shared" si="626"/>
        <v>169.23611111111677</v>
      </c>
      <c r="AI117" s="41">
        <f t="shared" si="603"/>
        <v>0.46366057838662128</v>
      </c>
      <c r="AJ117" s="40">
        <f t="shared" ca="1" si="521"/>
        <v>0.15593480162075968</v>
      </c>
      <c r="AK117" s="40">
        <f t="shared" si="522"/>
        <v>2.5189751902588361E-2</v>
      </c>
      <c r="AL117" s="40">
        <f t="shared" si="523"/>
        <v>0.19338305926412305</v>
      </c>
      <c r="AM117" s="42">
        <f t="shared" ca="1" si="524"/>
        <v>0.93661023986577696</v>
      </c>
      <c r="AN117" s="42">
        <f t="shared" ca="1" si="525"/>
        <v>0.74322718060165394</v>
      </c>
      <c r="AO117" s="42">
        <f t="shared" ca="1" si="526"/>
        <v>0.8255204586095245</v>
      </c>
      <c r="AP117" s="42">
        <f t="shared" ca="1" si="527"/>
        <v>0.17447954139047553</v>
      </c>
      <c r="AQ117" s="42">
        <f t="shared" ca="1" si="528"/>
        <v>0.77132792498864022</v>
      </c>
      <c r="AR117" s="42">
        <f t="shared" ca="1" si="529"/>
        <v>0.22867207501135983</v>
      </c>
      <c r="AS117" s="42">
        <f t="shared" si="530"/>
        <v>0.98162450344672281</v>
      </c>
      <c r="AT117" s="42">
        <f t="shared" si="531"/>
        <v>78.529960275737821</v>
      </c>
      <c r="AU117" s="42">
        <f t="shared" si="532"/>
        <v>0.98801719747153338</v>
      </c>
      <c r="AV117" s="42">
        <f t="shared" ca="1" si="533"/>
        <v>92.37960796358837</v>
      </c>
      <c r="AW117" s="42">
        <f t="shared" ca="1" si="534"/>
        <v>0.2572883331964631</v>
      </c>
      <c r="AX117" s="42">
        <f t="shared" ca="1" si="535"/>
        <v>1.8392573354938051</v>
      </c>
      <c r="AY117" s="42">
        <f t="shared" ca="1" si="536"/>
        <v>-0.17238878750073602</v>
      </c>
      <c r="AZ117" s="42">
        <f t="shared" ca="1" si="537"/>
        <v>1.4059004185741998E-2</v>
      </c>
      <c r="BA117" s="42">
        <f t="shared" ca="1" si="604"/>
        <v>-1.2759944004050254E-2</v>
      </c>
      <c r="BB117" s="42">
        <f t="shared" ca="1" si="538"/>
        <v>0.16184388488735074</v>
      </c>
      <c r="BC117" s="42">
        <f t="shared" ca="1" si="539"/>
        <v>-8.3262353599931185E-2</v>
      </c>
      <c r="BD117" s="42">
        <f t="shared" ca="1" si="618"/>
        <v>1905.3713322530975</v>
      </c>
      <c r="BE117" s="40"/>
      <c r="BF117" s="36">
        <f t="shared" si="619"/>
        <v>90</v>
      </c>
      <c r="BG117" s="35">
        <f t="shared" si="605"/>
        <v>0.28399999999999997</v>
      </c>
      <c r="BH117" s="197">
        <f t="shared" si="627"/>
        <v>169.23611111111677</v>
      </c>
      <c r="BI117" s="41">
        <f t="shared" si="606"/>
        <v>0.46366057838662128</v>
      </c>
      <c r="BJ117" s="40">
        <f t="shared" ca="1" si="540"/>
        <v>3.8151765964376326E-2</v>
      </c>
      <c r="BK117" s="40">
        <f t="shared" si="541"/>
        <v>2.5189751902588361E-2</v>
      </c>
      <c r="BL117" s="40">
        <f t="shared" si="542"/>
        <v>0.19338305926412305</v>
      </c>
      <c r="BM117" s="42">
        <f t="shared" ca="1" si="543"/>
        <v>0.32754429528624163</v>
      </c>
      <c r="BN117" s="42">
        <f t="shared" ca="1" si="544"/>
        <v>0.13416123602211857</v>
      </c>
      <c r="BO117" s="42">
        <f t="shared" ca="1" si="545"/>
        <v>0.62837187694685825</v>
      </c>
      <c r="BP117" s="42">
        <f t="shared" ca="1" si="546"/>
        <v>0.3716281230531418</v>
      </c>
      <c r="BQ117" s="42">
        <f t="shared" ca="1" si="547"/>
        <v>0.55336246104484421</v>
      </c>
      <c r="BR117" s="42">
        <f t="shared" ca="1" si="548"/>
        <v>0.44663753895515584</v>
      </c>
      <c r="BS117" s="42">
        <f t="shared" si="549"/>
        <v>0.98162450344672281</v>
      </c>
      <c r="BT117" s="42">
        <f t="shared" si="550"/>
        <v>88.34620531020505</v>
      </c>
      <c r="BU117" s="42">
        <f t="shared" si="551"/>
        <v>0.98801719747153338</v>
      </c>
      <c r="BV117" s="42">
        <f t="shared" ca="1" si="552"/>
        <v>92.37960796358837</v>
      </c>
      <c r="BW117" s="42">
        <f t="shared" ca="1" si="553"/>
        <v>0.37810582361413364</v>
      </c>
      <c r="BX117" s="42">
        <f t="shared" ca="1" si="554"/>
        <v>9.1612740532668084</v>
      </c>
      <c r="BY117" s="42">
        <f t="shared" ca="1" si="555"/>
        <v>0.62084222083096208</v>
      </c>
      <c r="BZ117" s="42">
        <f t="shared" ca="1" si="556"/>
        <v>2.0660833279157818E-2</v>
      </c>
      <c r="CA117" s="42">
        <f t="shared" ca="1" si="607"/>
        <v>-2.117907497533902E-2</v>
      </c>
      <c r="CB117" s="42">
        <f t="shared" ca="1" si="557"/>
        <v>0.23784255831575346</v>
      </c>
      <c r="CC117" s="42">
        <f t="shared" ca="1" si="558"/>
        <v>0.22667194282653236</v>
      </c>
      <c r="CD117" s="42">
        <f t="shared" ca="1" si="620"/>
        <v>-1180.6370266334043</v>
      </c>
      <c r="CE117" s="40"/>
      <c r="CF117" s="36">
        <f t="shared" si="621"/>
        <v>95</v>
      </c>
      <c r="CG117" s="35">
        <f t="shared" si="608"/>
        <v>0.28399999999999997</v>
      </c>
      <c r="CH117" s="197">
        <f t="shared" si="628"/>
        <v>169.23611111111677</v>
      </c>
      <c r="CI117" s="41">
        <f t="shared" si="609"/>
        <v>0.46366057838662128</v>
      </c>
      <c r="CJ117" s="40">
        <f t="shared" ca="1" si="559"/>
        <v>-1.5915455305899568E-2</v>
      </c>
      <c r="CK117" s="40">
        <f t="shared" si="560"/>
        <v>2.5189751902588361E-2</v>
      </c>
      <c r="CL117" s="40">
        <f t="shared" si="561"/>
        <v>0.19338305926412305</v>
      </c>
      <c r="CM117" s="42">
        <f t="shared" ca="1" si="562"/>
        <v>4.7958164649892818E-2</v>
      </c>
      <c r="CN117" s="42">
        <f t="shared" ca="1" si="563"/>
        <v>-0.14542489461423025</v>
      </c>
      <c r="CO117" s="42">
        <f t="shared" ca="1" si="564"/>
        <v>0.51912520800473783</v>
      </c>
      <c r="CP117" s="42">
        <f t="shared" ca="1" si="565"/>
        <v>0.48087479199526217</v>
      </c>
      <c r="CQ117" s="42">
        <f t="shared" ca="1" si="566"/>
        <v>0.4421877052644177</v>
      </c>
      <c r="CR117" s="42">
        <f t="shared" ca="1" si="567"/>
        <v>0.55781229473558236</v>
      </c>
      <c r="CS117" s="42">
        <f t="shared" si="568"/>
        <v>0.98162450344672281</v>
      </c>
      <c r="CT117" s="42">
        <f t="shared" si="569"/>
        <v>93.254327827438672</v>
      </c>
      <c r="CU117" s="42">
        <f t="shared" si="570"/>
        <v>0.98801719747153338</v>
      </c>
      <c r="CV117" s="42">
        <f t="shared" ca="1" si="571"/>
        <v>92.37960796358837</v>
      </c>
      <c r="CW117" s="42">
        <f t="shared" ca="1" si="572"/>
        <v>0.39848376335619246</v>
      </c>
      <c r="CX117" s="42">
        <f t="shared" ca="1" si="573"/>
        <v>6.7206659715031094</v>
      </c>
      <c r="CY117" s="42">
        <f t="shared" ca="1" si="574"/>
        <v>0.51290463314966794</v>
      </c>
      <c r="CZ117" s="42">
        <f t="shared" ca="1" si="575"/>
        <v>2.1774344865832213E-2</v>
      </c>
      <c r="DA117" s="42">
        <f t="shared" ca="1" si="610"/>
        <v>-2.2134995072454644E-2</v>
      </c>
      <c r="DB117" s="42">
        <f t="shared" ca="1" si="576"/>
        <v>0.25066103668545386</v>
      </c>
      <c r="DC117" s="42">
        <f t="shared" ca="1" si="577"/>
        <v>0.19119469232233072</v>
      </c>
      <c r="DD117" s="42">
        <f t="shared" ca="1" si="622"/>
        <v>785.33298575155447</v>
      </c>
      <c r="DE117" s="40"/>
      <c r="DF117" s="36">
        <f t="shared" si="623"/>
        <v>200</v>
      </c>
      <c r="DG117" s="35">
        <f t="shared" si="611"/>
        <v>0.28399999999999997</v>
      </c>
      <c r="DH117" s="197">
        <f t="shared" si="629"/>
        <v>169.23611111111677</v>
      </c>
      <c r="DI117" s="41">
        <f t="shared" si="612"/>
        <v>0.46366057838662128</v>
      </c>
      <c r="DJ117" s="40">
        <f t="shared" ca="1" si="578"/>
        <v>-0.76035593025339532</v>
      </c>
      <c r="DK117" s="40">
        <f t="shared" si="579"/>
        <v>2.5189751902588361E-2</v>
      </c>
      <c r="DL117" s="40">
        <f t="shared" si="580"/>
        <v>0.19338305926412305</v>
      </c>
      <c r="DM117" s="42">
        <f t="shared" ca="1" si="581"/>
        <v>-3.8016058963402539</v>
      </c>
      <c r="DN117" s="42">
        <f t="shared" ca="1" si="582"/>
        <v>-3.9949889556043772</v>
      </c>
      <c r="DO117" s="42">
        <f t="shared" ca="1" si="583"/>
        <v>7.1880635235964941E-5</v>
      </c>
      <c r="DP117" s="42">
        <f t="shared" ca="1" si="584"/>
        <v>0.999928119364764</v>
      </c>
      <c r="DQ117" s="42">
        <f t="shared" ca="1" si="585"/>
        <v>3.2348634424427986E-5</v>
      </c>
      <c r="DR117" s="42">
        <f t="shared" ca="1" si="586"/>
        <v>0.99996765136557553</v>
      </c>
      <c r="DS117" s="42">
        <f t="shared" si="587"/>
        <v>0.98162450344672281</v>
      </c>
      <c r="DT117" s="42">
        <f t="shared" si="588"/>
        <v>196.32490068934456</v>
      </c>
      <c r="DU117" s="42">
        <f t="shared" si="589"/>
        <v>0.98801719747153338</v>
      </c>
      <c r="DV117" s="42">
        <f t="shared" ca="1" si="590"/>
        <v>92.37960796358837</v>
      </c>
      <c r="DW117" s="42">
        <f t="shared" ca="1" si="591"/>
        <v>2.901703978495109E-4</v>
      </c>
      <c r="DX117" s="42">
        <f t="shared" si="592"/>
        <v>0</v>
      </c>
      <c r="DY117" s="92">
        <f t="shared" si="593"/>
        <v>0</v>
      </c>
      <c r="DZ117" s="42">
        <f t="shared" si="594"/>
        <v>0</v>
      </c>
      <c r="EA117" s="42">
        <f t="shared" si="613"/>
        <v>0</v>
      </c>
      <c r="EB117" s="42">
        <f t="shared" si="595"/>
        <v>0</v>
      </c>
      <c r="EC117" s="42">
        <f t="shared" si="596"/>
        <v>0</v>
      </c>
      <c r="ED117" s="42">
        <f t="shared" ca="1" si="624"/>
        <v>0</v>
      </c>
      <c r="EE117" s="40"/>
      <c r="EF117" s="120">
        <f t="shared" ca="1" si="630"/>
        <v>93.5</v>
      </c>
      <c r="EG117" s="42">
        <f t="shared" ca="1" si="597"/>
        <v>180.67687641538566</v>
      </c>
      <c r="EH117" s="36">
        <f t="shared" ca="1" si="614"/>
        <v>180.67687641538566</v>
      </c>
      <c r="EI117" s="36">
        <f t="shared" ca="1" si="631"/>
        <v>-8.8719999999999999</v>
      </c>
      <c r="EJ117" s="153">
        <f t="shared" ca="1" si="598"/>
        <v>-1</v>
      </c>
      <c r="EK117" s="153" t="str">
        <f t="shared" ca="1" si="229"/>
        <v/>
      </c>
      <c r="EL117" s="153" t="str">
        <f t="shared" ca="1" si="501"/>
        <v/>
      </c>
      <c r="EM117" s="153">
        <f t="shared" ca="1" si="230"/>
        <v>2</v>
      </c>
      <c r="EN117" s="153">
        <f t="shared" ca="1" si="231"/>
        <v>0</v>
      </c>
    </row>
    <row r="118" spans="1:144" x14ac:dyDescent="0.3">
      <c r="A118" s="36">
        <f ca="1">IF($M$22=1,A117+'Auto X'!$E$6,A$48)</f>
        <v>94</v>
      </c>
      <c r="B118" s="35">
        <f>IF($M$22=2,B117+'Auto X'!$E$6,B$48)</f>
        <v>0.28399999999999997</v>
      </c>
      <c r="C118" s="39">
        <f>IF($M$22=3,C117+'Auto X'!$E$6,C$48)</f>
        <v>45295.440972222219</v>
      </c>
      <c r="D118" s="35">
        <f>IF($M$22=4,D117+'Auto X'!$E$6,D$48)</f>
        <v>2.5999999999999999E-2</v>
      </c>
      <c r="E118" s="35">
        <f>IF($M$22=5,E117+'Auto X'!$E$6,E$48)</f>
        <v>0.04</v>
      </c>
      <c r="F118" s="36">
        <f t="shared" si="615"/>
        <v>75</v>
      </c>
      <c r="G118" s="35">
        <f t="shared" si="599"/>
        <v>0.28399999999999997</v>
      </c>
      <c r="H118" s="197">
        <f t="shared" si="625"/>
        <v>169.23611111111677</v>
      </c>
      <c r="I118" s="41">
        <f t="shared" si="600"/>
        <v>0.46366057838662128</v>
      </c>
      <c r="J118" s="40">
        <f t="shared" ca="1" si="502"/>
        <v>0.22580666873369351</v>
      </c>
      <c r="K118" s="40">
        <f t="shared" si="503"/>
        <v>2.5189751902588361E-2</v>
      </c>
      <c r="L118" s="40">
        <f t="shared" si="504"/>
        <v>0.19338305926412305</v>
      </c>
      <c r="M118" s="42">
        <f t="shared" ca="1" si="505"/>
        <v>1.2979235181788615</v>
      </c>
      <c r="N118" s="42">
        <f t="shared" ca="1" si="506"/>
        <v>1.1045404589147385</v>
      </c>
      <c r="O118" s="42">
        <f t="shared" ca="1" si="507"/>
        <v>0.90284319118504552</v>
      </c>
      <c r="P118" s="42">
        <f t="shared" ca="1" si="508"/>
        <v>9.7156808814954504E-2</v>
      </c>
      <c r="Q118" s="42">
        <f t="shared" ca="1" si="509"/>
        <v>0.86532061847986264</v>
      </c>
      <c r="R118" s="42">
        <f t="shared" ca="1" si="510"/>
        <v>0.13467938152013736</v>
      </c>
      <c r="S118" s="42">
        <f t="shared" si="511"/>
        <v>0.98162450344672281</v>
      </c>
      <c r="T118" s="42">
        <f t="shared" si="512"/>
        <v>73.621837758504213</v>
      </c>
      <c r="U118" s="42">
        <f t="shared" si="513"/>
        <v>0.98801719747153338</v>
      </c>
      <c r="V118" s="42">
        <f t="shared" ca="1" si="514"/>
        <v>92.873616562324145</v>
      </c>
      <c r="W118" s="42">
        <f t="shared" ca="1" si="515"/>
        <v>0.17183144342925316</v>
      </c>
      <c r="X118" s="42">
        <f t="shared" ca="1" si="516"/>
        <v>0.8920393673921243</v>
      </c>
      <c r="Y118" s="42">
        <f t="shared" ca="1" si="517"/>
        <v>-9.5992597960628895E-2</v>
      </c>
      <c r="Z118" s="42">
        <f t="shared" ca="1" si="518"/>
        <v>9.3394405582112993E-3</v>
      </c>
      <c r="AA118" s="42">
        <f t="shared" ca="1" si="601"/>
        <v>-8.6739498044483849E-3</v>
      </c>
      <c r="AB118" s="42">
        <f t="shared" ca="1" si="519"/>
        <v>0.10866635061362827</v>
      </c>
      <c r="AC118" s="42">
        <f t="shared" ca="1" si="520"/>
        <v>-4.5973539372070722E-2</v>
      </c>
      <c r="AD118" s="42">
        <f t="shared" ca="1" si="616"/>
        <v>-1353.9803163039378</v>
      </c>
      <c r="AF118" s="36">
        <f t="shared" si="617"/>
        <v>80</v>
      </c>
      <c r="AG118" s="35">
        <f t="shared" si="602"/>
        <v>0.28399999999999997</v>
      </c>
      <c r="AH118" s="197">
        <f t="shared" si="626"/>
        <v>169.23611111111677</v>
      </c>
      <c r="AI118" s="41">
        <f t="shared" si="603"/>
        <v>0.46366057838662128</v>
      </c>
      <c r="AJ118" s="40">
        <f t="shared" ca="1" si="521"/>
        <v>0.16126814759612232</v>
      </c>
      <c r="AK118" s="40">
        <f t="shared" si="522"/>
        <v>2.5189751902588361E-2</v>
      </c>
      <c r="AL118" s="40">
        <f t="shared" si="523"/>
        <v>0.19338305926412305</v>
      </c>
      <c r="AM118" s="42">
        <f t="shared" ca="1" si="524"/>
        <v>0.96418941870211095</v>
      </c>
      <c r="AN118" s="42">
        <f t="shared" ca="1" si="525"/>
        <v>0.77080635943798792</v>
      </c>
      <c r="AO118" s="42">
        <f t="shared" ca="1" si="526"/>
        <v>0.83252451580631603</v>
      </c>
      <c r="AP118" s="42">
        <f t="shared" ca="1" si="527"/>
        <v>0.16747548419368394</v>
      </c>
      <c r="AQ118" s="42">
        <f t="shared" ca="1" si="528"/>
        <v>0.77958914137930579</v>
      </c>
      <c r="AR118" s="42">
        <f t="shared" ca="1" si="529"/>
        <v>0.22041085862069418</v>
      </c>
      <c r="AS118" s="42">
        <f t="shared" si="530"/>
        <v>0.98162450344672281</v>
      </c>
      <c r="AT118" s="42">
        <f t="shared" si="531"/>
        <v>78.529960275737821</v>
      </c>
      <c r="AU118" s="42">
        <f t="shared" si="532"/>
        <v>0.98801719747153338</v>
      </c>
      <c r="AV118" s="42">
        <f t="shared" ca="1" si="533"/>
        <v>92.873616562324145</v>
      </c>
      <c r="AW118" s="42">
        <f t="shared" ca="1" si="534"/>
        <v>0.25063210034393735</v>
      </c>
      <c r="AX118" s="42">
        <f t="shared" ca="1" si="535"/>
        <v>1.7548020692305979</v>
      </c>
      <c r="AY118" s="42">
        <f t="shared" ca="1" si="536"/>
        <v>-0.16546865853823173</v>
      </c>
      <c r="AZ118" s="42">
        <f t="shared" ca="1" si="537"/>
        <v>1.3622440435970598E-2</v>
      </c>
      <c r="BA118" s="42">
        <f t="shared" ca="1" si="604"/>
        <v>-1.2510266235986204E-2</v>
      </c>
      <c r="BB118" s="42">
        <f t="shared" ca="1" si="538"/>
        <v>0.1584999529042409</v>
      </c>
      <c r="BC118" s="42">
        <f t="shared" ca="1" si="539"/>
        <v>-8.0254341711068169E-2</v>
      </c>
      <c r="BD118" s="42">
        <f t="shared" ca="1" si="618"/>
        <v>1947.5989653847012</v>
      </c>
      <c r="BE118" s="40"/>
      <c r="BF118" s="36">
        <f t="shared" si="619"/>
        <v>90</v>
      </c>
      <c r="BG118" s="35">
        <f t="shared" si="605"/>
        <v>0.28399999999999997</v>
      </c>
      <c r="BH118" s="197">
        <f t="shared" si="627"/>
        <v>169.23611111111677</v>
      </c>
      <c r="BI118" s="41">
        <f t="shared" si="606"/>
        <v>0.46366057838662128</v>
      </c>
      <c r="BJ118" s="40">
        <f t="shared" ca="1" si="540"/>
        <v>4.3485111939738891E-2</v>
      </c>
      <c r="BK118" s="40">
        <f t="shared" si="541"/>
        <v>2.5189751902588361E-2</v>
      </c>
      <c r="BL118" s="40">
        <f t="shared" si="542"/>
        <v>0.19338305926412305</v>
      </c>
      <c r="BM118" s="42">
        <f t="shared" ca="1" si="543"/>
        <v>0.35512347412257533</v>
      </c>
      <c r="BN118" s="42">
        <f t="shared" ca="1" si="544"/>
        <v>0.16174041485845228</v>
      </c>
      <c r="BO118" s="42">
        <f t="shared" ca="1" si="545"/>
        <v>0.6387514542534487</v>
      </c>
      <c r="BP118" s="42">
        <f t="shared" ca="1" si="546"/>
        <v>0.3612485457465513</v>
      </c>
      <c r="BQ118" s="42">
        <f t="shared" ca="1" si="547"/>
        <v>0.56424486145948261</v>
      </c>
      <c r="BR118" s="42">
        <f t="shared" ca="1" si="548"/>
        <v>0.43575513854051734</v>
      </c>
      <c r="BS118" s="42">
        <f t="shared" si="549"/>
        <v>0.98162450344672281</v>
      </c>
      <c r="BT118" s="42">
        <f t="shared" si="550"/>
        <v>88.34620531020505</v>
      </c>
      <c r="BU118" s="42">
        <f t="shared" si="551"/>
        <v>0.98801719747153338</v>
      </c>
      <c r="BV118" s="42">
        <f t="shared" ca="1" si="552"/>
        <v>92.873616562324145</v>
      </c>
      <c r="BW118" s="42">
        <f t="shared" ca="1" si="553"/>
        <v>0.37456314672864216</v>
      </c>
      <c r="BX118" s="42">
        <f t="shared" ca="1" si="554"/>
        <v>9.4742652652340666</v>
      </c>
      <c r="BY118" s="42">
        <f t="shared" ca="1" si="555"/>
        <v>0.63109742171235872</v>
      </c>
      <c r="BZ118" s="42">
        <f t="shared" ca="1" si="556"/>
        <v>2.0358382461059997E-2</v>
      </c>
      <c r="CA118" s="42">
        <f t="shared" ca="1" si="607"/>
        <v>-2.111239211045712E-2</v>
      </c>
      <c r="CB118" s="42">
        <f t="shared" ca="1" si="557"/>
        <v>0.23687405178620063</v>
      </c>
      <c r="CC118" s="42">
        <f t="shared" ca="1" si="558"/>
        <v>0.2311296627086232</v>
      </c>
      <c r="CD118" s="42">
        <f t="shared" ca="1" si="620"/>
        <v>-1337.1326326170333</v>
      </c>
      <c r="CE118" s="40"/>
      <c r="CF118" s="36">
        <f t="shared" si="621"/>
        <v>95</v>
      </c>
      <c r="CG118" s="35">
        <f t="shared" si="608"/>
        <v>0.28399999999999997</v>
      </c>
      <c r="CH118" s="197">
        <f t="shared" si="628"/>
        <v>169.23611111111677</v>
      </c>
      <c r="CI118" s="41">
        <f t="shared" si="609"/>
        <v>0.46366057838662128</v>
      </c>
      <c r="CJ118" s="40">
        <f t="shared" ca="1" si="559"/>
        <v>-1.0582109330536972E-2</v>
      </c>
      <c r="CK118" s="40">
        <f t="shared" si="560"/>
        <v>2.5189751902588361E-2</v>
      </c>
      <c r="CL118" s="40">
        <f t="shared" si="561"/>
        <v>0.19338305926412305</v>
      </c>
      <c r="CM118" s="42">
        <f t="shared" ca="1" si="562"/>
        <v>7.5537343486226663E-2</v>
      </c>
      <c r="CN118" s="42">
        <f t="shared" ca="1" si="563"/>
        <v>-0.11784571577789639</v>
      </c>
      <c r="CO118" s="42">
        <f t="shared" ca="1" si="564"/>
        <v>0.53010640670507303</v>
      </c>
      <c r="CP118" s="42">
        <f t="shared" ca="1" si="565"/>
        <v>0.46989359329492697</v>
      </c>
      <c r="CQ118" s="42">
        <f t="shared" ca="1" si="566"/>
        <v>0.45309495297083435</v>
      </c>
      <c r="CR118" s="42">
        <f t="shared" ca="1" si="567"/>
        <v>0.54690504702916565</v>
      </c>
      <c r="CS118" s="42">
        <f t="shared" si="568"/>
        <v>0.98162450344672281</v>
      </c>
      <c r="CT118" s="42">
        <f t="shared" si="569"/>
        <v>93.254327827438672</v>
      </c>
      <c r="CU118" s="42">
        <f t="shared" si="570"/>
        <v>0.98801719747153338</v>
      </c>
      <c r="CV118" s="42">
        <f t="shared" ca="1" si="571"/>
        <v>92.873616562324145</v>
      </c>
      <c r="CW118" s="42">
        <f t="shared" ca="1" si="572"/>
        <v>0.39780574197698654</v>
      </c>
      <c r="CX118" s="42">
        <f t="shared" ca="1" si="573"/>
        <v>6.9798338722583111</v>
      </c>
      <c r="CY118" s="42">
        <f t="shared" ca="1" si="574"/>
        <v>0.52375424631445111</v>
      </c>
      <c r="CZ118" s="42">
        <f t="shared" ca="1" si="575"/>
        <v>2.1621671835858561E-2</v>
      </c>
      <c r="DA118" s="42">
        <f t="shared" ca="1" si="610"/>
        <v>-2.2232041175927107E-2</v>
      </c>
      <c r="DB118" s="42">
        <f t="shared" ca="1" si="576"/>
        <v>0.2515726887412415</v>
      </c>
      <c r="DC118" s="42">
        <f t="shared" ca="1" si="577"/>
        <v>0.19591080686935264</v>
      </c>
      <c r="DD118" s="42">
        <f t="shared" ca="1" si="622"/>
        <v>914.91693612915537</v>
      </c>
      <c r="DE118" s="40"/>
      <c r="DF118" s="36">
        <f t="shared" si="623"/>
        <v>200</v>
      </c>
      <c r="DG118" s="35">
        <f t="shared" si="611"/>
        <v>0.28399999999999997</v>
      </c>
      <c r="DH118" s="197">
        <f t="shared" si="629"/>
        <v>169.23611111111677</v>
      </c>
      <c r="DI118" s="41">
        <f t="shared" si="612"/>
        <v>0.46366057838662128</v>
      </c>
      <c r="DJ118" s="40">
        <f t="shared" ca="1" si="578"/>
        <v>-0.75502258427803282</v>
      </c>
      <c r="DK118" s="40">
        <f t="shared" si="579"/>
        <v>2.5189751902588361E-2</v>
      </c>
      <c r="DL118" s="40">
        <f t="shared" si="580"/>
        <v>0.19338305926412305</v>
      </c>
      <c r="DM118" s="42">
        <f t="shared" ca="1" si="581"/>
        <v>-3.7740267175039208</v>
      </c>
      <c r="DN118" s="42">
        <f t="shared" ca="1" si="582"/>
        <v>-3.9674097767680441</v>
      </c>
      <c r="DO118" s="42">
        <f t="shared" ca="1" si="583"/>
        <v>8.0316773196042045E-5</v>
      </c>
      <c r="DP118" s="42">
        <f t="shared" ca="1" si="584"/>
        <v>0.99991968322680391</v>
      </c>
      <c r="DQ118" s="42">
        <f t="shared" ca="1" si="585"/>
        <v>3.6329002159827659E-5</v>
      </c>
      <c r="DR118" s="42">
        <f t="shared" ca="1" si="586"/>
        <v>0.99996367099784023</v>
      </c>
      <c r="DS118" s="42">
        <f t="shared" si="587"/>
        <v>0.98162450344672281</v>
      </c>
      <c r="DT118" s="42">
        <f t="shared" si="588"/>
        <v>196.32490068934456</v>
      </c>
      <c r="DU118" s="42">
        <f t="shared" si="589"/>
        <v>0.98801719747153338</v>
      </c>
      <c r="DV118" s="42">
        <f t="shared" ca="1" si="590"/>
        <v>92.873616562324145</v>
      </c>
      <c r="DW118" s="42">
        <f t="shared" ca="1" si="591"/>
        <v>3.2212291378685867E-4</v>
      </c>
      <c r="DX118" s="42">
        <f t="shared" si="592"/>
        <v>0</v>
      </c>
      <c r="DY118" s="92">
        <f t="shared" si="593"/>
        <v>0</v>
      </c>
      <c r="DZ118" s="42">
        <f t="shared" si="594"/>
        <v>0</v>
      </c>
      <c r="EA118" s="42">
        <f t="shared" si="613"/>
        <v>0</v>
      </c>
      <c r="EB118" s="42">
        <f t="shared" si="595"/>
        <v>0</v>
      </c>
      <c r="EC118" s="42">
        <f t="shared" si="596"/>
        <v>0</v>
      </c>
      <c r="ED118" s="42">
        <f t="shared" ca="1" si="624"/>
        <v>0</v>
      </c>
      <c r="EE118" s="40"/>
      <c r="EF118" s="120">
        <f t="shared" ca="1" si="630"/>
        <v>94</v>
      </c>
      <c r="EG118" s="42">
        <f t="shared" ca="1" si="597"/>
        <v>171.40295259288541</v>
      </c>
      <c r="EH118" s="36">
        <f t="shared" ca="1" si="614"/>
        <v>171.40295259288541</v>
      </c>
      <c r="EI118" s="36">
        <f t="shared" ca="1" si="631"/>
        <v>-9.2739999999999991</v>
      </c>
      <c r="EJ118" s="153">
        <f t="shared" ca="1" si="598"/>
        <v>-1</v>
      </c>
      <c r="EK118" s="153" t="str">
        <f t="shared" ref="EK118:EK149" ca="1" si="632">IF(EJ118=EJ117,"",IF(EJ118=-1,IF(EJ117=0,"MAX END","MAX MID"),IF(EJ118=0,IF(EJ117=-1,"MIN BEG","MAX BEG"),IF(EJ117=-1,"MIN MID","MIN END"))))</f>
        <v/>
      </c>
      <c r="EL118" s="153" t="str">
        <f t="shared" ca="1" si="501"/>
        <v/>
      </c>
      <c r="EM118" s="153">
        <f t="shared" ref="EM118:EM149" ca="1" si="633">EM117+IF(EL118="",0,1)</f>
        <v>2</v>
      </c>
      <c r="EN118" s="153">
        <f t="shared" ref="EN118:EN149" ca="1" si="634">EM118*IF(EL118="",0,1)</f>
        <v>0</v>
      </c>
    </row>
    <row r="119" spans="1:144" x14ac:dyDescent="0.3">
      <c r="A119" s="36">
        <f ca="1">IF($M$22=1,A118+'Auto X'!$E$6,A$48)</f>
        <v>94.5</v>
      </c>
      <c r="B119" s="35">
        <f>IF($M$22=2,B118+'Auto X'!$E$6,B$48)</f>
        <v>0.28399999999999997</v>
      </c>
      <c r="C119" s="39">
        <f>IF($M$22=3,C118+'Auto X'!$E$6,C$48)</f>
        <v>45295.440972222219</v>
      </c>
      <c r="D119" s="35">
        <f>IF($M$22=4,D118+'Auto X'!$E$6,D$48)</f>
        <v>2.5999999999999999E-2</v>
      </c>
      <c r="E119" s="35">
        <f>IF($M$22=5,E118+'Auto X'!$E$6,E$48)</f>
        <v>0.04</v>
      </c>
      <c r="F119" s="36">
        <f t="shared" si="615"/>
        <v>75</v>
      </c>
      <c r="G119" s="35">
        <f t="shared" si="599"/>
        <v>0.28399999999999997</v>
      </c>
      <c r="H119" s="197">
        <f t="shared" si="625"/>
        <v>169.23611111111677</v>
      </c>
      <c r="I119" s="41">
        <f t="shared" si="600"/>
        <v>0.46366057838662128</v>
      </c>
      <c r="J119" s="40">
        <f t="shared" ca="1" si="502"/>
        <v>0.23111172096338664</v>
      </c>
      <c r="K119" s="40">
        <f t="shared" si="503"/>
        <v>2.5189751902588361E-2</v>
      </c>
      <c r="L119" s="40">
        <f t="shared" si="504"/>
        <v>0.19338305926412305</v>
      </c>
      <c r="M119" s="42">
        <f t="shared" ca="1" si="505"/>
        <v>1.3253563876860477</v>
      </c>
      <c r="N119" s="42">
        <f t="shared" ca="1" si="506"/>
        <v>1.1319733284219247</v>
      </c>
      <c r="O119" s="42">
        <f t="shared" ca="1" si="507"/>
        <v>0.90747351258747755</v>
      </c>
      <c r="P119" s="42">
        <f t="shared" ca="1" si="508"/>
        <v>9.2526487412522507E-2</v>
      </c>
      <c r="Q119" s="42">
        <f t="shared" ca="1" si="509"/>
        <v>0.87117717608791279</v>
      </c>
      <c r="R119" s="42">
        <f t="shared" ca="1" si="510"/>
        <v>0.12882282391208719</v>
      </c>
      <c r="S119" s="42">
        <f t="shared" si="511"/>
        <v>0.98162450344672281</v>
      </c>
      <c r="T119" s="42">
        <f t="shared" si="512"/>
        <v>73.621837758504213</v>
      </c>
      <c r="U119" s="42">
        <f t="shared" si="513"/>
        <v>0.98801719747153338</v>
      </c>
      <c r="V119" s="42">
        <f t="shared" ca="1" si="514"/>
        <v>93.367625161059905</v>
      </c>
      <c r="W119" s="42">
        <f t="shared" ca="1" si="515"/>
        <v>0.16575850974411127</v>
      </c>
      <c r="X119" s="42">
        <f t="shared" ca="1" si="516"/>
        <v>0.84519464744611028</v>
      </c>
      <c r="Y119" s="42">
        <f t="shared" ca="1" si="517"/>
        <v>-9.141776078520554E-2</v>
      </c>
      <c r="Z119" s="42">
        <f t="shared" ca="1" si="518"/>
        <v>8.9616938344180795E-3</v>
      </c>
      <c r="AA119" s="42">
        <f t="shared" ca="1" si="601"/>
        <v>-8.4183645636807351E-3</v>
      </c>
      <c r="AB119" s="42">
        <f t="shared" ca="1" si="519"/>
        <v>0.10538340635924504</v>
      </c>
      <c r="AC119" s="42">
        <f t="shared" ca="1" si="520"/>
        <v>-4.3974371580093312E-2</v>
      </c>
      <c r="AD119" s="42">
        <f t="shared" ca="1" si="616"/>
        <v>-1377.4026762769449</v>
      </c>
      <c r="AF119" s="36">
        <f t="shared" si="617"/>
        <v>80</v>
      </c>
      <c r="AG119" s="35">
        <f t="shared" si="602"/>
        <v>0.28399999999999997</v>
      </c>
      <c r="AH119" s="197">
        <f t="shared" si="626"/>
        <v>169.23611111111677</v>
      </c>
      <c r="AI119" s="41">
        <f t="shared" si="603"/>
        <v>0.46366057838662128</v>
      </c>
      <c r="AJ119" s="40">
        <f t="shared" ca="1" si="521"/>
        <v>0.16657319982581539</v>
      </c>
      <c r="AK119" s="40">
        <f t="shared" si="522"/>
        <v>2.5189751902588361E-2</v>
      </c>
      <c r="AL119" s="40">
        <f t="shared" si="523"/>
        <v>0.19338305926412305</v>
      </c>
      <c r="AM119" s="42">
        <f t="shared" ca="1" si="524"/>
        <v>0.99162228820929676</v>
      </c>
      <c r="AN119" s="42">
        <f t="shared" ca="1" si="525"/>
        <v>0.79823922894517374</v>
      </c>
      <c r="AO119" s="42">
        <f t="shared" ca="1" si="526"/>
        <v>0.83930909369095896</v>
      </c>
      <c r="AP119" s="42">
        <f t="shared" ca="1" si="527"/>
        <v>0.16069090630904101</v>
      </c>
      <c r="AQ119" s="42">
        <f t="shared" ca="1" si="528"/>
        <v>0.78763416175678413</v>
      </c>
      <c r="AR119" s="42">
        <f t="shared" ca="1" si="529"/>
        <v>0.21236583824321584</v>
      </c>
      <c r="AS119" s="42">
        <f t="shared" si="530"/>
        <v>0.98162450344672281</v>
      </c>
      <c r="AT119" s="42">
        <f t="shared" si="531"/>
        <v>78.529960275737821</v>
      </c>
      <c r="AU119" s="42">
        <f t="shared" si="532"/>
        <v>0.98801719747153338</v>
      </c>
      <c r="AV119" s="42">
        <f t="shared" ca="1" si="533"/>
        <v>93.367625161059905</v>
      </c>
      <c r="AW119" s="42">
        <f t="shared" ca="1" si="534"/>
        <v>0.24399783798597871</v>
      </c>
      <c r="AX119" s="42">
        <f t="shared" ca="1" si="535"/>
        <v>1.6737525341099673</v>
      </c>
      <c r="AY119" s="42">
        <f t="shared" ca="1" si="536"/>
        <v>-0.15876537891061948</v>
      </c>
      <c r="AZ119" s="42">
        <f t="shared" ca="1" si="537"/>
        <v>1.3191684237906641E-2</v>
      </c>
      <c r="BA119" s="42">
        <f t="shared" ca="1" si="604"/>
        <v>-1.2257109264322705E-2</v>
      </c>
      <c r="BB119" s="42">
        <f t="shared" ca="1" si="538"/>
        <v>0.15512520805688002</v>
      </c>
      <c r="BC119" s="42">
        <f t="shared" ca="1" si="539"/>
        <v>-7.7325049486143105E-2</v>
      </c>
      <c r="BD119" s="42">
        <f t="shared" ca="1" si="618"/>
        <v>1988.1237329450166</v>
      </c>
      <c r="BE119" s="40"/>
      <c r="BF119" s="36">
        <f t="shared" si="619"/>
        <v>90</v>
      </c>
      <c r="BG119" s="35">
        <f t="shared" si="605"/>
        <v>0.28399999999999997</v>
      </c>
      <c r="BH119" s="197">
        <f t="shared" si="627"/>
        <v>169.23611111111677</v>
      </c>
      <c r="BI119" s="41">
        <f t="shared" si="606"/>
        <v>0.46366057838662128</v>
      </c>
      <c r="BJ119" s="40">
        <f t="shared" ca="1" si="540"/>
        <v>4.8790164169432049E-2</v>
      </c>
      <c r="BK119" s="40">
        <f t="shared" si="541"/>
        <v>2.5189751902588361E-2</v>
      </c>
      <c r="BL119" s="40">
        <f t="shared" si="542"/>
        <v>0.19338305926412305</v>
      </c>
      <c r="BM119" s="42">
        <f t="shared" ca="1" si="543"/>
        <v>0.3825563436297616</v>
      </c>
      <c r="BN119" s="42">
        <f t="shared" ca="1" si="544"/>
        <v>0.18917328436563854</v>
      </c>
      <c r="BO119" s="42">
        <f t="shared" ca="1" si="545"/>
        <v>0.64897562756022997</v>
      </c>
      <c r="BP119" s="42">
        <f t="shared" ca="1" si="546"/>
        <v>0.35102437243977003</v>
      </c>
      <c r="BQ119" s="42">
        <f t="shared" ca="1" si="547"/>
        <v>0.57502149720894669</v>
      </c>
      <c r="BR119" s="42">
        <f t="shared" ca="1" si="548"/>
        <v>0.42497850279105337</v>
      </c>
      <c r="BS119" s="42">
        <f t="shared" si="549"/>
        <v>0.98162450344672281</v>
      </c>
      <c r="BT119" s="42">
        <f t="shared" si="550"/>
        <v>88.34620531020505</v>
      </c>
      <c r="BU119" s="42">
        <f t="shared" si="551"/>
        <v>0.98801719747153338</v>
      </c>
      <c r="BV119" s="42">
        <f t="shared" ca="1" si="552"/>
        <v>93.367625161059905</v>
      </c>
      <c r="BW119" s="42">
        <f t="shared" ca="1" si="553"/>
        <v>0.37079230006942543</v>
      </c>
      <c r="BX119" s="42">
        <f t="shared" ca="1" si="554"/>
        <v>9.7923458825040726</v>
      </c>
      <c r="BY119" s="42">
        <f t="shared" ca="1" si="555"/>
        <v>0.64119908076938803</v>
      </c>
      <c r="BZ119" s="42">
        <f t="shared" ca="1" si="556"/>
        <v>2.0046796236957109E-2</v>
      </c>
      <c r="CA119" s="42">
        <f t="shared" ca="1" si="607"/>
        <v>-2.1030816833557189E-2</v>
      </c>
      <c r="CB119" s="42">
        <f t="shared" ca="1" si="557"/>
        <v>0.2357366490168</v>
      </c>
      <c r="CC119" s="42">
        <f t="shared" ca="1" si="558"/>
        <v>0.23554405857828978</v>
      </c>
      <c r="CD119" s="42">
        <f t="shared" ca="1" si="620"/>
        <v>-1496.1729412520365</v>
      </c>
      <c r="CE119" s="40"/>
      <c r="CF119" s="36">
        <f t="shared" si="621"/>
        <v>95</v>
      </c>
      <c r="CG119" s="35">
        <f t="shared" si="608"/>
        <v>0.28399999999999997</v>
      </c>
      <c r="CH119" s="197">
        <f t="shared" si="628"/>
        <v>169.23611111111677</v>
      </c>
      <c r="CI119" s="41">
        <f t="shared" si="609"/>
        <v>0.46366057838662128</v>
      </c>
      <c r="CJ119" s="40">
        <f t="shared" ca="1" si="559"/>
        <v>-5.2770571008437812E-3</v>
      </c>
      <c r="CK119" s="40">
        <f t="shared" si="560"/>
        <v>2.5189751902588361E-2</v>
      </c>
      <c r="CL119" s="40">
        <f t="shared" si="561"/>
        <v>0.19338305926412305</v>
      </c>
      <c r="CM119" s="42">
        <f t="shared" ca="1" si="562"/>
        <v>0.10297021299341312</v>
      </c>
      <c r="CN119" s="42">
        <f t="shared" ca="1" si="563"/>
        <v>-9.0412846270709932E-2</v>
      </c>
      <c r="CO119" s="42">
        <f t="shared" ca="1" si="564"/>
        <v>0.54100669407638391</v>
      </c>
      <c r="CP119" s="42">
        <f t="shared" ca="1" si="565"/>
        <v>0.45899330592361609</v>
      </c>
      <c r="CQ119" s="42">
        <f t="shared" ca="1" si="566"/>
        <v>0.46397957432771758</v>
      </c>
      <c r="CR119" s="42">
        <f t="shared" ca="1" si="567"/>
        <v>0.53602042567228247</v>
      </c>
      <c r="CS119" s="42">
        <f t="shared" si="568"/>
        <v>0.98162450344672281</v>
      </c>
      <c r="CT119" s="42">
        <f t="shared" si="569"/>
        <v>93.254327827438672</v>
      </c>
      <c r="CU119" s="42">
        <f t="shared" si="570"/>
        <v>0.98801719747153338</v>
      </c>
      <c r="CV119" s="42">
        <f t="shared" ca="1" si="571"/>
        <v>93.367625161059905</v>
      </c>
      <c r="CW119" s="42">
        <f t="shared" ca="1" si="572"/>
        <v>0.3968329111571392</v>
      </c>
      <c r="CX119" s="42">
        <f t="shared" ca="1" si="573"/>
        <v>7.2444068925556024</v>
      </c>
      <c r="CY119" s="42">
        <f t="shared" ca="1" si="574"/>
        <v>0.5345239176946881</v>
      </c>
      <c r="CZ119" s="42">
        <f t="shared" ca="1" si="575"/>
        <v>2.1454675592228245E-2</v>
      </c>
      <c r="DA119" s="42">
        <f t="shared" ca="1" si="610"/>
        <v>-2.2312512049281526E-2</v>
      </c>
      <c r="DB119" s="42">
        <f t="shared" ca="1" si="576"/>
        <v>0.25229234986338711</v>
      </c>
      <c r="DC119" s="42">
        <f t="shared" ca="1" si="577"/>
        <v>0.2006171381549092</v>
      </c>
      <c r="DD119" s="42">
        <f t="shared" ca="1" si="622"/>
        <v>1047.203446277801</v>
      </c>
      <c r="DE119" s="40"/>
      <c r="DF119" s="36">
        <f t="shared" si="623"/>
        <v>200</v>
      </c>
      <c r="DG119" s="35">
        <f t="shared" si="611"/>
        <v>0.28399999999999997</v>
      </c>
      <c r="DH119" s="197">
        <f t="shared" si="629"/>
        <v>169.23611111111677</v>
      </c>
      <c r="DI119" s="41">
        <f t="shared" si="612"/>
        <v>0.46366057838662128</v>
      </c>
      <c r="DJ119" s="40">
        <f t="shared" ca="1" si="578"/>
        <v>-0.74971753204833969</v>
      </c>
      <c r="DK119" s="40">
        <f t="shared" si="579"/>
        <v>2.5189751902588361E-2</v>
      </c>
      <c r="DL119" s="40">
        <f t="shared" si="580"/>
        <v>0.19338305926412305</v>
      </c>
      <c r="DM119" s="42">
        <f t="shared" ca="1" si="581"/>
        <v>-3.7465938479967344</v>
      </c>
      <c r="DN119" s="42">
        <f t="shared" ca="1" si="582"/>
        <v>-3.9399769072608577</v>
      </c>
      <c r="DO119" s="42">
        <f t="shared" ca="1" si="583"/>
        <v>8.9625980301195643E-5</v>
      </c>
      <c r="DP119" s="42">
        <f t="shared" ca="1" si="584"/>
        <v>0.99991037401969884</v>
      </c>
      <c r="DQ119" s="42">
        <f t="shared" ca="1" si="585"/>
        <v>4.0744726475233481E-5</v>
      </c>
      <c r="DR119" s="42">
        <f t="shared" ca="1" si="586"/>
        <v>0.99995925527352481</v>
      </c>
      <c r="DS119" s="42">
        <f t="shared" si="587"/>
        <v>0.98162450344672281</v>
      </c>
      <c r="DT119" s="42">
        <f t="shared" si="588"/>
        <v>196.32490068934456</v>
      </c>
      <c r="DU119" s="42">
        <f t="shared" si="589"/>
        <v>0.98801719747153338</v>
      </c>
      <c r="DV119" s="42">
        <f t="shared" ca="1" si="590"/>
        <v>93.367625161059905</v>
      </c>
      <c r="DW119" s="42">
        <f t="shared" ca="1" si="591"/>
        <v>3.5712622611407319E-4</v>
      </c>
      <c r="DX119" s="42">
        <f t="shared" si="592"/>
        <v>0</v>
      </c>
      <c r="DY119" s="92">
        <f t="shared" si="593"/>
        <v>0</v>
      </c>
      <c r="DZ119" s="42">
        <f t="shared" si="594"/>
        <v>0</v>
      </c>
      <c r="EA119" s="42">
        <f t="shared" si="613"/>
        <v>0</v>
      </c>
      <c r="EB119" s="42">
        <f t="shared" si="595"/>
        <v>0</v>
      </c>
      <c r="EC119" s="42">
        <f t="shared" si="596"/>
        <v>0</v>
      </c>
      <c r="ED119" s="42">
        <f t="shared" ca="1" si="624"/>
        <v>0</v>
      </c>
      <c r="EE119" s="40"/>
      <c r="EF119" s="120">
        <f t="shared" ca="1" si="630"/>
        <v>94.5</v>
      </c>
      <c r="EG119" s="42">
        <f t="shared" ca="1" si="597"/>
        <v>161.75156169383627</v>
      </c>
      <c r="EH119" s="36">
        <f t="shared" ca="1" si="614"/>
        <v>161.75156169383627</v>
      </c>
      <c r="EI119" s="36">
        <f t="shared" ca="1" si="631"/>
        <v>-9.6509999999999998</v>
      </c>
      <c r="EJ119" s="153">
        <f t="shared" ca="1" si="598"/>
        <v>-1</v>
      </c>
      <c r="EK119" s="153" t="str">
        <f t="shared" ca="1" si="632"/>
        <v/>
      </c>
      <c r="EL119" s="153" t="str">
        <f t="shared" ca="1" si="501"/>
        <v/>
      </c>
      <c r="EM119" s="153">
        <f t="shared" ca="1" si="633"/>
        <v>2</v>
      </c>
      <c r="EN119" s="153">
        <f t="shared" ca="1" si="634"/>
        <v>0</v>
      </c>
    </row>
    <row r="120" spans="1:144" x14ac:dyDescent="0.3">
      <c r="A120" s="36">
        <f ca="1">IF($M$22=1,A119+'Auto X'!$E$6,A$48)</f>
        <v>95</v>
      </c>
      <c r="B120" s="35">
        <f>IF($M$22=2,B119+'Auto X'!$E$6,B$48)</f>
        <v>0.28399999999999997</v>
      </c>
      <c r="C120" s="39">
        <f>IF($M$22=3,C119+'Auto X'!$E$6,C$48)</f>
        <v>45295.440972222219</v>
      </c>
      <c r="D120" s="35">
        <f>IF($M$22=4,D119+'Auto X'!$E$6,D$48)</f>
        <v>2.5999999999999999E-2</v>
      </c>
      <c r="E120" s="35">
        <f>IF($M$22=5,E119+'Auto X'!$E$6,E$48)</f>
        <v>0.04</v>
      </c>
      <c r="F120" s="36">
        <f t="shared" si="615"/>
        <v>75</v>
      </c>
      <c r="G120" s="35">
        <f t="shared" si="599"/>
        <v>0.28399999999999997</v>
      </c>
      <c r="H120" s="197">
        <f t="shared" si="625"/>
        <v>169.23611111111677</v>
      </c>
      <c r="I120" s="41">
        <f t="shared" si="600"/>
        <v>0.46366057838662128</v>
      </c>
      <c r="J120" s="40">
        <f t="shared" ca="1" si="502"/>
        <v>0.23638877806423034</v>
      </c>
      <c r="K120" s="40">
        <f t="shared" si="503"/>
        <v>2.5189751902588361E-2</v>
      </c>
      <c r="L120" s="40">
        <f t="shared" si="504"/>
        <v>0.19338305926412305</v>
      </c>
      <c r="M120" s="42">
        <f t="shared" ca="1" si="505"/>
        <v>1.3526444920366789</v>
      </c>
      <c r="N120" s="42">
        <f t="shared" ca="1" si="506"/>
        <v>1.1592614327725559</v>
      </c>
      <c r="O120" s="42">
        <f t="shared" ca="1" si="507"/>
        <v>0.9119153843116754</v>
      </c>
      <c r="P120" s="42">
        <f t="shared" ca="1" si="508"/>
        <v>8.8084615688324652E-2</v>
      </c>
      <c r="Q120" s="42">
        <f t="shared" ca="1" si="509"/>
        <v>0.87682518138232757</v>
      </c>
      <c r="R120" s="42">
        <f t="shared" ca="1" si="510"/>
        <v>0.12317481861767243</v>
      </c>
      <c r="S120" s="42">
        <f t="shared" si="511"/>
        <v>0.98162450344672281</v>
      </c>
      <c r="T120" s="42">
        <f t="shared" si="512"/>
        <v>73.621837758504213</v>
      </c>
      <c r="U120" s="42">
        <f t="shared" si="513"/>
        <v>0.98801719747153338</v>
      </c>
      <c r="V120" s="42">
        <f t="shared" ca="1" si="514"/>
        <v>93.861633759795666</v>
      </c>
      <c r="W120" s="42">
        <f t="shared" ca="1" si="515"/>
        <v>0.15981121060718387</v>
      </c>
      <c r="X120" s="42">
        <f t="shared" ca="1" si="516"/>
        <v>0.80059057459358307</v>
      </c>
      <c r="Y120" s="42">
        <f t="shared" ca="1" si="517"/>
        <v>-8.7029115132735535E-2</v>
      </c>
      <c r="Z120" s="42">
        <f t="shared" ca="1" si="518"/>
        <v>8.5946800439817735E-3</v>
      </c>
      <c r="AA120" s="42">
        <f t="shared" ca="1" si="601"/>
        <v>-8.1653400592694072E-3</v>
      </c>
      <c r="AB120" s="42">
        <f t="shared" ca="1" si="519"/>
        <v>0.10213990204208531</v>
      </c>
      <c r="AC120" s="42">
        <f t="shared" ca="1" si="520"/>
        <v>-4.2046394254643425E-2</v>
      </c>
      <c r="AD120" s="42">
        <f t="shared" ca="1" si="616"/>
        <v>-1399.7047127032085</v>
      </c>
      <c r="AF120" s="36">
        <f t="shared" si="617"/>
        <v>80</v>
      </c>
      <c r="AG120" s="35">
        <f t="shared" si="602"/>
        <v>0.28399999999999997</v>
      </c>
      <c r="AH120" s="197">
        <f t="shared" si="626"/>
        <v>169.23611111111677</v>
      </c>
      <c r="AI120" s="41">
        <f t="shared" si="603"/>
        <v>0.46366057838662128</v>
      </c>
      <c r="AJ120" s="40">
        <f t="shared" ca="1" si="521"/>
        <v>0.17185025692665923</v>
      </c>
      <c r="AK120" s="40">
        <f t="shared" si="522"/>
        <v>2.5189751902588361E-2</v>
      </c>
      <c r="AL120" s="40">
        <f t="shared" si="523"/>
        <v>0.19338305926412305</v>
      </c>
      <c r="AM120" s="42">
        <f t="shared" ca="1" si="524"/>
        <v>1.0189103925599288</v>
      </c>
      <c r="AN120" s="42">
        <f t="shared" ca="1" si="525"/>
        <v>0.82552733329580574</v>
      </c>
      <c r="AO120" s="42">
        <f t="shared" ca="1" si="526"/>
        <v>0.84587724530390485</v>
      </c>
      <c r="AP120" s="42">
        <f t="shared" ca="1" si="527"/>
        <v>0.15412275469609513</v>
      </c>
      <c r="AQ120" s="42">
        <f t="shared" ca="1" si="528"/>
        <v>0.79546386437396066</v>
      </c>
      <c r="AR120" s="42">
        <f t="shared" ca="1" si="529"/>
        <v>0.20453613562603931</v>
      </c>
      <c r="AS120" s="42">
        <f t="shared" si="530"/>
        <v>0.98162450344672281</v>
      </c>
      <c r="AT120" s="42">
        <f t="shared" si="531"/>
        <v>78.529960275737821</v>
      </c>
      <c r="AU120" s="42">
        <f t="shared" si="532"/>
        <v>0.98801719747153338</v>
      </c>
      <c r="AV120" s="42">
        <f t="shared" ca="1" si="533"/>
        <v>93.861633759795666</v>
      </c>
      <c r="AW120" s="42">
        <f t="shared" ca="1" si="534"/>
        <v>0.23739550595811873</v>
      </c>
      <c r="AX120" s="42">
        <f t="shared" ca="1" si="535"/>
        <v>1.5960010503300825</v>
      </c>
      <c r="AY120" s="42">
        <f t="shared" ca="1" si="536"/>
        <v>-0.15227593216142854</v>
      </c>
      <c r="AZ120" s="42">
        <f t="shared" ca="1" si="537"/>
        <v>1.2767179535385371E-2</v>
      </c>
      <c r="BA120" s="42">
        <f t="shared" ca="1" si="604"/>
        <v>-1.2001036124237981E-2</v>
      </c>
      <c r="BB120" s="42">
        <f t="shared" ca="1" si="538"/>
        <v>0.15172623767549098</v>
      </c>
      <c r="BC120" s="42">
        <f t="shared" ca="1" si="539"/>
        <v>-7.4474157142330355E-2</v>
      </c>
      <c r="BD120" s="42">
        <f t="shared" ca="1" si="618"/>
        <v>2026.9994748349588</v>
      </c>
      <c r="BE120" s="40"/>
      <c r="BF120" s="36">
        <f t="shared" si="619"/>
        <v>90</v>
      </c>
      <c r="BG120" s="35">
        <f t="shared" si="605"/>
        <v>0.28399999999999997</v>
      </c>
      <c r="BH120" s="197">
        <f t="shared" si="627"/>
        <v>169.23611111111677</v>
      </c>
      <c r="BI120" s="41">
        <f t="shared" si="606"/>
        <v>0.46366057838662128</v>
      </c>
      <c r="BJ120" s="40">
        <f t="shared" ca="1" si="540"/>
        <v>5.4067221270275793E-2</v>
      </c>
      <c r="BK120" s="40">
        <f t="shared" si="541"/>
        <v>2.5189751902588361E-2</v>
      </c>
      <c r="BL120" s="40">
        <f t="shared" si="542"/>
        <v>0.19338305926412305</v>
      </c>
      <c r="BM120" s="42">
        <f t="shared" ca="1" si="543"/>
        <v>0.40984444798039305</v>
      </c>
      <c r="BN120" s="42">
        <f t="shared" ca="1" si="544"/>
        <v>0.21646138871626999</v>
      </c>
      <c r="BO120" s="42">
        <f t="shared" ca="1" si="545"/>
        <v>0.65903997078018639</v>
      </c>
      <c r="BP120" s="42">
        <f t="shared" ca="1" si="546"/>
        <v>0.34096002921981355</v>
      </c>
      <c r="BQ120" s="42">
        <f t="shared" ca="1" si="547"/>
        <v>0.58568594048880041</v>
      </c>
      <c r="BR120" s="42">
        <f t="shared" ca="1" si="548"/>
        <v>0.41431405951119959</v>
      </c>
      <c r="BS120" s="42">
        <f t="shared" si="549"/>
        <v>0.98162450344672281</v>
      </c>
      <c r="BT120" s="42">
        <f t="shared" si="550"/>
        <v>88.34620531020505</v>
      </c>
      <c r="BU120" s="42">
        <f t="shared" si="551"/>
        <v>0.98801719747153338</v>
      </c>
      <c r="BV120" s="42">
        <f t="shared" ca="1" si="552"/>
        <v>93.861633759795666</v>
      </c>
      <c r="BW120" s="42">
        <f t="shared" ca="1" si="553"/>
        <v>0.36680505073321523</v>
      </c>
      <c r="BX120" s="42">
        <f t="shared" ca="1" si="554"/>
        <v>10.115438024712198</v>
      </c>
      <c r="BY120" s="42">
        <f t="shared" ca="1" si="555"/>
        <v>0.65114282495196096</v>
      </c>
      <c r="BZ120" s="42">
        <f t="shared" ca="1" si="556"/>
        <v>1.9726851687004068E-2</v>
      </c>
      <c r="CA120" s="42">
        <f t="shared" ca="1" si="607"/>
        <v>-2.0934770744027279E-2</v>
      </c>
      <c r="CB120" s="42">
        <f t="shared" ca="1" si="557"/>
        <v>0.23443556811870231</v>
      </c>
      <c r="CC120" s="42">
        <f t="shared" ca="1" si="558"/>
        <v>0.2399124974363277</v>
      </c>
      <c r="CD120" s="42">
        <f t="shared" ca="1" si="620"/>
        <v>-1657.719012356099</v>
      </c>
      <c r="CE120" s="40"/>
      <c r="CF120" s="36">
        <f t="shared" si="621"/>
        <v>95</v>
      </c>
      <c r="CG120" s="35">
        <f t="shared" si="608"/>
        <v>0.28399999999999997</v>
      </c>
      <c r="CH120" s="197">
        <f t="shared" si="628"/>
        <v>169.23611111111677</v>
      </c>
      <c r="CI120" s="41">
        <f t="shared" si="609"/>
        <v>0.46366057838662128</v>
      </c>
      <c r="CJ120" s="40">
        <f t="shared" ca="1" si="559"/>
        <v>0</v>
      </c>
      <c r="CK120" s="40">
        <f t="shared" si="560"/>
        <v>2.5189751902588361E-2</v>
      </c>
      <c r="CL120" s="40">
        <f t="shared" si="561"/>
        <v>0.19338305926412305</v>
      </c>
      <c r="CM120" s="42">
        <f t="shared" ca="1" si="562"/>
        <v>0.13025831734404478</v>
      </c>
      <c r="CN120" s="42">
        <f t="shared" ca="1" si="563"/>
        <v>-6.3124741920078276E-2</v>
      </c>
      <c r="CO120" s="42">
        <f t="shared" ca="1" si="564"/>
        <v>0.55181897151292092</v>
      </c>
      <c r="CP120" s="42">
        <f t="shared" ca="1" si="565"/>
        <v>0.44818102848707914</v>
      </c>
      <c r="CQ120" s="42">
        <f t="shared" ca="1" si="566"/>
        <v>0.47483358619092353</v>
      </c>
      <c r="CR120" s="42">
        <f t="shared" ca="1" si="567"/>
        <v>0.52516641380907647</v>
      </c>
      <c r="CS120" s="42">
        <f t="shared" si="568"/>
        <v>0.98162450344672281</v>
      </c>
      <c r="CT120" s="42">
        <f t="shared" si="569"/>
        <v>93.254327827438672</v>
      </c>
      <c r="CU120" s="42">
        <f t="shared" si="570"/>
        <v>0.98801719747153338</v>
      </c>
      <c r="CV120" s="42">
        <f t="shared" ca="1" si="571"/>
        <v>93.861633759795666</v>
      </c>
      <c r="CW120" s="42">
        <f t="shared" ca="1" si="572"/>
        <v>0.395572123608114</v>
      </c>
      <c r="CX120" s="42">
        <f t="shared" ca="1" si="573"/>
        <v>7.5143432957261638</v>
      </c>
      <c r="CY120" s="42">
        <f t="shared" ca="1" si="574"/>
        <v>0.54520663374582001</v>
      </c>
      <c r="CZ120" s="42">
        <f t="shared" ca="1" si="575"/>
        <v>2.1273950831189811E-2</v>
      </c>
      <c r="DA120" s="42">
        <f t="shared" ca="1" si="610"/>
        <v>-2.2376499973596992E-2</v>
      </c>
      <c r="DB120" s="42">
        <f t="shared" ca="1" si="576"/>
        <v>0.25282142474488078</v>
      </c>
      <c r="DC120" s="42">
        <f t="shared" ca="1" si="577"/>
        <v>0.20531023439874896</v>
      </c>
      <c r="DD120" s="42">
        <f t="shared" ca="1" si="622"/>
        <v>1182.1716478630817</v>
      </c>
      <c r="DE120" s="40"/>
      <c r="DF120" s="36">
        <f t="shared" si="623"/>
        <v>200</v>
      </c>
      <c r="DG120" s="35">
        <f t="shared" si="611"/>
        <v>0.28399999999999997</v>
      </c>
      <c r="DH120" s="197">
        <f t="shared" si="629"/>
        <v>169.23611111111677</v>
      </c>
      <c r="DI120" s="41">
        <f t="shared" si="612"/>
        <v>0.46366057838662128</v>
      </c>
      <c r="DJ120" s="40">
        <f t="shared" ca="1" si="578"/>
        <v>-0.74444047494749588</v>
      </c>
      <c r="DK120" s="40">
        <f t="shared" si="579"/>
        <v>2.5189751902588361E-2</v>
      </c>
      <c r="DL120" s="40">
        <f t="shared" si="580"/>
        <v>0.19338305926412305</v>
      </c>
      <c r="DM120" s="42">
        <f t="shared" ca="1" si="581"/>
        <v>-3.7193057436461028</v>
      </c>
      <c r="DN120" s="42">
        <f t="shared" ca="1" si="582"/>
        <v>-3.912688802910226</v>
      </c>
      <c r="DO120" s="42">
        <f t="shared" ca="1" si="583"/>
        <v>9.9885559301218332E-5</v>
      </c>
      <c r="DP120" s="42">
        <f t="shared" ca="1" si="584"/>
        <v>0.99990011444069882</v>
      </c>
      <c r="DQ120" s="42">
        <f t="shared" ca="1" si="585"/>
        <v>4.5637062953718692E-5</v>
      </c>
      <c r="DR120" s="42">
        <f t="shared" ca="1" si="586"/>
        <v>0.99995436293704631</v>
      </c>
      <c r="DS120" s="42">
        <f t="shared" si="587"/>
        <v>0.98162450344672281</v>
      </c>
      <c r="DT120" s="42">
        <f t="shared" si="588"/>
        <v>196.32490068934456</v>
      </c>
      <c r="DU120" s="42">
        <f t="shared" si="589"/>
        <v>0.98801719747153338</v>
      </c>
      <c r="DV120" s="42">
        <f t="shared" ca="1" si="590"/>
        <v>93.861633759795666</v>
      </c>
      <c r="DW120" s="42">
        <f t="shared" ca="1" si="591"/>
        <v>3.9542234336607178E-4</v>
      </c>
      <c r="DX120" s="42">
        <f t="shared" si="592"/>
        <v>0</v>
      </c>
      <c r="DY120" s="92">
        <f t="shared" si="593"/>
        <v>0</v>
      </c>
      <c r="DZ120" s="42">
        <f t="shared" si="594"/>
        <v>0</v>
      </c>
      <c r="EA120" s="42">
        <f t="shared" si="613"/>
        <v>0</v>
      </c>
      <c r="EB120" s="42">
        <f t="shared" si="595"/>
        <v>0</v>
      </c>
      <c r="EC120" s="42">
        <f t="shared" si="596"/>
        <v>0</v>
      </c>
      <c r="ED120" s="42">
        <f t="shared" ca="1" si="624"/>
        <v>0</v>
      </c>
      <c r="EE120" s="40"/>
      <c r="EF120" s="120">
        <f t="shared" ca="1" si="630"/>
        <v>95</v>
      </c>
      <c r="EG120" s="42">
        <f t="shared" ca="1" si="597"/>
        <v>151.74739763873299</v>
      </c>
      <c r="EH120" s="36">
        <f t="shared" ca="1" si="614"/>
        <v>151.74739763873299</v>
      </c>
      <c r="EI120" s="36">
        <f t="shared" ca="1" si="631"/>
        <v>-10.004</v>
      </c>
      <c r="EJ120" s="153">
        <f t="shared" ca="1" si="598"/>
        <v>-1</v>
      </c>
      <c r="EK120" s="153" t="str">
        <f t="shared" ca="1" si="632"/>
        <v/>
      </c>
      <c r="EL120" s="153" t="str">
        <f t="shared" ca="1" si="501"/>
        <v/>
      </c>
      <c r="EM120" s="153">
        <f t="shared" ca="1" si="633"/>
        <v>2</v>
      </c>
      <c r="EN120" s="153">
        <f t="shared" ca="1" si="634"/>
        <v>0</v>
      </c>
    </row>
    <row r="121" spans="1:144" x14ac:dyDescent="0.3">
      <c r="A121" s="36">
        <f ca="1">IF($M$22=1,A120+'Auto X'!$E$6,A$48)</f>
        <v>95.5</v>
      </c>
      <c r="B121" s="35">
        <f>IF($M$22=2,B120+'Auto X'!$E$6,B$48)</f>
        <v>0.28399999999999997</v>
      </c>
      <c r="C121" s="39">
        <f>IF($M$22=3,C120+'Auto X'!$E$6,C$48)</f>
        <v>45295.440972222219</v>
      </c>
      <c r="D121" s="35">
        <f>IF($M$22=4,D120+'Auto X'!$E$6,D$48)</f>
        <v>2.5999999999999999E-2</v>
      </c>
      <c r="E121" s="35">
        <f>IF($M$22=5,E120+'Auto X'!$E$6,E$48)</f>
        <v>0.04</v>
      </c>
      <c r="F121" s="36">
        <f t="shared" si="615"/>
        <v>75</v>
      </c>
      <c r="G121" s="35">
        <f t="shared" si="599"/>
        <v>0.28399999999999997</v>
      </c>
      <c r="H121" s="197">
        <f t="shared" si="625"/>
        <v>169.23611111111677</v>
      </c>
      <c r="I121" s="41">
        <f t="shared" si="600"/>
        <v>0.46366057838662128</v>
      </c>
      <c r="J121" s="40">
        <f t="shared" ca="1" si="502"/>
        <v>0.2416381339503742</v>
      </c>
      <c r="K121" s="40">
        <f t="shared" si="503"/>
        <v>2.5189751902588361E-2</v>
      </c>
      <c r="L121" s="40">
        <f t="shared" si="504"/>
        <v>0.19338305926412305</v>
      </c>
      <c r="M121" s="42">
        <f t="shared" ca="1" si="505"/>
        <v>1.3797893510854453</v>
      </c>
      <c r="N121" s="42">
        <f t="shared" ca="1" si="506"/>
        <v>1.1864062918213223</v>
      </c>
      <c r="O121" s="42">
        <f t="shared" ca="1" si="507"/>
        <v>0.91617424383177681</v>
      </c>
      <c r="P121" s="42">
        <f t="shared" ca="1" si="508"/>
        <v>8.3825756168223201E-2</v>
      </c>
      <c r="Q121" s="42">
        <f t="shared" ca="1" si="509"/>
        <v>0.88226905590644367</v>
      </c>
      <c r="R121" s="42">
        <f t="shared" ca="1" si="510"/>
        <v>0.11773094409355639</v>
      </c>
      <c r="S121" s="42">
        <f t="shared" si="511"/>
        <v>0.98162450344672281</v>
      </c>
      <c r="T121" s="42">
        <f t="shared" si="512"/>
        <v>73.621837758504213</v>
      </c>
      <c r="U121" s="42">
        <f t="shared" si="513"/>
        <v>0.98801719747153338</v>
      </c>
      <c r="V121" s="42">
        <f t="shared" ca="1" si="514"/>
        <v>94.355642358531441</v>
      </c>
      <c r="W121" s="42">
        <f t="shared" ca="1" si="515"/>
        <v>0.1539930419258291</v>
      </c>
      <c r="X121" s="42">
        <f t="shared" ca="1" si="516"/>
        <v>0.75813539576900979</v>
      </c>
      <c r="Y121" s="42">
        <f t="shared" ca="1" si="517"/>
        <v>-8.2821288685259981E-2</v>
      </c>
      <c r="Z121" s="42">
        <f t="shared" ca="1" si="518"/>
        <v>8.2384176330711021E-3</v>
      </c>
      <c r="AA121" s="42">
        <f t="shared" ca="1" si="601"/>
        <v>-7.9151901546269197E-3</v>
      </c>
      <c r="AB121" s="42">
        <f t="shared" ca="1" si="519"/>
        <v>9.8939351597295402E-2</v>
      </c>
      <c r="AC121" s="42">
        <f t="shared" ca="1" si="520"/>
        <v>-4.0188098077855283E-2</v>
      </c>
      <c r="AD121" s="42">
        <f t="shared" ca="1" si="616"/>
        <v>-1420.9323021154951</v>
      </c>
      <c r="AF121" s="36">
        <f t="shared" si="617"/>
        <v>80</v>
      </c>
      <c r="AG121" s="35">
        <f t="shared" si="602"/>
        <v>0.28399999999999997</v>
      </c>
      <c r="AH121" s="197">
        <f t="shared" si="626"/>
        <v>169.23611111111677</v>
      </c>
      <c r="AI121" s="41">
        <f t="shared" si="603"/>
        <v>0.46366057838662128</v>
      </c>
      <c r="AJ121" s="40">
        <f t="shared" ca="1" si="521"/>
        <v>0.17709961281280304</v>
      </c>
      <c r="AK121" s="40">
        <f t="shared" si="522"/>
        <v>2.5189751902588361E-2</v>
      </c>
      <c r="AL121" s="40">
        <f t="shared" si="523"/>
        <v>0.19338305926412305</v>
      </c>
      <c r="AM121" s="42">
        <f t="shared" ca="1" si="524"/>
        <v>1.0460552516086947</v>
      </c>
      <c r="AN121" s="42">
        <f t="shared" ca="1" si="525"/>
        <v>0.8526721923445717</v>
      </c>
      <c r="AO121" s="42">
        <f t="shared" ca="1" si="526"/>
        <v>0.85223223815030247</v>
      </c>
      <c r="AP121" s="42">
        <f t="shared" ca="1" si="527"/>
        <v>0.14776776184969759</v>
      </c>
      <c r="AQ121" s="42">
        <f t="shared" ca="1" si="528"/>
        <v>0.80307944210032267</v>
      </c>
      <c r="AR121" s="42">
        <f t="shared" ca="1" si="529"/>
        <v>0.19692055789967736</v>
      </c>
      <c r="AS121" s="42">
        <f t="shared" si="530"/>
        <v>0.98162450344672281</v>
      </c>
      <c r="AT121" s="42">
        <f t="shared" si="531"/>
        <v>78.529960275737821</v>
      </c>
      <c r="AU121" s="42">
        <f t="shared" si="532"/>
        <v>0.98801719747153338</v>
      </c>
      <c r="AV121" s="42">
        <f t="shared" ca="1" si="533"/>
        <v>94.355642358531441</v>
      </c>
      <c r="AW121" s="42">
        <f t="shared" ca="1" si="534"/>
        <v>0.23083448788953681</v>
      </c>
      <c r="AX121" s="42">
        <f t="shared" ca="1" si="535"/>
        <v>1.5214415001270805</v>
      </c>
      <c r="AY121" s="42">
        <f t="shared" ca="1" si="536"/>
        <v>-0.14599708993937913</v>
      </c>
      <c r="AZ121" s="42">
        <f t="shared" ca="1" si="537"/>
        <v>1.2349330148735283E-2</v>
      </c>
      <c r="BA121" s="42">
        <f t="shared" ca="1" si="604"/>
        <v>-1.1742590868999665E-2</v>
      </c>
      <c r="BB121" s="42">
        <f t="shared" ca="1" si="538"/>
        <v>0.14830939289506828</v>
      </c>
      <c r="BC121" s="42">
        <f t="shared" ca="1" si="539"/>
        <v>-7.1701230340976904E-2</v>
      </c>
      <c r="BD121" s="42">
        <f t="shared" ca="1" si="618"/>
        <v>2064.27924993646</v>
      </c>
      <c r="BE121" s="40"/>
      <c r="BF121" s="36">
        <f t="shared" si="619"/>
        <v>90</v>
      </c>
      <c r="BG121" s="35">
        <f t="shared" si="605"/>
        <v>0.28399999999999997</v>
      </c>
      <c r="BH121" s="197">
        <f t="shared" si="627"/>
        <v>169.23611111111677</v>
      </c>
      <c r="BI121" s="41">
        <f t="shared" si="606"/>
        <v>0.46366057838662128</v>
      </c>
      <c r="BJ121" s="40">
        <f t="shared" ca="1" si="540"/>
        <v>5.9316577156419505E-2</v>
      </c>
      <c r="BK121" s="40">
        <f t="shared" si="541"/>
        <v>2.5189751902588361E-2</v>
      </c>
      <c r="BL121" s="40">
        <f t="shared" si="542"/>
        <v>0.19338305926412305</v>
      </c>
      <c r="BM121" s="42">
        <f t="shared" ca="1" si="543"/>
        <v>0.43698930702915878</v>
      </c>
      <c r="BN121" s="42">
        <f t="shared" ca="1" si="544"/>
        <v>0.24360624776503573</v>
      </c>
      <c r="BO121" s="42">
        <f t="shared" ca="1" si="545"/>
        <v>0.66894044857656565</v>
      </c>
      <c r="BP121" s="42">
        <f t="shared" ca="1" si="546"/>
        <v>0.33105955142343435</v>
      </c>
      <c r="BQ121" s="42">
        <f t="shared" ca="1" si="547"/>
        <v>0.59623210548084971</v>
      </c>
      <c r="BR121" s="42">
        <f t="shared" ca="1" si="548"/>
        <v>0.40376789451915024</v>
      </c>
      <c r="BS121" s="42">
        <f t="shared" si="549"/>
        <v>0.98162450344672281</v>
      </c>
      <c r="BT121" s="42">
        <f t="shared" si="550"/>
        <v>88.34620531020505</v>
      </c>
      <c r="BU121" s="42">
        <f t="shared" si="551"/>
        <v>0.98801719747153338</v>
      </c>
      <c r="BV121" s="42">
        <f t="shared" ca="1" si="552"/>
        <v>94.355642358531441</v>
      </c>
      <c r="BW121" s="42">
        <f t="shared" ca="1" si="553"/>
        <v>0.36261327873773452</v>
      </c>
      <c r="BX121" s="42">
        <f t="shared" ca="1" si="554"/>
        <v>10.443461721699038</v>
      </c>
      <c r="BY121" s="42">
        <f t="shared" ca="1" si="555"/>
        <v>0.66092466727796884</v>
      </c>
      <c r="BZ121" s="42">
        <f t="shared" ca="1" si="556"/>
        <v>1.9399315658544775E-2</v>
      </c>
      <c r="CA121" s="42">
        <f t="shared" ca="1" si="607"/>
        <v>-2.0824696121393507E-2</v>
      </c>
      <c r="CB121" s="42">
        <f t="shared" ca="1" si="557"/>
        <v>0.23297625808418571</v>
      </c>
      <c r="CC121" s="42">
        <f t="shared" ca="1" si="558"/>
        <v>0.24423248637016912</v>
      </c>
      <c r="CD121" s="42">
        <f t="shared" ca="1" si="620"/>
        <v>-1821.7308608495189</v>
      </c>
      <c r="CE121" s="40"/>
      <c r="CF121" s="36">
        <f t="shared" si="621"/>
        <v>95</v>
      </c>
      <c r="CG121" s="35">
        <f t="shared" si="608"/>
        <v>0.28399999999999997</v>
      </c>
      <c r="CH121" s="197">
        <f t="shared" si="628"/>
        <v>169.23611111111677</v>
      </c>
      <c r="CI121" s="41">
        <f t="shared" si="609"/>
        <v>0.46366057838662128</v>
      </c>
      <c r="CJ121" s="40">
        <f t="shared" ca="1" si="559"/>
        <v>5.249355886143745E-3</v>
      </c>
      <c r="CK121" s="40">
        <f t="shared" si="560"/>
        <v>2.5189751902588361E-2</v>
      </c>
      <c r="CL121" s="40">
        <f t="shared" si="561"/>
        <v>0.19338305926412305</v>
      </c>
      <c r="CM121" s="42">
        <f t="shared" ca="1" si="562"/>
        <v>0.1574031763928106</v>
      </c>
      <c r="CN121" s="42">
        <f t="shared" ca="1" si="563"/>
        <v>-3.5979882871312457E-2</v>
      </c>
      <c r="CO121" s="42">
        <f t="shared" ca="1" si="564"/>
        <v>0.56253644486858212</v>
      </c>
      <c r="CP121" s="42">
        <f t="shared" ca="1" si="565"/>
        <v>0.43746355513141783</v>
      </c>
      <c r="CQ121" s="42">
        <f t="shared" ca="1" si="566"/>
        <v>0.48564919985496163</v>
      </c>
      <c r="CR121" s="42">
        <f t="shared" ca="1" si="567"/>
        <v>0.51435080014503831</v>
      </c>
      <c r="CS121" s="42">
        <f t="shared" si="568"/>
        <v>0.98162450344672281</v>
      </c>
      <c r="CT121" s="42">
        <f t="shared" si="569"/>
        <v>93.254327827438672</v>
      </c>
      <c r="CU121" s="42">
        <f t="shared" si="570"/>
        <v>0.98801719747153338</v>
      </c>
      <c r="CV121" s="42">
        <f t="shared" ca="1" si="571"/>
        <v>94.355642358531441</v>
      </c>
      <c r="CW121" s="42">
        <f t="shared" ca="1" si="572"/>
        <v>0.3940307160622844</v>
      </c>
      <c r="CX121" s="42">
        <f t="shared" ca="1" si="573"/>
        <v>7.7895979132518036</v>
      </c>
      <c r="CY121" s="42">
        <f t="shared" ca="1" si="574"/>
        <v>0.55579568173465621</v>
      </c>
      <c r="CZ121" s="42">
        <f t="shared" ca="1" si="575"/>
        <v>2.1080105689078386E-2</v>
      </c>
      <c r="DA121" s="42">
        <f t="shared" ca="1" si="610"/>
        <v>-2.2424131999738625E-2</v>
      </c>
      <c r="DB121" s="42">
        <f t="shared" ca="1" si="576"/>
        <v>0.25316172126398845</v>
      </c>
      <c r="DC121" s="42">
        <f t="shared" ca="1" si="577"/>
        <v>0.20998672789269726</v>
      </c>
      <c r="DD121" s="42">
        <f t="shared" ca="1" si="622"/>
        <v>1319.7989566259016</v>
      </c>
      <c r="DE121" s="40"/>
      <c r="DF121" s="36">
        <f t="shared" si="623"/>
        <v>200</v>
      </c>
      <c r="DG121" s="35">
        <f t="shared" si="611"/>
        <v>0.28399999999999997</v>
      </c>
      <c r="DH121" s="197">
        <f t="shared" si="629"/>
        <v>169.23611111111677</v>
      </c>
      <c r="DI121" s="41">
        <f t="shared" si="612"/>
        <v>0.46366057838662128</v>
      </c>
      <c r="DJ121" s="40">
        <f t="shared" ca="1" si="578"/>
        <v>-0.73919111906135215</v>
      </c>
      <c r="DK121" s="40">
        <f t="shared" si="579"/>
        <v>2.5189751902588361E-2</v>
      </c>
      <c r="DL121" s="40">
        <f t="shared" si="580"/>
        <v>0.19338305926412305</v>
      </c>
      <c r="DM121" s="42">
        <f t="shared" ca="1" si="581"/>
        <v>-3.692160884597337</v>
      </c>
      <c r="DN121" s="42">
        <f t="shared" ca="1" si="582"/>
        <v>-3.8855439438614603</v>
      </c>
      <c r="DO121" s="42">
        <f t="shared" ca="1" si="583"/>
        <v>1.111783619255386E-4</v>
      </c>
      <c r="DP121" s="42">
        <f t="shared" ca="1" si="584"/>
        <v>0.99988882163807447</v>
      </c>
      <c r="DQ121" s="42">
        <f t="shared" ca="1" si="585"/>
        <v>5.1050510695659062E-5</v>
      </c>
      <c r="DR121" s="42">
        <f t="shared" ca="1" si="586"/>
        <v>0.99994894948930435</v>
      </c>
      <c r="DS121" s="42">
        <f t="shared" si="587"/>
        <v>0.98162450344672281</v>
      </c>
      <c r="DT121" s="42">
        <f t="shared" si="588"/>
        <v>196.32490068934456</v>
      </c>
      <c r="DU121" s="42">
        <f t="shared" si="589"/>
        <v>0.98801719747153338</v>
      </c>
      <c r="DV121" s="42">
        <f t="shared" ca="1" si="590"/>
        <v>94.355642358531441</v>
      </c>
      <c r="DW121" s="42">
        <f t="shared" ca="1" si="591"/>
        <v>4.3726788913163878E-4</v>
      </c>
      <c r="DX121" s="42">
        <f t="shared" si="592"/>
        <v>0</v>
      </c>
      <c r="DY121" s="92">
        <f t="shared" si="593"/>
        <v>0</v>
      </c>
      <c r="DZ121" s="42">
        <f t="shared" si="594"/>
        <v>0</v>
      </c>
      <c r="EA121" s="42">
        <f t="shared" si="613"/>
        <v>0</v>
      </c>
      <c r="EB121" s="42">
        <f t="shared" si="595"/>
        <v>0</v>
      </c>
      <c r="EC121" s="42">
        <f t="shared" si="596"/>
        <v>0</v>
      </c>
      <c r="ED121" s="42">
        <f t="shared" ca="1" si="624"/>
        <v>0</v>
      </c>
      <c r="EE121" s="40"/>
      <c r="EF121" s="120">
        <f t="shared" ca="1" si="630"/>
        <v>95.5</v>
      </c>
      <c r="EG121" s="42">
        <f t="shared" ca="1" si="597"/>
        <v>141.41504359734768</v>
      </c>
      <c r="EH121" s="36">
        <f t="shared" ca="1" si="614"/>
        <v>141.41504359734768</v>
      </c>
      <c r="EI121" s="36">
        <f t="shared" ca="1" si="631"/>
        <v>-10.332000000000001</v>
      </c>
      <c r="EJ121" s="153">
        <f t="shared" ca="1" si="598"/>
        <v>-1</v>
      </c>
      <c r="EK121" s="153" t="str">
        <f t="shared" ca="1" si="632"/>
        <v/>
      </c>
      <c r="EL121" s="153" t="str">
        <f t="shared" ca="1" si="501"/>
        <v/>
      </c>
      <c r="EM121" s="153">
        <f t="shared" ca="1" si="633"/>
        <v>2</v>
      </c>
      <c r="EN121" s="153">
        <f t="shared" ca="1" si="634"/>
        <v>0</v>
      </c>
    </row>
    <row r="122" spans="1:144" x14ac:dyDescent="0.3">
      <c r="A122" s="36">
        <f ca="1">IF($M$22=1,A121+'Auto X'!$E$6,A$48)</f>
        <v>96</v>
      </c>
      <c r="B122" s="35">
        <f>IF($M$22=2,B121+'Auto X'!$E$6,B$48)</f>
        <v>0.28399999999999997</v>
      </c>
      <c r="C122" s="39">
        <f>IF($M$22=3,C121+'Auto X'!$E$6,C$48)</f>
        <v>45295.440972222219</v>
      </c>
      <c r="D122" s="35">
        <f>IF($M$22=4,D121+'Auto X'!$E$6,D$48)</f>
        <v>2.5999999999999999E-2</v>
      </c>
      <c r="E122" s="35">
        <f>IF($M$22=5,E121+'Auto X'!$E$6,E$48)</f>
        <v>0.04</v>
      </c>
      <c r="F122" s="36">
        <f t="shared" si="615"/>
        <v>75</v>
      </c>
      <c r="G122" s="35">
        <f t="shared" si="599"/>
        <v>0.28399999999999997</v>
      </c>
      <c r="H122" s="197">
        <f t="shared" si="625"/>
        <v>169.23611111111677</v>
      </c>
      <c r="I122" s="41">
        <f t="shared" si="600"/>
        <v>0.46366057838662128</v>
      </c>
      <c r="J122" s="40">
        <f t="shared" ca="1" si="502"/>
        <v>0.24686007793152581</v>
      </c>
      <c r="K122" s="40">
        <f t="shared" si="503"/>
        <v>2.5189751902588361E-2</v>
      </c>
      <c r="L122" s="40">
        <f t="shared" si="504"/>
        <v>0.19338305926412305</v>
      </c>
      <c r="M122" s="42">
        <f t="shared" ca="1" si="505"/>
        <v>1.4067924608770817</v>
      </c>
      <c r="N122" s="42">
        <f t="shared" ca="1" si="506"/>
        <v>1.2134094016129586</v>
      </c>
      <c r="O122" s="42">
        <f t="shared" ca="1" si="507"/>
        <v>0.92025553060740406</v>
      </c>
      <c r="P122" s="42">
        <f t="shared" ca="1" si="508"/>
        <v>7.9744469392595912E-2</v>
      </c>
      <c r="Q122" s="42">
        <f t="shared" ca="1" si="509"/>
        <v>0.88751333320448667</v>
      </c>
      <c r="R122" s="42">
        <f t="shared" ca="1" si="510"/>
        <v>0.11248666679551331</v>
      </c>
      <c r="S122" s="42">
        <f t="shared" si="511"/>
        <v>0.98162450344672281</v>
      </c>
      <c r="T122" s="42">
        <f t="shared" si="512"/>
        <v>73.621837758504213</v>
      </c>
      <c r="U122" s="42">
        <f t="shared" si="513"/>
        <v>0.98801719747153338</v>
      </c>
      <c r="V122" s="42">
        <f t="shared" ca="1" si="514"/>
        <v>94.849650957267201</v>
      </c>
      <c r="W122" s="42">
        <f t="shared" ca="1" si="515"/>
        <v>0.14830696768967744</v>
      </c>
      <c r="X122" s="42">
        <f t="shared" ca="1" si="516"/>
        <v>0.71774004515400414</v>
      </c>
      <c r="Y122" s="42">
        <f t="shared" ca="1" si="517"/>
        <v>-7.8788907163127114E-2</v>
      </c>
      <c r="Z122" s="42">
        <f t="shared" ca="1" si="518"/>
        <v>7.8928963548998074E-3</v>
      </c>
      <c r="AA122" s="42">
        <f t="shared" ca="1" si="601"/>
        <v>-7.6682039594451442E-3</v>
      </c>
      <c r="AB122" s="42">
        <f t="shared" ca="1" si="519"/>
        <v>9.5784972456279316E-2</v>
      </c>
      <c r="AC122" s="42">
        <f t="shared" ca="1" si="520"/>
        <v>-3.8397935499750541E-2</v>
      </c>
      <c r="AD122" s="42">
        <f t="shared" ca="1" si="616"/>
        <v>-1441.1299774229981</v>
      </c>
      <c r="AF122" s="36">
        <f t="shared" si="617"/>
        <v>80</v>
      </c>
      <c r="AG122" s="35">
        <f t="shared" si="602"/>
        <v>0.28399999999999997</v>
      </c>
      <c r="AH122" s="197">
        <f t="shared" si="626"/>
        <v>169.23611111111677</v>
      </c>
      <c r="AI122" s="41">
        <f t="shared" si="603"/>
        <v>0.46366057838662128</v>
      </c>
      <c r="AJ122" s="40">
        <f t="shared" ca="1" si="521"/>
        <v>0.18232155679395459</v>
      </c>
      <c r="AK122" s="40">
        <f t="shared" si="522"/>
        <v>2.5189751902588361E-2</v>
      </c>
      <c r="AL122" s="40">
        <f t="shared" si="523"/>
        <v>0.19338305926412305</v>
      </c>
      <c r="AM122" s="42">
        <f t="shared" ca="1" si="524"/>
        <v>1.0730583614003308</v>
      </c>
      <c r="AN122" s="42">
        <f t="shared" ca="1" si="525"/>
        <v>0.87967530213620782</v>
      </c>
      <c r="AO122" s="42">
        <f t="shared" ca="1" si="526"/>
        <v>0.85837753418355711</v>
      </c>
      <c r="AP122" s="42">
        <f t="shared" ca="1" si="527"/>
        <v>0.14162246581644289</v>
      </c>
      <c r="AQ122" s="42">
        <f t="shared" ca="1" si="528"/>
        <v>0.81048238370560721</v>
      </c>
      <c r="AR122" s="42">
        <f t="shared" ca="1" si="529"/>
        <v>0.18951761629439273</v>
      </c>
      <c r="AS122" s="42">
        <f t="shared" si="530"/>
        <v>0.98162450344672281</v>
      </c>
      <c r="AT122" s="42">
        <f t="shared" si="531"/>
        <v>78.529960275737821</v>
      </c>
      <c r="AU122" s="42">
        <f t="shared" si="532"/>
        <v>0.98801719747153338</v>
      </c>
      <c r="AV122" s="42">
        <f t="shared" ca="1" si="533"/>
        <v>94.849650957267201</v>
      </c>
      <c r="AW122" s="42">
        <f t="shared" ca="1" si="534"/>
        <v>0.22432359328650928</v>
      </c>
      <c r="AX122" s="42">
        <f t="shared" ca="1" si="535"/>
        <v>1.4499694287540716</v>
      </c>
      <c r="AY122" s="42">
        <f t="shared" ca="1" si="536"/>
        <v>-0.13992543177496994</v>
      </c>
      <c r="AZ122" s="42">
        <f t="shared" ca="1" si="537"/>
        <v>1.1938500930542268E-2</v>
      </c>
      <c r="BA122" s="42">
        <f t="shared" ca="1" si="604"/>
        <v>-1.1482297806137716E-2</v>
      </c>
      <c r="BB122" s="42">
        <f t="shared" ca="1" si="538"/>
        <v>0.14488078030967275</v>
      </c>
      <c r="BC122" s="42">
        <f t="shared" ca="1" si="539"/>
        <v>-6.9005727002459383E-2</v>
      </c>
      <c r="BD122" s="42">
        <f t="shared" ca="1" si="618"/>
        <v>2100.0152856229643</v>
      </c>
      <c r="BE122" s="40"/>
      <c r="BF122" s="36">
        <f t="shared" si="619"/>
        <v>90</v>
      </c>
      <c r="BG122" s="35">
        <f t="shared" si="605"/>
        <v>0.28399999999999997</v>
      </c>
      <c r="BH122" s="197">
        <f t="shared" si="627"/>
        <v>169.23611111111677</v>
      </c>
      <c r="BI122" s="41">
        <f t="shared" si="606"/>
        <v>0.46366057838662128</v>
      </c>
      <c r="BJ122" s="40">
        <f t="shared" ca="1" si="540"/>
        <v>6.4538521137571164E-2</v>
      </c>
      <c r="BK122" s="40">
        <f t="shared" si="541"/>
        <v>2.5189751902588361E-2</v>
      </c>
      <c r="BL122" s="40">
        <f t="shared" si="542"/>
        <v>0.19338305926412305</v>
      </c>
      <c r="BM122" s="42">
        <f t="shared" ca="1" si="543"/>
        <v>0.46399241682079523</v>
      </c>
      <c r="BN122" s="42">
        <f t="shared" ca="1" si="544"/>
        <v>0.27060935755667215</v>
      </c>
      <c r="BO122" s="42">
        <f t="shared" ca="1" si="545"/>
        <v>0.67867341067487852</v>
      </c>
      <c r="BP122" s="42">
        <f t="shared" ca="1" si="546"/>
        <v>0.32132658932512148</v>
      </c>
      <c r="BQ122" s="42">
        <f t="shared" ca="1" si="547"/>
        <v>0.60665425100175296</v>
      </c>
      <c r="BR122" s="42">
        <f t="shared" ca="1" si="548"/>
        <v>0.39334574899824709</v>
      </c>
      <c r="BS122" s="42">
        <f t="shared" si="549"/>
        <v>0.98162450344672281</v>
      </c>
      <c r="BT122" s="42">
        <f t="shared" si="550"/>
        <v>88.34620531020505</v>
      </c>
      <c r="BU122" s="42">
        <f t="shared" si="551"/>
        <v>0.98801719747153338</v>
      </c>
      <c r="BV122" s="42">
        <f t="shared" ca="1" si="552"/>
        <v>94.849650957267201</v>
      </c>
      <c r="BW122" s="42">
        <f t="shared" ca="1" si="553"/>
        <v>0.35822893467229883</v>
      </c>
      <c r="BX122" s="42">
        <f t="shared" ca="1" si="554"/>
        <v>10.776335105180756</v>
      </c>
      <c r="BY122" s="42">
        <f t="shared" ca="1" si="555"/>
        <v>0.67054100121344051</v>
      </c>
      <c r="BZ122" s="42">
        <f t="shared" ca="1" si="556"/>
        <v>1.9064942778756762E-2</v>
      </c>
      <c r="CA122" s="42">
        <f t="shared" ca="1" si="607"/>
        <v>-2.070105378502303E-2</v>
      </c>
      <c r="CB122" s="42">
        <f t="shared" ca="1" si="557"/>
        <v>0.23136437333427248</v>
      </c>
      <c r="CC122" s="42">
        <f t="shared" ca="1" si="558"/>
        <v>0.24850167363882364</v>
      </c>
      <c r="CD122" s="42">
        <f t="shared" ca="1" si="620"/>
        <v>-1988.1675525903781</v>
      </c>
      <c r="CE122" s="40"/>
      <c r="CF122" s="36">
        <f t="shared" si="621"/>
        <v>95</v>
      </c>
      <c r="CG122" s="35">
        <f t="shared" si="608"/>
        <v>0.28399999999999997</v>
      </c>
      <c r="CH122" s="197">
        <f t="shared" si="628"/>
        <v>169.23611111111677</v>
      </c>
      <c r="CI122" s="41">
        <f t="shared" si="609"/>
        <v>0.46366057838662128</v>
      </c>
      <c r="CJ122" s="40">
        <f t="shared" ca="1" si="559"/>
        <v>1.0471299867295437E-2</v>
      </c>
      <c r="CK122" s="40">
        <f t="shared" si="560"/>
        <v>2.5189751902588361E-2</v>
      </c>
      <c r="CL122" s="40">
        <f t="shared" si="561"/>
        <v>0.19338305926412305</v>
      </c>
      <c r="CM122" s="42">
        <f t="shared" ca="1" si="562"/>
        <v>0.18440628618444724</v>
      </c>
      <c r="CN122" s="42">
        <f t="shared" ca="1" si="563"/>
        <v>-8.9767730796758149E-3</v>
      </c>
      <c r="CO122" s="42">
        <f t="shared" ca="1" si="564"/>
        <v>0.5731526306372281</v>
      </c>
      <c r="CP122" s="42">
        <f t="shared" ca="1" si="565"/>
        <v>0.42684736936277196</v>
      </c>
      <c r="CQ122" s="42">
        <f t="shared" ca="1" si="566"/>
        <v>0.49641883377354018</v>
      </c>
      <c r="CR122" s="42">
        <f t="shared" ca="1" si="567"/>
        <v>0.50358116622645976</v>
      </c>
      <c r="CS122" s="42">
        <f t="shared" si="568"/>
        <v>0.98162450344672281</v>
      </c>
      <c r="CT122" s="42">
        <f t="shared" si="569"/>
        <v>93.254327827438672</v>
      </c>
      <c r="CU122" s="42">
        <f t="shared" si="570"/>
        <v>0.98801719747153338</v>
      </c>
      <c r="CV122" s="42">
        <f t="shared" ca="1" si="571"/>
        <v>94.849650957267201</v>
      </c>
      <c r="CW122" s="42">
        <f t="shared" ca="1" si="572"/>
        <v>0.39221646993100662</v>
      </c>
      <c r="CX122" s="42">
        <f t="shared" ca="1" si="573"/>
        <v>8.0701222967480746</v>
      </c>
      <c r="CY122" s="42">
        <f t="shared" ca="1" si="574"/>
        <v>0.56628465584563104</v>
      </c>
      <c r="CZ122" s="42">
        <f t="shared" ca="1" si="575"/>
        <v>2.0873759298536198E-2</v>
      </c>
      <c r="DA122" s="42">
        <f t="shared" ca="1" si="610"/>
        <v>-2.2455568534101508E-2</v>
      </c>
      <c r="DB122" s="42">
        <f t="shared" ca="1" si="576"/>
        <v>0.25331543321585581</v>
      </c>
      <c r="DC122" s="42">
        <f t="shared" ca="1" si="577"/>
        <v>0.21464334050081002</v>
      </c>
      <c r="DD122" s="42">
        <f t="shared" ca="1" si="622"/>
        <v>1460.0611483740372</v>
      </c>
      <c r="DE122" s="40"/>
      <c r="DF122" s="36">
        <f t="shared" si="623"/>
        <v>200</v>
      </c>
      <c r="DG122" s="35">
        <f t="shared" si="611"/>
        <v>0.28399999999999997</v>
      </c>
      <c r="DH122" s="197">
        <f t="shared" si="629"/>
        <v>169.23611111111677</v>
      </c>
      <c r="DI122" s="41">
        <f t="shared" si="612"/>
        <v>0.46366057838662128</v>
      </c>
      <c r="DJ122" s="40">
        <f t="shared" ca="1" si="578"/>
        <v>-0.73396917508020043</v>
      </c>
      <c r="DK122" s="40">
        <f t="shared" si="579"/>
        <v>2.5189751902588361E-2</v>
      </c>
      <c r="DL122" s="40">
        <f t="shared" si="580"/>
        <v>0.19338305926412305</v>
      </c>
      <c r="DM122" s="42">
        <f t="shared" ca="1" si="581"/>
        <v>-3.6651577748057003</v>
      </c>
      <c r="DN122" s="42">
        <f t="shared" ca="1" si="582"/>
        <v>-3.8585408340698235</v>
      </c>
      <c r="DO122" s="42">
        <f t="shared" ca="1" si="583"/>
        <v>1.2359307454225992E-4</v>
      </c>
      <c r="DP122" s="42">
        <f t="shared" ca="1" si="584"/>
        <v>0.99987640692545776</v>
      </c>
      <c r="DQ122" s="42">
        <f t="shared" ca="1" si="585"/>
        <v>5.7033005821132314E-5</v>
      </c>
      <c r="DR122" s="42">
        <f t="shared" ca="1" si="586"/>
        <v>0.99994296699417884</v>
      </c>
      <c r="DS122" s="42">
        <f t="shared" si="587"/>
        <v>0.98162450344672281</v>
      </c>
      <c r="DT122" s="42">
        <f t="shared" si="588"/>
        <v>196.32490068934456</v>
      </c>
      <c r="DU122" s="42">
        <f t="shared" si="589"/>
        <v>0.98801719747153338</v>
      </c>
      <c r="DV122" s="42">
        <f t="shared" ca="1" si="590"/>
        <v>94.849650957267201</v>
      </c>
      <c r="DW122" s="42">
        <f t="shared" ca="1" si="591"/>
        <v>4.8293461298722865E-4</v>
      </c>
      <c r="DX122" s="42">
        <f t="shared" si="592"/>
        <v>0</v>
      </c>
      <c r="DY122" s="92">
        <f t="shared" si="593"/>
        <v>0</v>
      </c>
      <c r="DZ122" s="42">
        <f t="shared" si="594"/>
        <v>0</v>
      </c>
      <c r="EA122" s="42">
        <f t="shared" si="613"/>
        <v>0</v>
      </c>
      <c r="EB122" s="42">
        <f t="shared" si="595"/>
        <v>0</v>
      </c>
      <c r="EC122" s="42">
        <f t="shared" si="596"/>
        <v>0</v>
      </c>
      <c r="ED122" s="42">
        <f t="shared" ca="1" si="624"/>
        <v>0</v>
      </c>
      <c r="EE122" s="40"/>
      <c r="EF122" s="120">
        <f t="shared" ca="1" si="630"/>
        <v>96</v>
      </c>
      <c r="EG122" s="42">
        <f t="shared" ca="1" si="597"/>
        <v>130.77890398362524</v>
      </c>
      <c r="EH122" s="36">
        <f t="shared" ca="1" si="614"/>
        <v>130.77890398362524</v>
      </c>
      <c r="EI122" s="36">
        <f t="shared" ca="1" si="631"/>
        <v>-10.635999999999999</v>
      </c>
      <c r="EJ122" s="153">
        <f t="shared" ca="1" si="598"/>
        <v>-1</v>
      </c>
      <c r="EK122" s="153" t="str">
        <f t="shared" ca="1" si="632"/>
        <v/>
      </c>
      <c r="EL122" s="153" t="str">
        <f t="shared" ca="1" si="501"/>
        <v/>
      </c>
      <c r="EM122" s="153">
        <f t="shared" ca="1" si="633"/>
        <v>2</v>
      </c>
      <c r="EN122" s="153">
        <f t="shared" ca="1" si="634"/>
        <v>0</v>
      </c>
    </row>
    <row r="123" spans="1:144" x14ac:dyDescent="0.3">
      <c r="A123" s="36">
        <f ca="1">IF($M$22=1,A122+'Auto X'!$E$6,A$48)</f>
        <v>96.5</v>
      </c>
      <c r="B123" s="35">
        <f>IF($M$22=2,B122+'Auto X'!$E$6,B$48)</f>
        <v>0.28399999999999997</v>
      </c>
      <c r="C123" s="39">
        <f>IF($M$22=3,C122+'Auto X'!$E$6,C$48)</f>
        <v>45295.440972222219</v>
      </c>
      <c r="D123" s="35">
        <f>IF($M$22=4,D122+'Auto X'!$E$6,D$48)</f>
        <v>2.5999999999999999E-2</v>
      </c>
      <c r="E123" s="35">
        <f>IF($M$22=5,E122+'Auto X'!$E$6,E$48)</f>
        <v>0.04</v>
      </c>
      <c r="F123" s="36">
        <f t="shared" si="615"/>
        <v>75</v>
      </c>
      <c r="G123" s="35">
        <f t="shared" si="599"/>
        <v>0.28399999999999997</v>
      </c>
      <c r="H123" s="197">
        <f t="shared" si="625"/>
        <v>169.23611111111677</v>
      </c>
      <c r="I123" s="41">
        <f t="shared" si="600"/>
        <v>0.46366057838662128</v>
      </c>
      <c r="J123" s="40">
        <f t="shared" ca="1" si="502"/>
        <v>0.25205489480862975</v>
      </c>
      <c r="K123" s="40">
        <f t="shared" si="503"/>
        <v>2.5189751902588361E-2</v>
      </c>
      <c r="L123" s="40">
        <f t="shared" si="504"/>
        <v>0.19338305926412305</v>
      </c>
      <c r="M123" s="42">
        <f t="shared" ca="1" si="505"/>
        <v>1.4336552941411311</v>
      </c>
      <c r="N123" s="42">
        <f t="shared" ca="1" si="506"/>
        <v>1.2402722348770081</v>
      </c>
      <c r="O123" s="42">
        <f t="shared" ca="1" si="507"/>
        <v>0.92416467209462438</v>
      </c>
      <c r="P123" s="42">
        <f t="shared" ca="1" si="508"/>
        <v>7.5835327905375657E-2</v>
      </c>
      <c r="Q123" s="42">
        <f t="shared" ca="1" si="509"/>
        <v>0.89256264080593994</v>
      </c>
      <c r="R123" s="42">
        <f t="shared" ca="1" si="510"/>
        <v>0.10743735919406004</v>
      </c>
      <c r="S123" s="42">
        <f t="shared" si="511"/>
        <v>0.98162450344672281</v>
      </c>
      <c r="T123" s="42">
        <f t="shared" si="512"/>
        <v>73.621837758504213</v>
      </c>
      <c r="U123" s="42">
        <f t="shared" si="513"/>
        <v>0.98801719747153338</v>
      </c>
      <c r="V123" s="42">
        <f t="shared" ca="1" si="514"/>
        <v>95.343659556002976</v>
      </c>
      <c r="W123" s="42">
        <f t="shared" ca="1" si="515"/>
        <v>0.14275544544991398</v>
      </c>
      <c r="X123" s="42">
        <f t="shared" ca="1" si="516"/>
        <v>0.6793181416592402</v>
      </c>
      <c r="Y123" s="42">
        <f t="shared" ca="1" si="517"/>
        <v>-7.4926608146403992E-2</v>
      </c>
      <c r="Z123" s="42">
        <f t="shared" ca="1" si="518"/>
        <v>7.5580793620488342E-3</v>
      </c>
      <c r="AA123" s="42">
        <f t="shared" ca="1" si="601"/>
        <v>-7.4246464162911743E-3</v>
      </c>
      <c r="AB123" s="42">
        <f t="shared" ca="1" si="519"/>
        <v>9.2679693141943353E-2</v>
      </c>
      <c r="AC123" s="42">
        <f t="shared" ca="1" si="520"/>
        <v>-3.6674326887972078E-2</v>
      </c>
      <c r="AD123" s="42">
        <f t="shared" ca="1" si="616"/>
        <v>-1460.3409291703799</v>
      </c>
      <c r="AF123" s="36">
        <f t="shared" si="617"/>
        <v>80</v>
      </c>
      <c r="AG123" s="35">
        <f t="shared" si="602"/>
        <v>0.28399999999999997</v>
      </c>
      <c r="AH123" s="197">
        <f t="shared" si="626"/>
        <v>169.23611111111677</v>
      </c>
      <c r="AI123" s="41">
        <f t="shared" si="603"/>
        <v>0.46366057838662128</v>
      </c>
      <c r="AJ123" s="40">
        <f t="shared" ca="1" si="521"/>
        <v>0.18751637367105867</v>
      </c>
      <c r="AK123" s="40">
        <f t="shared" si="522"/>
        <v>2.5189751902588361E-2</v>
      </c>
      <c r="AL123" s="40">
        <f t="shared" si="523"/>
        <v>0.19338305926412305</v>
      </c>
      <c r="AM123" s="42">
        <f t="shared" ca="1" si="524"/>
        <v>1.0999211946643812</v>
      </c>
      <c r="AN123" s="42">
        <f t="shared" ca="1" si="525"/>
        <v>0.90653813540025818</v>
      </c>
      <c r="AO123" s="42">
        <f t="shared" ca="1" si="526"/>
        <v>0.86431677039557941</v>
      </c>
      <c r="AP123" s="42">
        <f t="shared" ca="1" si="527"/>
        <v>0.13568322960442053</v>
      </c>
      <c r="AQ123" s="42">
        <f t="shared" ca="1" si="528"/>
        <v>0.81767445524855664</v>
      </c>
      <c r="AR123" s="42">
        <f t="shared" ca="1" si="529"/>
        <v>0.18232554475144333</v>
      </c>
      <c r="AS123" s="42">
        <f t="shared" si="530"/>
        <v>0.98162450344672281</v>
      </c>
      <c r="AT123" s="42">
        <f t="shared" si="531"/>
        <v>78.529960275737821</v>
      </c>
      <c r="AU123" s="42">
        <f t="shared" si="532"/>
        <v>0.98801719747153338</v>
      </c>
      <c r="AV123" s="42">
        <f t="shared" ca="1" si="533"/>
        <v>95.343659556002976</v>
      </c>
      <c r="AW123" s="42">
        <f t="shared" ca="1" si="534"/>
        <v>0.2178710618798915</v>
      </c>
      <c r="AX123" s="42">
        <f t="shared" ca="1" si="535"/>
        <v>1.3814821357202476</v>
      </c>
      <c r="AY123" s="42">
        <f t="shared" ca="1" si="536"/>
        <v>-0.13405736425764622</v>
      </c>
      <c r="AZ123" s="42">
        <f t="shared" ca="1" si="537"/>
        <v>1.1535019005350765E-2</v>
      </c>
      <c r="BA123" s="42">
        <f t="shared" ca="1" si="604"/>
        <v>-1.1220660861486306E-2</v>
      </c>
      <c r="BB123" s="42">
        <f t="shared" ca="1" si="538"/>
        <v>0.14144625513863271</v>
      </c>
      <c r="BC123" s="42">
        <f t="shared" ca="1" si="539"/>
        <v>-6.6387004082770526E-2</v>
      </c>
      <c r="BD123" s="42">
        <f t="shared" ca="1" si="618"/>
        <v>2134.2589321398764</v>
      </c>
      <c r="BE123" s="40"/>
      <c r="BF123" s="36">
        <f t="shared" si="619"/>
        <v>90</v>
      </c>
      <c r="BG123" s="35">
        <f t="shared" si="605"/>
        <v>0.28399999999999997</v>
      </c>
      <c r="BH123" s="197">
        <f t="shared" si="627"/>
        <v>169.23611111111677</v>
      </c>
      <c r="BI123" s="41">
        <f t="shared" si="606"/>
        <v>0.46366057838662128</v>
      </c>
      <c r="BJ123" s="40">
        <f t="shared" ca="1" si="540"/>
        <v>6.9733338014675142E-2</v>
      </c>
      <c r="BK123" s="40">
        <f t="shared" si="541"/>
        <v>2.5189751902588361E-2</v>
      </c>
      <c r="BL123" s="40">
        <f t="shared" si="542"/>
        <v>0.19338305926412305</v>
      </c>
      <c r="BM123" s="42">
        <f t="shared" ca="1" si="543"/>
        <v>0.49085525008484487</v>
      </c>
      <c r="BN123" s="42">
        <f t="shared" ca="1" si="544"/>
        <v>0.29747219082072185</v>
      </c>
      <c r="BO123" s="42">
        <f t="shared" ca="1" si="545"/>
        <v>0.68823558520920636</v>
      </c>
      <c r="BP123" s="42">
        <f t="shared" ca="1" si="546"/>
        <v>0.31176441479079364</v>
      </c>
      <c r="BQ123" s="42">
        <f t="shared" ca="1" si="547"/>
        <v>0.61694698195315922</v>
      </c>
      <c r="BR123" s="42">
        <f t="shared" ca="1" si="548"/>
        <v>0.38305301804684078</v>
      </c>
      <c r="BS123" s="42">
        <f t="shared" si="549"/>
        <v>0.98162450344672281</v>
      </c>
      <c r="BT123" s="42">
        <f t="shared" si="550"/>
        <v>88.34620531020505</v>
      </c>
      <c r="BU123" s="42">
        <f t="shared" si="551"/>
        <v>0.98801719747153338</v>
      </c>
      <c r="BV123" s="42">
        <f t="shared" ca="1" si="552"/>
        <v>95.343659556002976</v>
      </c>
      <c r="BW123" s="42">
        <f t="shared" ca="1" si="553"/>
        <v>0.35366399916840857</v>
      </c>
      <c r="BX123" s="42">
        <f t="shared" ca="1" si="554"/>
        <v>11.113974597367871</v>
      </c>
      <c r="BY123" s="42">
        <f t="shared" ca="1" si="555"/>
        <v>0.67998859409858081</v>
      </c>
      <c r="BZ123" s="42">
        <f t="shared" ca="1" si="556"/>
        <v>1.872447362543686E-2</v>
      </c>
      <c r="CA123" s="42">
        <f t="shared" ca="1" si="607"/>
        <v>-2.0564320977406861E-2</v>
      </c>
      <c r="CB123" s="42">
        <f t="shared" ca="1" si="557"/>
        <v>0.22960574859318172</v>
      </c>
      <c r="CC123" s="42">
        <f t="shared" ca="1" si="558"/>
        <v>0.2527178492668935</v>
      </c>
      <c r="CD123" s="42">
        <f t="shared" ca="1" si="620"/>
        <v>-2156.9872986839359</v>
      </c>
      <c r="CE123" s="40"/>
      <c r="CF123" s="36">
        <f t="shared" si="621"/>
        <v>95</v>
      </c>
      <c r="CG123" s="35">
        <f t="shared" si="608"/>
        <v>0.28399999999999997</v>
      </c>
      <c r="CH123" s="197">
        <f t="shared" si="628"/>
        <v>169.23611111111677</v>
      </c>
      <c r="CI123" s="41">
        <f t="shared" si="609"/>
        <v>0.46366057838662128</v>
      </c>
      <c r="CJ123" s="40">
        <f t="shared" ca="1" si="559"/>
        <v>1.5666116744399456E-2</v>
      </c>
      <c r="CK123" s="40">
        <f t="shared" si="560"/>
        <v>2.5189751902588361E-2</v>
      </c>
      <c r="CL123" s="40">
        <f t="shared" si="561"/>
        <v>0.19338305926412305</v>
      </c>
      <c r="CM123" s="42">
        <f t="shared" ca="1" si="562"/>
        <v>0.21126911944849713</v>
      </c>
      <c r="CN123" s="42">
        <f t="shared" ca="1" si="563"/>
        <v>1.7886060184374081E-2</v>
      </c>
      <c r="CO123" s="42">
        <f t="shared" ca="1" si="564"/>
        <v>0.58366136091421916</v>
      </c>
      <c r="CP123" s="42">
        <f t="shared" ca="1" si="565"/>
        <v>0.41633863908578089</v>
      </c>
      <c r="CQ123" s="42">
        <f t="shared" ca="1" si="566"/>
        <v>0.50713512520097304</v>
      </c>
      <c r="CR123" s="42">
        <f t="shared" ca="1" si="567"/>
        <v>0.49286487479902691</v>
      </c>
      <c r="CS123" s="42">
        <f t="shared" si="568"/>
        <v>0.98162450344672281</v>
      </c>
      <c r="CT123" s="42">
        <f t="shared" si="569"/>
        <v>93.254327827438672</v>
      </c>
      <c r="CU123" s="42">
        <f t="shared" si="570"/>
        <v>0.98801719747153338</v>
      </c>
      <c r="CV123" s="42">
        <f t="shared" ca="1" si="571"/>
        <v>95.343659556002976</v>
      </c>
      <c r="CW123" s="42">
        <f t="shared" ca="1" si="572"/>
        <v>0.39013757189105552</v>
      </c>
      <c r="CX123" s="42">
        <f t="shared" ca="1" si="573"/>
        <v>8.3558648726979996</v>
      </c>
      <c r="CY123" s="42">
        <f t="shared" ca="1" si="574"/>
        <v>0.57666746208288799</v>
      </c>
      <c r="CZ123" s="42">
        <f t="shared" ca="1" si="575"/>
        <v>2.0655539416912706E-2</v>
      </c>
      <c r="DA123" s="42">
        <f t="shared" ca="1" si="610"/>
        <v>-2.2471001849771514E-2</v>
      </c>
      <c r="DB123" s="42">
        <f t="shared" ca="1" si="576"/>
        <v>0.25328512220356553</v>
      </c>
      <c r="DC123" s="42">
        <f t="shared" ca="1" si="577"/>
        <v>0.21927688869292741</v>
      </c>
      <c r="DD123" s="42">
        <f t="shared" ca="1" si="622"/>
        <v>1602.9324363489995</v>
      </c>
      <c r="DE123" s="40"/>
      <c r="DF123" s="36">
        <f t="shared" si="623"/>
        <v>200</v>
      </c>
      <c r="DG123" s="35">
        <f t="shared" si="611"/>
        <v>0.28399999999999997</v>
      </c>
      <c r="DH123" s="197">
        <f t="shared" si="629"/>
        <v>169.23611111111677</v>
      </c>
      <c r="DI123" s="41">
        <f t="shared" si="612"/>
        <v>0.46366057838662128</v>
      </c>
      <c r="DJ123" s="40">
        <f t="shared" ca="1" si="578"/>
        <v>-0.72877435820309644</v>
      </c>
      <c r="DK123" s="40">
        <f t="shared" si="579"/>
        <v>2.5189751902588361E-2</v>
      </c>
      <c r="DL123" s="40">
        <f t="shared" si="580"/>
        <v>0.19338305926412305</v>
      </c>
      <c r="DM123" s="42">
        <f t="shared" ca="1" si="581"/>
        <v>-3.6382949415416506</v>
      </c>
      <c r="DN123" s="42">
        <f t="shared" ca="1" si="582"/>
        <v>-3.8316780008057738</v>
      </c>
      <c r="DO123" s="42">
        <f t="shared" ca="1" si="583"/>
        <v>1.3722451000553029E-4</v>
      </c>
      <c r="DP123" s="42">
        <f t="shared" ca="1" si="584"/>
        <v>0.99986277548999447</v>
      </c>
      <c r="DQ123" s="42">
        <f t="shared" ca="1" si="585"/>
        <v>6.3636121563747795E-5</v>
      </c>
      <c r="DR123" s="42">
        <f t="shared" ca="1" si="586"/>
        <v>0.99993636387843621</v>
      </c>
      <c r="DS123" s="42">
        <f t="shared" si="587"/>
        <v>0.98162450344672281</v>
      </c>
      <c r="DT123" s="42">
        <f t="shared" si="588"/>
        <v>196.32490068934456</v>
      </c>
      <c r="DU123" s="42">
        <f t="shared" si="589"/>
        <v>0.98801719747153338</v>
      </c>
      <c r="DV123" s="42">
        <f t="shared" ca="1" si="590"/>
        <v>95.343659556002976</v>
      </c>
      <c r="DW123" s="42">
        <f t="shared" ca="1" si="591"/>
        <v>5.3270989233770451E-4</v>
      </c>
      <c r="DX123" s="42">
        <f t="shared" si="592"/>
        <v>0</v>
      </c>
      <c r="DY123" s="92">
        <f t="shared" si="593"/>
        <v>0</v>
      </c>
      <c r="DZ123" s="42">
        <f t="shared" si="594"/>
        <v>0</v>
      </c>
      <c r="EA123" s="42">
        <f t="shared" si="613"/>
        <v>0</v>
      </c>
      <c r="EB123" s="42">
        <f t="shared" si="595"/>
        <v>0</v>
      </c>
      <c r="EC123" s="42">
        <f t="shared" si="596"/>
        <v>0</v>
      </c>
      <c r="ED123" s="42">
        <f t="shared" ca="1" si="624"/>
        <v>0</v>
      </c>
      <c r="EE123" s="40"/>
      <c r="EF123" s="120">
        <f t="shared" ca="1" si="630"/>
        <v>96.5</v>
      </c>
      <c r="EG123" s="42">
        <f t="shared" ca="1" si="597"/>
        <v>119.86314063456007</v>
      </c>
      <c r="EH123" s="36">
        <f t="shared" ca="1" si="614"/>
        <v>119.86314063456007</v>
      </c>
      <c r="EI123" s="36">
        <f t="shared" ca="1" si="631"/>
        <v>-10.916</v>
      </c>
      <c r="EJ123" s="153">
        <f t="shared" ca="1" si="598"/>
        <v>-1</v>
      </c>
      <c r="EK123" s="153" t="str">
        <f t="shared" ca="1" si="632"/>
        <v/>
      </c>
      <c r="EL123" s="153" t="str">
        <f t="shared" ca="1" si="501"/>
        <v/>
      </c>
      <c r="EM123" s="153">
        <f t="shared" ca="1" si="633"/>
        <v>2</v>
      </c>
      <c r="EN123" s="153">
        <f t="shared" ca="1" si="634"/>
        <v>0</v>
      </c>
    </row>
    <row r="124" spans="1:144" x14ac:dyDescent="0.3">
      <c r="A124" s="36">
        <f ca="1">IF($M$22=1,A123+'Auto X'!$E$6,A$48)</f>
        <v>97</v>
      </c>
      <c r="B124" s="35">
        <f>IF($M$22=2,B123+'Auto X'!$E$6,B$48)</f>
        <v>0.28399999999999997</v>
      </c>
      <c r="C124" s="39">
        <f>IF($M$22=3,C123+'Auto X'!$E$6,C$48)</f>
        <v>45295.440972222219</v>
      </c>
      <c r="D124" s="35">
        <f>IF($M$22=4,D123+'Auto X'!$E$6,D$48)</f>
        <v>2.5999999999999999E-2</v>
      </c>
      <c r="E124" s="35">
        <f>IF($M$22=5,E123+'Auto X'!$E$6,E$48)</f>
        <v>0.04</v>
      </c>
      <c r="F124" s="36">
        <f t="shared" si="615"/>
        <v>75</v>
      </c>
      <c r="G124" s="35">
        <f t="shared" si="599"/>
        <v>0.28399999999999997</v>
      </c>
      <c r="H124" s="197">
        <f t="shared" si="625"/>
        <v>169.23611111111677</v>
      </c>
      <c r="I124" s="41">
        <f t="shared" si="600"/>
        <v>0.46366057838662128</v>
      </c>
      <c r="J124" s="40">
        <f t="shared" ca="1" si="502"/>
        <v>0.25722286496707231</v>
      </c>
      <c r="K124" s="40">
        <f t="shared" si="503"/>
        <v>2.5189751902588361E-2</v>
      </c>
      <c r="L124" s="40">
        <f t="shared" si="504"/>
        <v>0.19338305926412305</v>
      </c>
      <c r="M124" s="42">
        <f t="shared" ca="1" si="505"/>
        <v>1.4603793007739154</v>
      </c>
      <c r="N124" s="42">
        <f t="shared" ca="1" si="506"/>
        <v>1.2669962415097924</v>
      </c>
      <c r="O124" s="42">
        <f t="shared" ca="1" si="507"/>
        <v>0.92790707080312596</v>
      </c>
      <c r="P124" s="42">
        <f t="shared" ca="1" si="508"/>
        <v>7.2092929196874031E-2</v>
      </c>
      <c r="Q124" s="42">
        <f t="shared" ca="1" si="509"/>
        <v>0.89742168309896775</v>
      </c>
      <c r="R124" s="42">
        <f t="shared" ca="1" si="510"/>
        <v>0.10257831690103221</v>
      </c>
      <c r="S124" s="42">
        <f t="shared" si="511"/>
        <v>0.98162450344672281</v>
      </c>
      <c r="T124" s="42">
        <f t="shared" si="512"/>
        <v>73.621837758504213</v>
      </c>
      <c r="U124" s="42">
        <f t="shared" si="513"/>
        <v>0.98801719747153338</v>
      </c>
      <c r="V124" s="42">
        <f t="shared" ca="1" si="514"/>
        <v>95.837668154738736</v>
      </c>
      <c r="W124" s="42">
        <f t="shared" ca="1" si="515"/>
        <v>0.13734045205816658</v>
      </c>
      <c r="X124" s="42">
        <f t="shared" ca="1" si="516"/>
        <v>0.64278597975513474</v>
      </c>
      <c r="Y124" s="42">
        <f t="shared" ca="1" si="517"/>
        <v>-7.1229053862609179E-2</v>
      </c>
      <c r="Z124" s="42">
        <f t="shared" ca="1" si="518"/>
        <v>7.2339052477513018E-3</v>
      </c>
      <c r="AA124" s="42">
        <f t="shared" ca="1" si="601"/>
        <v>-7.1847589475512574E-3</v>
      </c>
      <c r="AB124" s="42">
        <f t="shared" ca="1" si="519"/>
        <v>8.9626161547603986E-2</v>
      </c>
      <c r="AC124" s="42">
        <f t="shared" ca="1" si="520"/>
        <v>-3.501566637403386E-2</v>
      </c>
      <c r="AD124" s="42">
        <f t="shared" ca="1" si="616"/>
        <v>-1478.6070101224327</v>
      </c>
      <c r="AF124" s="36">
        <f t="shared" si="617"/>
        <v>80</v>
      </c>
      <c r="AG124" s="35">
        <f t="shared" si="602"/>
        <v>0.28399999999999997</v>
      </c>
      <c r="AH124" s="197">
        <f t="shared" si="626"/>
        <v>169.23611111111677</v>
      </c>
      <c r="AI124" s="41">
        <f t="shared" si="603"/>
        <v>0.46366057838662128</v>
      </c>
      <c r="AJ124" s="40">
        <f t="shared" ca="1" si="521"/>
        <v>0.19268434382950114</v>
      </c>
      <c r="AK124" s="40">
        <f t="shared" si="522"/>
        <v>2.5189751902588361E-2</v>
      </c>
      <c r="AL124" s="40">
        <f t="shared" si="523"/>
        <v>0.19338305926412305</v>
      </c>
      <c r="AM124" s="42">
        <f t="shared" ca="1" si="524"/>
        <v>1.1266452012971648</v>
      </c>
      <c r="AN124" s="42">
        <f t="shared" ca="1" si="525"/>
        <v>0.93326214203304181</v>
      </c>
      <c r="AO124" s="42">
        <f t="shared" ca="1" si="526"/>
        <v>0.87005374005290248</v>
      </c>
      <c r="AP124" s="42">
        <f t="shared" ca="1" si="527"/>
        <v>0.12994625994709749</v>
      </c>
      <c r="AQ124" s="42">
        <f t="shared" ca="1" si="528"/>
        <v>0.82465768164137465</v>
      </c>
      <c r="AR124" s="42">
        <f t="shared" ca="1" si="529"/>
        <v>0.1753423183586254</v>
      </c>
      <c r="AS124" s="42">
        <f t="shared" si="530"/>
        <v>0.98162450344672281</v>
      </c>
      <c r="AT124" s="42">
        <f t="shared" si="531"/>
        <v>78.529960275737821</v>
      </c>
      <c r="AU124" s="42">
        <f t="shared" si="532"/>
        <v>0.98801719747153338</v>
      </c>
      <c r="AV124" s="42">
        <f t="shared" ca="1" si="533"/>
        <v>95.837668154738736</v>
      </c>
      <c r="AW124" s="42">
        <f t="shared" ca="1" si="534"/>
        <v>0.21148457004911964</v>
      </c>
      <c r="AX124" s="42">
        <f t="shared" ca="1" si="535"/>
        <v>1.3158787565992807</v>
      </c>
      <c r="AY124" s="42">
        <f t="shared" ca="1" si="536"/>
        <v>-0.12838913957483866</v>
      </c>
      <c r="AZ124" s="42">
        <f t="shared" ca="1" si="537"/>
        <v>1.1139175080396753E-2</v>
      </c>
      <c r="BA124" s="42">
        <f t="shared" ca="1" si="604"/>
        <v>-1.0958163065491059E-2</v>
      </c>
      <c r="BB124" s="42">
        <f t="shared" ca="1" si="538"/>
        <v>0.13801141583559312</v>
      </c>
      <c r="BC124" s="42">
        <f t="shared" ca="1" si="539"/>
        <v>-6.3844324286130322E-2</v>
      </c>
      <c r="BD124" s="42">
        <f t="shared" ca="1" si="618"/>
        <v>2167.0606217003597</v>
      </c>
      <c r="BE124" s="40"/>
      <c r="BF124" s="36">
        <f t="shared" si="619"/>
        <v>90</v>
      </c>
      <c r="BG124" s="35">
        <f t="shared" si="605"/>
        <v>0.28399999999999997</v>
      </c>
      <c r="BH124" s="197">
        <f t="shared" si="627"/>
        <v>169.23611111111677</v>
      </c>
      <c r="BI124" s="41">
        <f t="shared" si="606"/>
        <v>0.46366057838662128</v>
      </c>
      <c r="BJ124" s="40">
        <f t="shared" ca="1" si="540"/>
        <v>7.4901308173117701E-2</v>
      </c>
      <c r="BK124" s="40">
        <f t="shared" si="541"/>
        <v>2.5189751902588361E-2</v>
      </c>
      <c r="BL124" s="40">
        <f t="shared" si="542"/>
        <v>0.19338305926412305</v>
      </c>
      <c r="BM124" s="42">
        <f t="shared" ca="1" si="543"/>
        <v>0.51757925671762928</v>
      </c>
      <c r="BN124" s="42">
        <f t="shared" ca="1" si="544"/>
        <v>0.32419619745350625</v>
      </c>
      <c r="BO124" s="42">
        <f t="shared" ca="1" si="545"/>
        <v>0.69762407118264536</v>
      </c>
      <c r="BP124" s="42">
        <f t="shared" ca="1" si="546"/>
        <v>0.30237592881735464</v>
      </c>
      <c r="BQ124" s="42">
        <f t="shared" ca="1" si="547"/>
        <v>0.62710524962735192</v>
      </c>
      <c r="BR124" s="42">
        <f t="shared" ca="1" si="548"/>
        <v>0.37289475037264813</v>
      </c>
      <c r="BS124" s="42">
        <f t="shared" si="549"/>
        <v>0.98162450344672281</v>
      </c>
      <c r="BT124" s="42">
        <f t="shared" si="550"/>
        <v>88.34620531020505</v>
      </c>
      <c r="BU124" s="42">
        <f t="shared" si="551"/>
        <v>0.98801719747153338</v>
      </c>
      <c r="BV124" s="42">
        <f t="shared" ca="1" si="552"/>
        <v>95.837668154738736</v>
      </c>
      <c r="BW124" s="42">
        <f t="shared" ca="1" si="553"/>
        <v>0.34893044428106518</v>
      </c>
      <c r="BX124" s="42">
        <f t="shared" ca="1" si="554"/>
        <v>11.456295096074776</v>
      </c>
      <c r="BY124" s="42">
        <f t="shared" ca="1" si="555"/>
        <v>0.68926457969855881</v>
      </c>
      <c r="BZ124" s="42">
        <f t="shared" ca="1" si="556"/>
        <v>1.8378633055000926E-2</v>
      </c>
      <c r="CA124" s="42">
        <f t="shared" ca="1" si="607"/>
        <v>-2.0414989279802072E-2</v>
      </c>
      <c r="CB124" s="42">
        <f t="shared" ca="1" si="557"/>
        <v>0.22770637419168444</v>
      </c>
      <c r="CC124" s="42">
        <f t="shared" ca="1" si="558"/>
        <v>0.25687894516977339</v>
      </c>
      <c r="CD124" s="42">
        <f t="shared" ca="1" si="620"/>
        <v>-2328.1475480373879</v>
      </c>
      <c r="CE124" s="40"/>
      <c r="CF124" s="36">
        <f t="shared" si="621"/>
        <v>95</v>
      </c>
      <c r="CG124" s="35">
        <f t="shared" si="608"/>
        <v>0.28399999999999997</v>
      </c>
      <c r="CH124" s="197">
        <f t="shared" si="628"/>
        <v>169.23611111111677</v>
      </c>
      <c r="CI124" s="41">
        <f t="shared" si="609"/>
        <v>0.46366057838662128</v>
      </c>
      <c r="CJ124" s="40">
        <f t="shared" ca="1" si="559"/>
        <v>2.0834086902842053E-2</v>
      </c>
      <c r="CK124" s="40">
        <f t="shared" si="560"/>
        <v>2.5189751902588361E-2</v>
      </c>
      <c r="CL124" s="40">
        <f t="shared" si="561"/>
        <v>0.19338305926412305</v>
      </c>
      <c r="CM124" s="42">
        <f t="shared" ca="1" si="562"/>
        <v>0.23799312608128173</v>
      </c>
      <c r="CN124" s="42">
        <f t="shared" ca="1" si="563"/>
        <v>4.4610066817158678E-2</v>
      </c>
      <c r="CO124" s="42">
        <f t="shared" ca="1" si="564"/>
        <v>0.59405678717761001</v>
      </c>
      <c r="CP124" s="42">
        <f t="shared" ca="1" si="565"/>
        <v>0.40594321282238999</v>
      </c>
      <c r="CQ124" s="42">
        <f t="shared" ca="1" si="566"/>
        <v>0.51779094075510446</v>
      </c>
      <c r="CR124" s="42">
        <f t="shared" ca="1" si="567"/>
        <v>0.48220905924489549</v>
      </c>
      <c r="CS124" s="42">
        <f t="shared" si="568"/>
        <v>0.98162450344672281</v>
      </c>
      <c r="CT124" s="42">
        <f t="shared" si="569"/>
        <v>93.254327827438672</v>
      </c>
      <c r="CU124" s="42">
        <f t="shared" si="570"/>
        <v>0.98801719747153338</v>
      </c>
      <c r="CV124" s="42">
        <f t="shared" ca="1" si="571"/>
        <v>95.837668154738736</v>
      </c>
      <c r="CW124" s="42">
        <f t="shared" ca="1" si="572"/>
        <v>0.38780257458868039</v>
      </c>
      <c r="CX124" s="42">
        <f t="shared" ca="1" si="573"/>
        <v>8.6467710993436526</v>
      </c>
      <c r="CY124" s="42">
        <f t="shared" ca="1" si="574"/>
        <v>0.58693832200616536</v>
      </c>
      <c r="CZ124" s="42">
        <f t="shared" ca="1" si="575"/>
        <v>2.0426080134208421E-2</v>
      </c>
      <c r="DA124" s="42">
        <f t="shared" ca="1" si="610"/>
        <v>-2.2470654533368915E-2</v>
      </c>
      <c r="DB124" s="42">
        <f t="shared" ca="1" si="576"/>
        <v>0.25307369881046687</v>
      </c>
      <c r="DC124" s="42">
        <f t="shared" ca="1" si="577"/>
        <v>0.22388428811190803</v>
      </c>
      <c r="DD124" s="42">
        <f t="shared" ca="1" si="622"/>
        <v>1748.3855496718261</v>
      </c>
      <c r="DE124" s="40"/>
      <c r="DF124" s="36">
        <f t="shared" si="623"/>
        <v>200</v>
      </c>
      <c r="DG124" s="35">
        <f t="shared" si="611"/>
        <v>0.28399999999999997</v>
      </c>
      <c r="DH124" s="197">
        <f t="shared" si="629"/>
        <v>169.23611111111677</v>
      </c>
      <c r="DI124" s="41">
        <f t="shared" si="612"/>
        <v>0.46366057838662128</v>
      </c>
      <c r="DJ124" s="40">
        <f t="shared" ca="1" si="578"/>
        <v>-0.72360638804465394</v>
      </c>
      <c r="DK124" s="40">
        <f t="shared" si="579"/>
        <v>2.5189751902588361E-2</v>
      </c>
      <c r="DL124" s="40">
        <f t="shared" si="580"/>
        <v>0.19338305926412305</v>
      </c>
      <c r="DM124" s="42">
        <f t="shared" ca="1" si="581"/>
        <v>-3.6115709349088663</v>
      </c>
      <c r="DN124" s="42">
        <f t="shared" ca="1" si="582"/>
        <v>-3.8049539941729895</v>
      </c>
      <c r="DO124" s="42">
        <f t="shared" ca="1" si="583"/>
        <v>1.5217390522688943E-4</v>
      </c>
      <c r="DP124" s="42">
        <f t="shared" ca="1" si="584"/>
        <v>0.99984782609477307</v>
      </c>
      <c r="DQ124" s="42">
        <f t="shared" ca="1" si="585"/>
        <v>7.0915274823227456E-5</v>
      </c>
      <c r="DR124" s="42">
        <f t="shared" ca="1" si="586"/>
        <v>0.99992908472517672</v>
      </c>
      <c r="DS124" s="42">
        <f t="shared" si="587"/>
        <v>0.98162450344672281</v>
      </c>
      <c r="DT124" s="42">
        <f t="shared" si="588"/>
        <v>196.32490068934456</v>
      </c>
      <c r="DU124" s="42">
        <f t="shared" si="589"/>
        <v>0.98801719747153338</v>
      </c>
      <c r="DV124" s="42">
        <f t="shared" ca="1" si="590"/>
        <v>95.837668154738736</v>
      </c>
      <c r="DW124" s="42">
        <f t="shared" ca="1" si="591"/>
        <v>5.8689722294605242E-4</v>
      </c>
      <c r="DX124" s="42">
        <f t="shared" si="592"/>
        <v>0</v>
      </c>
      <c r="DY124" s="92">
        <f t="shared" si="593"/>
        <v>0</v>
      </c>
      <c r="DZ124" s="42">
        <f t="shared" si="594"/>
        <v>0</v>
      </c>
      <c r="EA124" s="42">
        <f t="shared" si="613"/>
        <v>0</v>
      </c>
      <c r="EB124" s="42">
        <f t="shared" si="595"/>
        <v>0</v>
      </c>
      <c r="EC124" s="42">
        <f t="shared" si="596"/>
        <v>0</v>
      </c>
      <c r="ED124" s="42">
        <f t="shared" ca="1" si="624"/>
        <v>0</v>
      </c>
      <c r="EE124" s="40"/>
      <c r="EF124" s="120">
        <f t="shared" ca="1" si="630"/>
        <v>97</v>
      </c>
      <c r="EG124" s="42">
        <f t="shared" ca="1" si="597"/>
        <v>108.69161321236516</v>
      </c>
      <c r="EH124" s="36">
        <f t="shared" ca="1" si="614"/>
        <v>108.69161321236516</v>
      </c>
      <c r="EI124" s="36">
        <f t="shared" ca="1" si="631"/>
        <v>-11.172000000000001</v>
      </c>
      <c r="EJ124" s="153">
        <f t="shared" ca="1" si="598"/>
        <v>-1</v>
      </c>
      <c r="EK124" s="153" t="str">
        <f t="shared" ca="1" si="632"/>
        <v/>
      </c>
      <c r="EL124" s="153" t="str">
        <f t="shared" ca="1" si="501"/>
        <v/>
      </c>
      <c r="EM124" s="153">
        <f t="shared" ca="1" si="633"/>
        <v>2</v>
      </c>
      <c r="EN124" s="153">
        <f t="shared" ca="1" si="634"/>
        <v>0</v>
      </c>
    </row>
    <row r="125" spans="1:144" x14ac:dyDescent="0.3">
      <c r="A125" s="36">
        <f ca="1">IF($M$22=1,A124+'Auto X'!$E$6,A$48)</f>
        <v>97.5</v>
      </c>
      <c r="B125" s="35">
        <f>IF($M$22=2,B124+'Auto X'!$E$6,B$48)</f>
        <v>0.28399999999999997</v>
      </c>
      <c r="C125" s="39">
        <f>IF($M$22=3,C124+'Auto X'!$E$6,C$48)</f>
        <v>45295.440972222219</v>
      </c>
      <c r="D125" s="35">
        <f>IF($M$22=4,D124+'Auto X'!$E$6,D$48)</f>
        <v>2.5999999999999999E-2</v>
      </c>
      <c r="E125" s="35">
        <f>IF($M$22=5,E124+'Auto X'!$E$6,E$48)</f>
        <v>0.04</v>
      </c>
      <c r="F125" s="36">
        <f t="shared" si="615"/>
        <v>75</v>
      </c>
      <c r="G125" s="35">
        <f t="shared" si="599"/>
        <v>0.28399999999999997</v>
      </c>
      <c r="H125" s="197">
        <f t="shared" si="625"/>
        <v>169.23611111111677</v>
      </c>
      <c r="I125" s="41">
        <f t="shared" si="600"/>
        <v>0.46366057838662128</v>
      </c>
      <c r="J125" s="40">
        <f t="shared" ca="1" si="502"/>
        <v>0.26236426446749106</v>
      </c>
      <c r="K125" s="40">
        <f t="shared" si="503"/>
        <v>2.5189751902588361E-2</v>
      </c>
      <c r="L125" s="40">
        <f t="shared" si="504"/>
        <v>0.19338305926412305</v>
      </c>
      <c r="M125" s="42">
        <f t="shared" ca="1" si="505"/>
        <v>1.4869659083081184</v>
      </c>
      <c r="N125" s="42">
        <f t="shared" ca="1" si="506"/>
        <v>1.2935828490439953</v>
      </c>
      <c r="O125" s="42">
        <f t="shared" ca="1" si="507"/>
        <v>0.93148809237217278</v>
      </c>
      <c r="P125" s="42">
        <f t="shared" ca="1" si="508"/>
        <v>6.8511907627827232E-2</v>
      </c>
      <c r="Q125" s="42">
        <f t="shared" ca="1" si="509"/>
        <v>0.90209522509920448</v>
      </c>
      <c r="R125" s="42">
        <f t="shared" ca="1" si="510"/>
        <v>9.7904774900795494E-2</v>
      </c>
      <c r="S125" s="42">
        <f t="shared" si="511"/>
        <v>0.98162450344672281</v>
      </c>
      <c r="T125" s="42">
        <f t="shared" si="512"/>
        <v>73.621837758504213</v>
      </c>
      <c r="U125" s="42">
        <f t="shared" si="513"/>
        <v>0.98801719747153338</v>
      </c>
      <c r="V125" s="42">
        <f t="shared" ca="1" si="514"/>
        <v>96.331676753474511</v>
      </c>
      <c r="W125" s="42">
        <f t="shared" ca="1" si="515"/>
        <v>0.13206350951151696</v>
      </c>
      <c r="X125" s="42">
        <f t="shared" ca="1" si="516"/>
        <v>0.60806251416148349</v>
      </c>
      <c r="Y125" s="42">
        <f t="shared" ca="1" si="517"/>
        <v>-6.7690942967874423E-2</v>
      </c>
      <c r="Z125" s="42">
        <f t="shared" ca="1" si="518"/>
        <v>6.9202900299296845E-3</v>
      </c>
      <c r="AA125" s="42">
        <f t="shared" ca="1" si="601"/>
        <v>-6.9487601547697994E-3</v>
      </c>
      <c r="AB125" s="42">
        <f t="shared" ca="1" si="519"/>
        <v>8.6626753804994669E-2</v>
      </c>
      <c r="AC125" s="42">
        <f t="shared" ca="1" si="520"/>
        <v>-3.3420327393933309E-2</v>
      </c>
      <c r="AD125" s="42">
        <f t="shared" ca="1" si="616"/>
        <v>-1495.9687429192584</v>
      </c>
      <c r="AF125" s="36">
        <f t="shared" si="617"/>
        <v>80</v>
      </c>
      <c r="AG125" s="35">
        <f t="shared" si="602"/>
        <v>0.28399999999999997</v>
      </c>
      <c r="AH125" s="197">
        <f t="shared" si="626"/>
        <v>169.23611111111677</v>
      </c>
      <c r="AI125" s="41">
        <f t="shared" si="603"/>
        <v>0.46366057838662128</v>
      </c>
      <c r="AJ125" s="40">
        <f t="shared" ca="1" si="521"/>
        <v>0.19782574332991987</v>
      </c>
      <c r="AK125" s="40">
        <f t="shared" si="522"/>
        <v>2.5189751902588361E-2</v>
      </c>
      <c r="AL125" s="40">
        <f t="shared" si="523"/>
        <v>0.19338305926412305</v>
      </c>
      <c r="AM125" s="42">
        <f t="shared" ca="1" si="524"/>
        <v>1.1532318088313678</v>
      </c>
      <c r="AN125" s="42">
        <f t="shared" ca="1" si="525"/>
        <v>0.95984874956724475</v>
      </c>
      <c r="AO125" s="42">
        <f t="shared" ca="1" si="526"/>
        <v>0.87559237461149764</v>
      </c>
      <c r="AP125" s="42">
        <f t="shared" ca="1" si="527"/>
        <v>0.1244076253885024</v>
      </c>
      <c r="AQ125" s="42">
        <f t="shared" ca="1" si="528"/>
        <v>0.83143432845442267</v>
      </c>
      <c r="AR125" s="42">
        <f t="shared" ca="1" si="529"/>
        <v>0.16856567154557733</v>
      </c>
      <c r="AS125" s="42">
        <f t="shared" si="530"/>
        <v>0.98162450344672281</v>
      </c>
      <c r="AT125" s="42">
        <f t="shared" si="531"/>
        <v>78.529960275737821</v>
      </c>
      <c r="AU125" s="42">
        <f t="shared" si="532"/>
        <v>0.98801719747153338</v>
      </c>
      <c r="AV125" s="42">
        <f t="shared" ca="1" si="533"/>
        <v>96.331676753474511</v>
      </c>
      <c r="AW125" s="42">
        <f t="shared" ca="1" si="534"/>
        <v>0.20517123913803398</v>
      </c>
      <c r="AX125" s="42">
        <f t="shared" ca="1" si="535"/>
        <v>1.2530603357346948</v>
      </c>
      <c r="AY125" s="42">
        <f t="shared" ca="1" si="536"/>
        <v>-0.12291687338043648</v>
      </c>
      <c r="AZ125" s="42">
        <f t="shared" ca="1" si="537"/>
        <v>1.0751224815144218E-2</v>
      </c>
      <c r="BA125" s="42">
        <f t="shared" ca="1" si="604"/>
        <v>-1.0695266155889768E-2</v>
      </c>
      <c r="BB125" s="42">
        <f t="shared" ca="1" si="538"/>
        <v>0.13458160006815648</v>
      </c>
      <c r="BC125" s="42">
        <f t="shared" ca="1" si="539"/>
        <v>-6.1376862690122908E-2</v>
      </c>
      <c r="BD125" s="42">
        <f t="shared" ca="1" si="618"/>
        <v>2198.4698321326528</v>
      </c>
      <c r="BE125" s="40"/>
      <c r="BF125" s="36">
        <f t="shared" si="619"/>
        <v>90</v>
      </c>
      <c r="BG125" s="35">
        <f t="shared" si="605"/>
        <v>0.28399999999999997</v>
      </c>
      <c r="BH125" s="197">
        <f t="shared" si="627"/>
        <v>169.23611111111677</v>
      </c>
      <c r="BI125" s="41">
        <f t="shared" si="606"/>
        <v>0.46366057838662128</v>
      </c>
      <c r="BJ125" s="40">
        <f t="shared" ca="1" si="540"/>
        <v>8.0042707673536356E-2</v>
      </c>
      <c r="BK125" s="40">
        <f t="shared" si="541"/>
        <v>2.5189751902588361E-2</v>
      </c>
      <c r="BL125" s="40">
        <f t="shared" si="542"/>
        <v>0.19338305926412305</v>
      </c>
      <c r="BM125" s="42">
        <f t="shared" ca="1" si="543"/>
        <v>0.54416586425183178</v>
      </c>
      <c r="BN125" s="42">
        <f t="shared" ca="1" si="544"/>
        <v>0.35078280498770875</v>
      </c>
      <c r="BO125" s="42">
        <f t="shared" ca="1" si="545"/>
        <v>0.70683633012103708</v>
      </c>
      <c r="BP125" s="42">
        <f t="shared" ca="1" si="546"/>
        <v>0.29316366987896292</v>
      </c>
      <c r="BQ125" s="42">
        <f t="shared" ca="1" si="547"/>
        <v>0.63712435092475528</v>
      </c>
      <c r="BR125" s="42">
        <f t="shared" ca="1" si="548"/>
        <v>0.36287564907524478</v>
      </c>
      <c r="BS125" s="42">
        <f t="shared" si="549"/>
        <v>0.98162450344672281</v>
      </c>
      <c r="BT125" s="42">
        <f t="shared" si="550"/>
        <v>88.34620531020505</v>
      </c>
      <c r="BU125" s="42">
        <f t="shared" si="551"/>
        <v>0.98801719747153338</v>
      </c>
      <c r="BV125" s="42">
        <f t="shared" ca="1" si="552"/>
        <v>96.331676753474511</v>
      </c>
      <c r="BW125" s="42">
        <f t="shared" ca="1" si="553"/>
        <v>0.34404019685482939</v>
      </c>
      <c r="BX125" s="42">
        <f t="shared" ca="1" si="554"/>
        <v>11.803210155902377</v>
      </c>
      <c r="BY125" s="42">
        <f t="shared" ca="1" si="555"/>
        <v>0.69836644995725061</v>
      </c>
      <c r="BZ125" s="42">
        <f t="shared" ca="1" si="556"/>
        <v>1.802812868593268E-2</v>
      </c>
      <c r="CA125" s="42">
        <f t="shared" ca="1" si="607"/>
        <v>-2.0253562568303081E-2</v>
      </c>
      <c r="CB125" s="42">
        <f t="shared" ca="1" si="557"/>
        <v>0.22567237189290462</v>
      </c>
      <c r="CC125" s="42">
        <f t="shared" ca="1" si="558"/>
        <v>0.26098303483312008</v>
      </c>
      <c r="CD125" s="42">
        <f t="shared" ca="1" si="620"/>
        <v>-2501.6050779511888</v>
      </c>
      <c r="CE125" s="40"/>
      <c r="CF125" s="36">
        <f t="shared" si="621"/>
        <v>95</v>
      </c>
      <c r="CG125" s="35">
        <f t="shared" si="608"/>
        <v>0.28399999999999997</v>
      </c>
      <c r="CH125" s="197">
        <f t="shared" si="628"/>
        <v>169.23611111111677</v>
      </c>
      <c r="CI125" s="41">
        <f t="shared" si="609"/>
        <v>0.46366057838662128</v>
      </c>
      <c r="CJ125" s="40">
        <f t="shared" ca="1" si="559"/>
        <v>2.5975486403260736E-2</v>
      </c>
      <c r="CK125" s="40">
        <f t="shared" si="560"/>
        <v>2.5189751902588361E-2</v>
      </c>
      <c r="CL125" s="40">
        <f t="shared" si="561"/>
        <v>0.19338305926412305</v>
      </c>
      <c r="CM125" s="42">
        <f t="shared" ca="1" si="562"/>
        <v>0.26457973361548431</v>
      </c>
      <c r="CN125" s="42">
        <f t="shared" ca="1" si="563"/>
        <v>7.1196674351361261E-2</v>
      </c>
      <c r="CO125" s="42">
        <f t="shared" ca="1" si="564"/>
        <v>0.60433338293092198</v>
      </c>
      <c r="CP125" s="42">
        <f t="shared" ca="1" si="565"/>
        <v>0.39566661706907802</v>
      </c>
      <c r="CQ125" s="42">
        <f t="shared" ca="1" si="566"/>
        <v>0.5283793859074335</v>
      </c>
      <c r="CR125" s="42">
        <f t="shared" ca="1" si="567"/>
        <v>0.47162061409256656</v>
      </c>
      <c r="CS125" s="42">
        <f t="shared" si="568"/>
        <v>0.98162450344672281</v>
      </c>
      <c r="CT125" s="42">
        <f t="shared" si="569"/>
        <v>93.254327827438672</v>
      </c>
      <c r="CU125" s="42">
        <f t="shared" si="570"/>
        <v>0.98801719747153338</v>
      </c>
      <c r="CV125" s="42">
        <f t="shared" ca="1" si="571"/>
        <v>96.331676753474511</v>
      </c>
      <c r="CW125" s="42">
        <f t="shared" ca="1" si="572"/>
        <v>0.38522035763894091</v>
      </c>
      <c r="CX125" s="42">
        <f t="shared" ca="1" si="573"/>
        <v>8.9427836251627681</v>
      </c>
      <c r="CY125" s="42">
        <f t="shared" ca="1" si="574"/>
        <v>0.5970917753419005</v>
      </c>
      <c r="CZ125" s="42">
        <f t="shared" ca="1" si="575"/>
        <v>2.0186019667016566E-2</v>
      </c>
      <c r="DA125" s="42">
        <f t="shared" ca="1" si="610"/>
        <v>-2.2454777877646496E-2</v>
      </c>
      <c r="DB125" s="42">
        <f t="shared" ca="1" si="576"/>
        <v>0.25268440317308372</v>
      </c>
      <c r="DC125" s="42">
        <f t="shared" ca="1" si="577"/>
        <v>0.22846255767700338</v>
      </c>
      <c r="DD125" s="42">
        <f t="shared" ca="1" si="622"/>
        <v>1896.3918125813839</v>
      </c>
      <c r="DE125" s="40"/>
      <c r="DF125" s="36">
        <f t="shared" si="623"/>
        <v>200</v>
      </c>
      <c r="DG125" s="35">
        <f t="shared" si="611"/>
        <v>0.28399999999999997</v>
      </c>
      <c r="DH125" s="197">
        <f t="shared" si="629"/>
        <v>169.23611111111677</v>
      </c>
      <c r="DI125" s="41">
        <f t="shared" si="612"/>
        <v>0.46366057838662128</v>
      </c>
      <c r="DJ125" s="40">
        <f t="shared" ca="1" si="578"/>
        <v>-0.71846498854423524</v>
      </c>
      <c r="DK125" s="40">
        <f t="shared" si="579"/>
        <v>2.5189751902588361E-2</v>
      </c>
      <c r="DL125" s="40">
        <f t="shared" si="580"/>
        <v>0.19338305926412305</v>
      </c>
      <c r="DM125" s="42">
        <f t="shared" ca="1" si="581"/>
        <v>-3.5849843273746638</v>
      </c>
      <c r="DN125" s="42">
        <f t="shared" ca="1" si="582"/>
        <v>-3.778367386638787</v>
      </c>
      <c r="DO125" s="42">
        <f t="shared" ca="1" si="583"/>
        <v>1.6854922396313508E-4</v>
      </c>
      <c r="DP125" s="42">
        <f t="shared" ca="1" si="584"/>
        <v>0.99983145077603686</v>
      </c>
      <c r="DQ125" s="42">
        <f t="shared" ca="1" si="585"/>
        <v>7.8929939014795231E-5</v>
      </c>
      <c r="DR125" s="42">
        <f t="shared" ca="1" si="586"/>
        <v>0.99992107006098518</v>
      </c>
      <c r="DS125" s="42">
        <f t="shared" si="587"/>
        <v>0.98162450344672281</v>
      </c>
      <c r="DT125" s="42">
        <f t="shared" si="588"/>
        <v>196.32490068934456</v>
      </c>
      <c r="DU125" s="42">
        <f t="shared" si="589"/>
        <v>0.98801719747153338</v>
      </c>
      <c r="DV125" s="42">
        <f t="shared" ca="1" si="590"/>
        <v>96.331676753474511</v>
      </c>
      <c r="DW125" s="42">
        <f t="shared" ca="1" si="591"/>
        <v>6.4581669587296983E-4</v>
      </c>
      <c r="DX125" s="42">
        <f t="shared" si="592"/>
        <v>0</v>
      </c>
      <c r="DY125" s="92">
        <f t="shared" si="593"/>
        <v>0</v>
      </c>
      <c r="DZ125" s="42">
        <f t="shared" si="594"/>
        <v>0</v>
      </c>
      <c r="EA125" s="42">
        <f t="shared" si="613"/>
        <v>0</v>
      </c>
      <c r="EB125" s="42">
        <f t="shared" si="595"/>
        <v>0</v>
      </c>
      <c r="EC125" s="42">
        <f t="shared" si="596"/>
        <v>0</v>
      </c>
      <c r="ED125" s="42">
        <f t="shared" ca="1" si="624"/>
        <v>0</v>
      </c>
      <c r="EE125" s="40"/>
      <c r="EF125" s="120">
        <f t="shared" ca="1" si="630"/>
        <v>97.5</v>
      </c>
      <c r="EG125" s="42">
        <f t="shared" ca="1" si="597"/>
        <v>97.287823843589422</v>
      </c>
      <c r="EH125" s="36">
        <f t="shared" ca="1" si="614"/>
        <v>97.287823843589422</v>
      </c>
      <c r="EI125" s="36">
        <f t="shared" ca="1" si="631"/>
        <v>-11.404</v>
      </c>
      <c r="EJ125" s="153">
        <f t="shared" ca="1" si="598"/>
        <v>-1</v>
      </c>
      <c r="EK125" s="153" t="str">
        <f t="shared" ca="1" si="632"/>
        <v/>
      </c>
      <c r="EL125" s="153" t="str">
        <f t="shared" ca="1" si="501"/>
        <v/>
      </c>
      <c r="EM125" s="153">
        <f t="shared" ca="1" si="633"/>
        <v>2</v>
      </c>
      <c r="EN125" s="153">
        <f t="shared" ca="1" si="634"/>
        <v>0</v>
      </c>
    </row>
    <row r="126" spans="1:144" x14ac:dyDescent="0.3">
      <c r="A126" s="36">
        <f ca="1">IF($M$22=1,A125+'Auto X'!$E$6,A$48)</f>
        <v>98</v>
      </c>
      <c r="B126" s="35">
        <f>IF($M$22=2,B125+'Auto X'!$E$6,B$48)</f>
        <v>0.28399999999999997</v>
      </c>
      <c r="C126" s="39">
        <f>IF($M$22=3,C125+'Auto X'!$E$6,C$48)</f>
        <v>45295.440972222219</v>
      </c>
      <c r="D126" s="35">
        <f>IF($M$22=4,D125+'Auto X'!$E$6,D$48)</f>
        <v>2.5999999999999999E-2</v>
      </c>
      <c r="E126" s="35">
        <f>IF($M$22=5,E125+'Auto X'!$E$6,E$48)</f>
        <v>0.04</v>
      </c>
      <c r="F126" s="36">
        <f t="shared" si="615"/>
        <v>75</v>
      </c>
      <c r="G126" s="35">
        <f t="shared" si="599"/>
        <v>0.28399999999999997</v>
      </c>
      <c r="H126" s="197">
        <f t="shared" si="625"/>
        <v>169.23611111111677</v>
      </c>
      <c r="I126" s="41">
        <f t="shared" si="600"/>
        <v>0.46366057838662128</v>
      </c>
      <c r="J126" s="40">
        <f t="shared" ca="1" si="502"/>
        <v>0.26747936513426146</v>
      </c>
      <c r="K126" s="40">
        <f t="shared" si="503"/>
        <v>2.5189751902588361E-2</v>
      </c>
      <c r="L126" s="40">
        <f t="shared" si="504"/>
        <v>0.19338305926412305</v>
      </c>
      <c r="M126" s="42">
        <f t="shared" ca="1" si="505"/>
        <v>1.5134165223703573</v>
      </c>
      <c r="N126" s="42">
        <f t="shared" ca="1" si="506"/>
        <v>1.3200334631062343</v>
      </c>
      <c r="O126" s="42">
        <f t="shared" ca="1" si="507"/>
        <v>0.93491305463499086</v>
      </c>
      <c r="P126" s="42">
        <f t="shared" ca="1" si="508"/>
        <v>6.5086945365009086E-2</v>
      </c>
      <c r="Q126" s="42">
        <f t="shared" ca="1" si="509"/>
        <v>0.90658807711511569</v>
      </c>
      <c r="R126" s="42">
        <f t="shared" ca="1" si="510"/>
        <v>9.3411922884884341E-2</v>
      </c>
      <c r="S126" s="42">
        <f t="shared" si="511"/>
        <v>0.98162450344672281</v>
      </c>
      <c r="T126" s="42">
        <f t="shared" si="512"/>
        <v>73.621837758504213</v>
      </c>
      <c r="U126" s="42">
        <f t="shared" si="513"/>
        <v>0.98801719747153338</v>
      </c>
      <c r="V126" s="42">
        <f t="shared" ca="1" si="514"/>
        <v>96.825685352210272</v>
      </c>
      <c r="W126" s="42">
        <f t="shared" ca="1" si="515"/>
        <v>0.12692571076323225</v>
      </c>
      <c r="X126" s="42">
        <f t="shared" ca="1" si="516"/>
        <v>0.57506933889199185</v>
      </c>
      <c r="Y126" s="42">
        <f t="shared" ca="1" si="517"/>
        <v>-6.4307021351519139E-2</v>
      </c>
      <c r="Z126" s="42">
        <f t="shared" ca="1" si="518"/>
        <v>6.6171290727100353E-3</v>
      </c>
      <c r="AA126" s="42">
        <f t="shared" ca="1" si="601"/>
        <v>-6.7168465627940165E-3</v>
      </c>
      <c r="AB126" s="42">
        <f t="shared" ca="1" si="519"/>
        <v>8.3683583651302115E-2</v>
      </c>
      <c r="AC126" s="42">
        <f t="shared" ca="1" si="520"/>
        <v>-3.1886667922713545E-2</v>
      </c>
      <c r="AD126" s="42">
        <f t="shared" ca="1" si="616"/>
        <v>-1512.4653305540041</v>
      </c>
      <c r="AF126" s="36">
        <f t="shared" si="617"/>
        <v>80</v>
      </c>
      <c r="AG126" s="35">
        <f t="shared" si="602"/>
        <v>0.28399999999999997</v>
      </c>
      <c r="AH126" s="197">
        <f t="shared" si="626"/>
        <v>169.23611111111677</v>
      </c>
      <c r="AI126" s="41">
        <f t="shared" si="603"/>
        <v>0.46366057838662128</v>
      </c>
      <c r="AJ126" s="40">
        <f t="shared" ca="1" si="521"/>
        <v>0.20294084399669038</v>
      </c>
      <c r="AK126" s="40">
        <f t="shared" si="522"/>
        <v>2.5189751902588361E-2</v>
      </c>
      <c r="AL126" s="40">
        <f t="shared" si="523"/>
        <v>0.19338305926412305</v>
      </c>
      <c r="AM126" s="42">
        <f t="shared" ca="1" si="524"/>
        <v>1.1796824228936074</v>
      </c>
      <c r="AN126" s="42">
        <f t="shared" ca="1" si="525"/>
        <v>0.98629936362948434</v>
      </c>
      <c r="AO126" s="42">
        <f t="shared" ca="1" si="526"/>
        <v>0.88093672633709352</v>
      </c>
      <c r="AP126" s="42">
        <f t="shared" ca="1" si="527"/>
        <v>0.1190632736629065</v>
      </c>
      <c r="AQ126" s="42">
        <f t="shared" ca="1" si="528"/>
        <v>0.83800688401973833</v>
      </c>
      <c r="AR126" s="42">
        <f t="shared" ca="1" si="529"/>
        <v>0.16199311598026173</v>
      </c>
      <c r="AS126" s="42">
        <f t="shared" si="530"/>
        <v>0.98162450344672281</v>
      </c>
      <c r="AT126" s="42">
        <f t="shared" si="531"/>
        <v>78.529960275737821</v>
      </c>
      <c r="AU126" s="42">
        <f t="shared" si="532"/>
        <v>0.98801719747153338</v>
      </c>
      <c r="AV126" s="42">
        <f t="shared" ca="1" si="533"/>
        <v>96.825685352210272</v>
      </c>
      <c r="AW126" s="42">
        <f t="shared" ca="1" si="534"/>
        <v>0.19893764548167167</v>
      </c>
      <c r="AX126" s="42">
        <f t="shared" ca="1" si="535"/>
        <v>1.1929298901842547</v>
      </c>
      <c r="AY126" s="42">
        <f t="shared" ca="1" si="536"/>
        <v>-0.11763656196621108</v>
      </c>
      <c r="AZ126" s="42">
        <f t="shared" ca="1" si="537"/>
        <v>1.0371390238096538E-2</v>
      </c>
      <c r="BA126" s="42">
        <f t="shared" ca="1" si="604"/>
        <v>-1.0432410290651688E-2</v>
      </c>
      <c r="BB126" s="42">
        <f t="shared" ca="1" si="538"/>
        <v>0.13116188199342416</v>
      </c>
      <c r="BC126" s="42">
        <f t="shared" ca="1" si="539"/>
        <v>-5.8983713262028913E-2</v>
      </c>
      <c r="BD126" s="42">
        <f t="shared" ca="1" si="618"/>
        <v>2228.535054907873</v>
      </c>
      <c r="BE126" s="40"/>
      <c r="BF126" s="36">
        <f t="shared" si="619"/>
        <v>90</v>
      </c>
      <c r="BG126" s="35">
        <f t="shared" si="605"/>
        <v>0.28399999999999997</v>
      </c>
      <c r="BH126" s="197">
        <f t="shared" si="627"/>
        <v>169.23611111111677</v>
      </c>
      <c r="BI126" s="41">
        <f t="shared" si="606"/>
        <v>0.46366057838662128</v>
      </c>
      <c r="BJ126" s="40">
        <f t="shared" ca="1" si="540"/>
        <v>8.515780834030677E-2</v>
      </c>
      <c r="BK126" s="40">
        <f t="shared" si="541"/>
        <v>2.5189751902588361E-2</v>
      </c>
      <c r="BL126" s="40">
        <f t="shared" si="542"/>
        <v>0.19338305926412305</v>
      </c>
      <c r="BM126" s="42">
        <f t="shared" ca="1" si="543"/>
        <v>0.57061647831407081</v>
      </c>
      <c r="BN126" s="42">
        <f t="shared" ca="1" si="544"/>
        <v>0.37723341904994778</v>
      </c>
      <c r="BO126" s="42">
        <f t="shared" ca="1" si="545"/>
        <v>0.71587017699804179</v>
      </c>
      <c r="BP126" s="42">
        <f t="shared" ca="1" si="546"/>
        <v>0.28412982300195821</v>
      </c>
      <c r="BQ126" s="42">
        <f t="shared" ca="1" si="547"/>
        <v>0.64699992654157201</v>
      </c>
      <c r="BR126" s="42">
        <f t="shared" ca="1" si="548"/>
        <v>0.35300007345842799</v>
      </c>
      <c r="BS126" s="42">
        <f t="shared" si="549"/>
        <v>0.98162450344672281</v>
      </c>
      <c r="BT126" s="42">
        <f t="shared" si="550"/>
        <v>88.34620531020505</v>
      </c>
      <c r="BU126" s="42">
        <f t="shared" si="551"/>
        <v>0.98801719747153338</v>
      </c>
      <c r="BV126" s="42">
        <f t="shared" ca="1" si="552"/>
        <v>96.825685352210272</v>
      </c>
      <c r="BW126" s="42">
        <f t="shared" ca="1" si="553"/>
        <v>0.33900510393266731</v>
      </c>
      <c r="BX126" s="42">
        <f t="shared" ca="1" si="554"/>
        <v>12.154632165114165</v>
      </c>
      <c r="BY126" s="42">
        <f t="shared" ca="1" si="555"/>
        <v>0.70729204603105578</v>
      </c>
      <c r="BZ126" s="42">
        <f t="shared" ca="1" si="556"/>
        <v>1.7673649535155964E-2</v>
      </c>
      <c r="CA126" s="42">
        <f t="shared" ca="1" si="607"/>
        <v>-2.0080555017698756E-2</v>
      </c>
      <c r="CB126" s="42">
        <f t="shared" ca="1" si="557"/>
        <v>0.22350997132557071</v>
      </c>
      <c r="CC126" s="42">
        <f t="shared" ca="1" si="558"/>
        <v>0.26502833257046116</v>
      </c>
      <c r="CD126" s="42">
        <f t="shared" ca="1" si="620"/>
        <v>-2677.3160825570826</v>
      </c>
      <c r="CE126" s="40"/>
      <c r="CF126" s="36">
        <f t="shared" si="621"/>
        <v>95</v>
      </c>
      <c r="CG126" s="35">
        <f t="shared" si="608"/>
        <v>0.28399999999999997</v>
      </c>
      <c r="CH126" s="197">
        <f t="shared" si="628"/>
        <v>169.23611111111677</v>
      </c>
      <c r="CI126" s="41">
        <f t="shared" si="609"/>
        <v>0.46366057838662128</v>
      </c>
      <c r="CJ126" s="40">
        <f t="shared" ca="1" si="559"/>
        <v>3.1090587070031182E-2</v>
      </c>
      <c r="CK126" s="40">
        <f t="shared" si="560"/>
        <v>2.5189751902588361E-2</v>
      </c>
      <c r="CL126" s="40">
        <f t="shared" si="561"/>
        <v>0.19338305926412305</v>
      </c>
      <c r="CM126" s="42">
        <f t="shared" ca="1" si="562"/>
        <v>0.29103034767772351</v>
      </c>
      <c r="CN126" s="42">
        <f t="shared" ca="1" si="563"/>
        <v>9.7647288413600458E-2</v>
      </c>
      <c r="CO126" s="42">
        <f t="shared" ca="1" si="564"/>
        <v>0.61448594525246159</v>
      </c>
      <c r="CP126" s="42">
        <f t="shared" ca="1" si="565"/>
        <v>0.38551405474753841</v>
      </c>
      <c r="CQ126" s="42">
        <f t="shared" ca="1" si="566"/>
        <v>0.53889381341082443</v>
      </c>
      <c r="CR126" s="42">
        <f t="shared" ca="1" si="567"/>
        <v>0.46110618658917557</v>
      </c>
      <c r="CS126" s="42">
        <f t="shared" si="568"/>
        <v>0.98162450344672281</v>
      </c>
      <c r="CT126" s="42">
        <f t="shared" si="569"/>
        <v>93.254327827438672</v>
      </c>
      <c r="CU126" s="42">
        <f t="shared" si="570"/>
        <v>0.98801719747153338</v>
      </c>
      <c r="CV126" s="42">
        <f t="shared" ca="1" si="571"/>
        <v>96.825685352210272</v>
      </c>
      <c r="CW126" s="42">
        <f t="shared" ca="1" si="572"/>
        <v>0.38240008908602136</v>
      </c>
      <c r="CX126" s="42">
        <f t="shared" ca="1" si="573"/>
        <v>9.2438424483787642</v>
      </c>
      <c r="CY126" s="42">
        <f t="shared" ca="1" si="574"/>
        <v>0.60712268151398319</v>
      </c>
      <c r="CZ126" s="42">
        <f t="shared" ca="1" si="575"/>
        <v>1.9935998244029696E-2</v>
      </c>
      <c r="DA126" s="42">
        <f t="shared" ca="1" si="610"/>
        <v>-2.2423650229668437E-2</v>
      </c>
      <c r="DB126" s="42">
        <f t="shared" ca="1" si="576"/>
        <v>0.25212078507080032</v>
      </c>
      <c r="DC126" s="42">
        <f t="shared" ca="1" si="577"/>
        <v>0.23300882322786065</v>
      </c>
      <c r="DD126" s="42">
        <f t="shared" ca="1" si="622"/>
        <v>2046.921224189382</v>
      </c>
      <c r="DE126" s="40"/>
      <c r="DF126" s="36">
        <f t="shared" si="623"/>
        <v>200</v>
      </c>
      <c r="DG126" s="35">
        <f t="shared" si="611"/>
        <v>0.28399999999999997</v>
      </c>
      <c r="DH126" s="197">
        <f t="shared" si="629"/>
        <v>169.23611111111677</v>
      </c>
      <c r="DI126" s="41">
        <f t="shared" si="612"/>
        <v>0.46366057838662128</v>
      </c>
      <c r="DJ126" s="40">
        <f t="shared" ca="1" si="578"/>
        <v>-0.71334988787746478</v>
      </c>
      <c r="DK126" s="40">
        <f t="shared" si="579"/>
        <v>2.5189751902588361E-2</v>
      </c>
      <c r="DL126" s="40">
        <f t="shared" si="580"/>
        <v>0.19338305926412305</v>
      </c>
      <c r="DM126" s="42">
        <f t="shared" ca="1" si="581"/>
        <v>-3.5585337133124244</v>
      </c>
      <c r="DN126" s="42">
        <f t="shared" ca="1" si="582"/>
        <v>-3.7519167725765477</v>
      </c>
      <c r="DO126" s="42">
        <f t="shared" ca="1" si="583"/>
        <v>1.86465464270434E-4</v>
      </c>
      <c r="DP126" s="42">
        <f t="shared" ca="1" si="584"/>
        <v>0.99981353453572952</v>
      </c>
      <c r="DQ126" s="42">
        <f t="shared" ca="1" si="585"/>
        <v>8.7743863023421895E-5</v>
      </c>
      <c r="DR126" s="42">
        <f t="shared" ca="1" si="586"/>
        <v>0.99991225613697654</v>
      </c>
      <c r="DS126" s="42">
        <f t="shared" si="587"/>
        <v>0.98162450344672281</v>
      </c>
      <c r="DT126" s="42">
        <f t="shared" si="588"/>
        <v>196.32490068934456</v>
      </c>
      <c r="DU126" s="42">
        <f t="shared" si="589"/>
        <v>0.98801719747153338</v>
      </c>
      <c r="DV126" s="42">
        <f t="shared" ca="1" si="590"/>
        <v>96.825685352210272</v>
      </c>
      <c r="DW126" s="42">
        <f t="shared" ca="1" si="591"/>
        <v>7.0980545849417826E-4</v>
      </c>
      <c r="DX126" s="42">
        <f t="shared" si="592"/>
        <v>0</v>
      </c>
      <c r="DY126" s="92">
        <f t="shared" si="593"/>
        <v>0</v>
      </c>
      <c r="DZ126" s="42">
        <f t="shared" si="594"/>
        <v>0</v>
      </c>
      <c r="EA126" s="42">
        <f t="shared" si="613"/>
        <v>0</v>
      </c>
      <c r="EB126" s="42">
        <f t="shared" si="595"/>
        <v>0</v>
      </c>
      <c r="EC126" s="42">
        <f t="shared" si="596"/>
        <v>0</v>
      </c>
      <c r="ED126" s="42">
        <f t="shared" ca="1" si="624"/>
        <v>0</v>
      </c>
      <c r="EE126" s="40"/>
      <c r="EF126" s="120">
        <f t="shared" ca="1" si="630"/>
        <v>98</v>
      </c>
      <c r="EG126" s="42">
        <f t="shared" ca="1" si="597"/>
        <v>85.674865986168243</v>
      </c>
      <c r="EH126" s="36">
        <f t="shared" ca="1" si="614"/>
        <v>85.674865986168243</v>
      </c>
      <c r="EI126" s="36">
        <f t="shared" ca="1" si="631"/>
        <v>-11.613</v>
      </c>
      <c r="EJ126" s="153">
        <f t="shared" ca="1" si="598"/>
        <v>-1</v>
      </c>
      <c r="EK126" s="153" t="str">
        <f t="shared" ca="1" si="632"/>
        <v/>
      </c>
      <c r="EL126" s="153" t="str">
        <f t="shared" ca="1" si="501"/>
        <v/>
      </c>
      <c r="EM126" s="153">
        <f t="shared" ca="1" si="633"/>
        <v>2</v>
      </c>
      <c r="EN126" s="153">
        <f t="shared" ca="1" si="634"/>
        <v>0</v>
      </c>
    </row>
    <row r="127" spans="1:144" x14ac:dyDescent="0.3">
      <c r="A127" s="36">
        <f ca="1">IF($M$22=1,A126+'Auto X'!$E$6,A$48)</f>
        <v>98.5</v>
      </c>
      <c r="B127" s="35">
        <f>IF($M$22=2,B126+'Auto X'!$E$6,B$48)</f>
        <v>0.28399999999999997</v>
      </c>
      <c r="C127" s="39">
        <f>IF($M$22=3,C126+'Auto X'!$E$6,C$48)</f>
        <v>45295.440972222219</v>
      </c>
      <c r="D127" s="35">
        <f>IF($M$22=4,D126+'Auto X'!$E$6,D$48)</f>
        <v>2.5999999999999999E-2</v>
      </c>
      <c r="E127" s="35">
        <f>IF($M$22=5,E126+'Auto X'!$E$6,E$48)</f>
        <v>0.04</v>
      </c>
      <c r="F127" s="36">
        <f t="shared" si="615"/>
        <v>75</v>
      </c>
      <c r="G127" s="35">
        <f t="shared" si="599"/>
        <v>0.28399999999999997</v>
      </c>
      <c r="H127" s="197">
        <f t="shared" si="625"/>
        <v>169.23611111111677</v>
      </c>
      <c r="I127" s="41">
        <f t="shared" si="600"/>
        <v>0.46366057838662128</v>
      </c>
      <c r="J127" s="40">
        <f t="shared" ca="1" si="502"/>
        <v>0.27256843464173269</v>
      </c>
      <c r="K127" s="40">
        <f t="shared" si="503"/>
        <v>2.5189751902588361E-2</v>
      </c>
      <c r="L127" s="40">
        <f t="shared" si="504"/>
        <v>0.19338305926412305</v>
      </c>
      <c r="M127" s="42">
        <f t="shared" ca="1" si="505"/>
        <v>1.5397325271271163</v>
      </c>
      <c r="N127" s="42">
        <f t="shared" ca="1" si="506"/>
        <v>1.3463494678629933</v>
      </c>
      <c r="O127" s="42">
        <f t="shared" ca="1" si="507"/>
        <v>0.9381872176388002</v>
      </c>
      <c r="P127" s="42">
        <f t="shared" ca="1" si="508"/>
        <v>6.1812782361199747E-2</v>
      </c>
      <c r="Q127" s="42">
        <f t="shared" ca="1" si="509"/>
        <v>0.91090508030649331</v>
      </c>
      <c r="R127" s="42">
        <f t="shared" ca="1" si="510"/>
        <v>8.9094919693506663E-2</v>
      </c>
      <c r="S127" s="42">
        <f t="shared" si="511"/>
        <v>0.98162450344672281</v>
      </c>
      <c r="T127" s="42">
        <f t="shared" si="512"/>
        <v>73.621837758504213</v>
      </c>
      <c r="U127" s="42">
        <f t="shared" si="513"/>
        <v>0.98801719747153338</v>
      </c>
      <c r="V127" s="42">
        <f t="shared" ca="1" si="514"/>
        <v>97.319693950946032</v>
      </c>
      <c r="W127" s="42">
        <f t="shared" ca="1" si="515"/>
        <v>0.1219277453715964</v>
      </c>
      <c r="X127" s="42">
        <f t="shared" ca="1" si="516"/>
        <v>0.54373066113391477</v>
      </c>
      <c r="Y127" s="42">
        <f t="shared" ca="1" si="517"/>
        <v>-6.1072091996430461E-2</v>
      </c>
      <c r="Z127" s="42">
        <f t="shared" ca="1" si="518"/>
        <v>6.3242989410152864E-3</v>
      </c>
      <c r="AA127" s="42">
        <f t="shared" ca="1" si="601"/>
        <v>-6.4891934015165508E-3</v>
      </c>
      <c r="AB127" s="42">
        <f t="shared" ca="1" si="519"/>
        <v>8.0798512209853207E-2</v>
      </c>
      <c r="AC127" s="42">
        <f t="shared" ca="1" si="520"/>
        <v>-3.0413035404149587E-2</v>
      </c>
      <c r="AD127" s="42">
        <f t="shared" ca="1" si="616"/>
        <v>-1528.1346694330427</v>
      </c>
      <c r="AF127" s="36">
        <f t="shared" si="617"/>
        <v>80</v>
      </c>
      <c r="AG127" s="35">
        <f t="shared" si="602"/>
        <v>0.28399999999999997</v>
      </c>
      <c r="AH127" s="197">
        <f t="shared" si="626"/>
        <v>169.23611111111677</v>
      </c>
      <c r="AI127" s="41">
        <f t="shared" si="603"/>
        <v>0.46366057838662128</v>
      </c>
      <c r="AJ127" s="40">
        <f t="shared" ca="1" si="521"/>
        <v>0.20802991350416156</v>
      </c>
      <c r="AK127" s="40">
        <f t="shared" si="522"/>
        <v>2.5189751902588361E-2</v>
      </c>
      <c r="AL127" s="40">
        <f t="shared" si="523"/>
        <v>0.19338305926412305</v>
      </c>
      <c r="AM127" s="42">
        <f t="shared" ca="1" si="524"/>
        <v>1.2059984276503659</v>
      </c>
      <c r="AN127" s="42">
        <f t="shared" ca="1" si="525"/>
        <v>1.0126153683862429</v>
      </c>
      <c r="AO127" s="42">
        <f t="shared" ca="1" si="526"/>
        <v>0.88609095165216112</v>
      </c>
      <c r="AP127" s="42">
        <f t="shared" ca="1" si="527"/>
        <v>0.11390904834783892</v>
      </c>
      <c r="AQ127" s="42">
        <f t="shared" ca="1" si="528"/>
        <v>0.84437804188615762</v>
      </c>
      <c r="AR127" s="42">
        <f t="shared" ca="1" si="529"/>
        <v>0.15562195811384236</v>
      </c>
      <c r="AS127" s="42">
        <f t="shared" si="530"/>
        <v>0.98162450344672281</v>
      </c>
      <c r="AT127" s="42">
        <f t="shared" si="531"/>
        <v>78.529960275737821</v>
      </c>
      <c r="AU127" s="42">
        <f t="shared" si="532"/>
        <v>0.98801719747153338</v>
      </c>
      <c r="AV127" s="42">
        <f t="shared" ca="1" si="533"/>
        <v>97.319693950946032</v>
      </c>
      <c r="AW127" s="42">
        <f t="shared" ca="1" si="534"/>
        <v>0.19278983196787769</v>
      </c>
      <c r="AX127" s="42">
        <f t="shared" ca="1" si="535"/>
        <v>1.135392465257377</v>
      </c>
      <c r="AY127" s="42">
        <f t="shared" ca="1" si="536"/>
        <v>-0.11254409871528118</v>
      </c>
      <c r="AZ127" s="42">
        <f t="shared" ca="1" si="537"/>
        <v>9.999861200066084E-3</v>
      </c>
      <c r="BA127" s="42">
        <f t="shared" ca="1" si="604"/>
        <v>-1.0170013864894998E-2</v>
      </c>
      <c r="BB127" s="42">
        <f t="shared" ca="1" si="538"/>
        <v>0.12775707075299428</v>
      </c>
      <c r="BC127" s="42">
        <f t="shared" ca="1" si="539"/>
        <v>-5.6663895247133833E-2</v>
      </c>
      <c r="BD127" s="42">
        <f t="shared" ca="1" si="618"/>
        <v>2257.3037673713116</v>
      </c>
      <c r="BE127" s="40"/>
      <c r="BF127" s="36">
        <f t="shared" si="619"/>
        <v>90</v>
      </c>
      <c r="BG127" s="35">
        <f t="shared" si="605"/>
        <v>0.28399999999999997</v>
      </c>
      <c r="BH127" s="197">
        <f t="shared" si="627"/>
        <v>169.23611111111677</v>
      </c>
      <c r="BI127" s="41">
        <f t="shared" si="606"/>
        <v>0.46366057838662128</v>
      </c>
      <c r="BJ127" s="40">
        <f t="shared" ca="1" si="540"/>
        <v>9.0246877847778226E-2</v>
      </c>
      <c r="BK127" s="40">
        <f t="shared" si="541"/>
        <v>2.5189751902588361E-2</v>
      </c>
      <c r="BL127" s="40">
        <f t="shared" si="542"/>
        <v>0.19338305926412305</v>
      </c>
      <c r="BM127" s="42">
        <f t="shared" ca="1" si="543"/>
        <v>0.59693248307083069</v>
      </c>
      <c r="BN127" s="42">
        <f t="shared" ca="1" si="544"/>
        <v>0.40354942380670766</v>
      </c>
      <c r="BO127" s="42">
        <f t="shared" ca="1" si="545"/>
        <v>0.72472377050816172</v>
      </c>
      <c r="BP127" s="42">
        <f t="shared" ca="1" si="546"/>
        <v>0.27527622949183828</v>
      </c>
      <c r="BQ127" s="42">
        <f t="shared" ca="1" si="547"/>
        <v>0.65672795818727425</v>
      </c>
      <c r="BR127" s="42">
        <f t="shared" ca="1" si="548"/>
        <v>0.34327204181272575</v>
      </c>
      <c r="BS127" s="42">
        <f t="shared" si="549"/>
        <v>0.98162450344672281</v>
      </c>
      <c r="BT127" s="42">
        <f t="shared" si="550"/>
        <v>88.34620531020505</v>
      </c>
      <c r="BU127" s="42">
        <f t="shared" si="551"/>
        <v>0.98801719747153338</v>
      </c>
      <c r="BV127" s="42">
        <f t="shared" ca="1" si="552"/>
        <v>97.319693950946032</v>
      </c>
      <c r="BW127" s="42">
        <f t="shared" ca="1" si="553"/>
        <v>0.33383690025043833</v>
      </c>
      <c r="BX127" s="42">
        <f t="shared" ca="1" si="554"/>
        <v>12.510472517865253</v>
      </c>
      <c r="BY127" s="42">
        <f t="shared" ca="1" si="555"/>
        <v>0.71603954867847663</v>
      </c>
      <c r="BZ127" s="42">
        <f t="shared" ca="1" si="556"/>
        <v>1.7315864804119521E-2</v>
      </c>
      <c r="CA127" s="42">
        <f t="shared" ca="1" si="607"/>
        <v>-1.9896489159760999E-2</v>
      </c>
      <c r="CB127" s="42">
        <f t="shared" ca="1" si="557"/>
        <v>0.22122548710121717</v>
      </c>
      <c r="CC127" s="42">
        <f t="shared" ca="1" si="558"/>
        <v>0.26901319238340504</v>
      </c>
      <c r="CD127" s="42">
        <f t="shared" ca="1" si="620"/>
        <v>-2855.2362589326267</v>
      </c>
      <c r="CE127" s="40"/>
      <c r="CF127" s="36">
        <f t="shared" si="621"/>
        <v>95</v>
      </c>
      <c r="CG127" s="35">
        <f t="shared" si="608"/>
        <v>0.28399999999999997</v>
      </c>
      <c r="CH127" s="197">
        <f t="shared" si="628"/>
        <v>169.23611111111677</v>
      </c>
      <c r="CI127" s="41">
        <f t="shared" si="609"/>
        <v>0.46366057838662128</v>
      </c>
      <c r="CJ127" s="40">
        <f t="shared" ca="1" si="559"/>
        <v>3.6179656577502259E-2</v>
      </c>
      <c r="CK127" s="40">
        <f t="shared" si="560"/>
        <v>2.5189751902588361E-2</v>
      </c>
      <c r="CL127" s="40">
        <f t="shared" si="561"/>
        <v>0.19338305926412305</v>
      </c>
      <c r="CM127" s="42">
        <f t="shared" ca="1" si="562"/>
        <v>0.3173463524344815</v>
      </c>
      <c r="CN127" s="42">
        <f t="shared" ca="1" si="563"/>
        <v>0.12396329317035845</v>
      </c>
      <c r="CO127" s="42">
        <f t="shared" ca="1" si="564"/>
        <v>0.62450959529874828</v>
      </c>
      <c r="CP127" s="42">
        <f t="shared" ca="1" si="565"/>
        <v>0.37549040470125172</v>
      </c>
      <c r="CQ127" s="42">
        <f t="shared" ca="1" si="566"/>
        <v>0.54932783067956115</v>
      </c>
      <c r="CR127" s="42">
        <f t="shared" ca="1" si="567"/>
        <v>0.45067216932043885</v>
      </c>
      <c r="CS127" s="42">
        <f t="shared" si="568"/>
        <v>0.98162450344672281</v>
      </c>
      <c r="CT127" s="42">
        <f t="shared" si="569"/>
        <v>93.254327827438672</v>
      </c>
      <c r="CU127" s="42">
        <f t="shared" si="570"/>
        <v>0.98801719747153338</v>
      </c>
      <c r="CV127" s="42">
        <f t="shared" ca="1" si="571"/>
        <v>97.319693950946032</v>
      </c>
      <c r="CW127" s="42">
        <f t="shared" ca="1" si="572"/>
        <v>0.37935118747799429</v>
      </c>
      <c r="CX127" s="42">
        <f t="shared" ca="1" si="573"/>
        <v>9.5498850769758263</v>
      </c>
      <c r="CY127" s="42">
        <f t="shared" ca="1" si="574"/>
        <v>0.61702622014115072</v>
      </c>
      <c r="CZ127" s="42">
        <f t="shared" ca="1" si="575"/>
        <v>1.9676656087818208E-2</v>
      </c>
      <c r="DA127" s="42">
        <f t="shared" ca="1" si="610"/>
        <v>-2.2377575304104596E-2</v>
      </c>
      <c r="DB127" s="42">
        <f t="shared" ca="1" si="576"/>
        <v>0.25138668364488043</v>
      </c>
      <c r="DC127" s="42">
        <f t="shared" ca="1" si="577"/>
        <v>0.23752032071553753</v>
      </c>
      <c r="DD127" s="42">
        <f t="shared" ca="1" si="622"/>
        <v>2199.9425384879128</v>
      </c>
      <c r="DE127" s="40"/>
      <c r="DF127" s="36">
        <f t="shared" si="623"/>
        <v>200</v>
      </c>
      <c r="DG127" s="35">
        <f t="shared" si="611"/>
        <v>0.28399999999999997</v>
      </c>
      <c r="DH127" s="197">
        <f t="shared" si="629"/>
        <v>169.23611111111677</v>
      </c>
      <c r="DI127" s="41">
        <f t="shared" si="612"/>
        <v>0.46366057838662128</v>
      </c>
      <c r="DJ127" s="40">
        <f t="shared" ca="1" si="578"/>
        <v>-0.70826081836999344</v>
      </c>
      <c r="DK127" s="40">
        <f t="shared" si="579"/>
        <v>2.5189751902588361E-2</v>
      </c>
      <c r="DL127" s="40">
        <f t="shared" si="580"/>
        <v>0.19338305926412305</v>
      </c>
      <c r="DM127" s="42">
        <f t="shared" ca="1" si="581"/>
        <v>-3.532217708555665</v>
      </c>
      <c r="DN127" s="42">
        <f t="shared" ca="1" si="582"/>
        <v>-3.7256007678197882</v>
      </c>
      <c r="DO127" s="42">
        <f t="shared" ca="1" si="583"/>
        <v>2.0604497003202021E-4</v>
      </c>
      <c r="DP127" s="42">
        <f t="shared" ca="1" si="584"/>
        <v>0.99979395502996793</v>
      </c>
      <c r="DQ127" s="42">
        <f t="shared" ca="1" si="585"/>
        <v>9.742529604032635E-5</v>
      </c>
      <c r="DR127" s="42">
        <f t="shared" ca="1" si="586"/>
        <v>0.99990257470395971</v>
      </c>
      <c r="DS127" s="42">
        <f t="shared" si="587"/>
        <v>0.98162450344672281</v>
      </c>
      <c r="DT127" s="42">
        <f t="shared" si="588"/>
        <v>196.32490068934456</v>
      </c>
      <c r="DU127" s="42">
        <f t="shared" si="589"/>
        <v>0.98801719747153338</v>
      </c>
      <c r="DV127" s="42">
        <f t="shared" ca="1" si="590"/>
        <v>97.319693950946032</v>
      </c>
      <c r="DW127" s="42">
        <f t="shared" ca="1" si="591"/>
        <v>7.7921815721890351E-4</v>
      </c>
      <c r="DX127" s="42">
        <f t="shared" si="592"/>
        <v>0</v>
      </c>
      <c r="DY127" s="92">
        <f t="shared" si="593"/>
        <v>0</v>
      </c>
      <c r="DZ127" s="42">
        <f t="shared" si="594"/>
        <v>0</v>
      </c>
      <c r="EA127" s="42">
        <f t="shared" si="613"/>
        <v>0</v>
      </c>
      <c r="EB127" s="42">
        <f t="shared" si="595"/>
        <v>0</v>
      </c>
      <c r="EC127" s="42">
        <f t="shared" si="596"/>
        <v>0</v>
      </c>
      <c r="ED127" s="42">
        <f t="shared" ca="1" si="624"/>
        <v>0</v>
      </c>
      <c r="EE127" s="40"/>
      <c r="EF127" s="120">
        <f t="shared" ca="1" si="630"/>
        <v>98.5</v>
      </c>
      <c r="EG127" s="42">
        <f t="shared" ca="1" si="597"/>
        <v>73.875377493554879</v>
      </c>
      <c r="EH127" s="36">
        <f t="shared" ca="1" si="614"/>
        <v>73.875377493554879</v>
      </c>
      <c r="EI127" s="36">
        <f t="shared" ca="1" si="631"/>
        <v>-11.798999999999999</v>
      </c>
      <c r="EJ127" s="153">
        <f t="shared" ca="1" si="598"/>
        <v>-1</v>
      </c>
      <c r="EK127" s="153" t="str">
        <f t="shared" ca="1" si="632"/>
        <v/>
      </c>
      <c r="EL127" s="153" t="str">
        <f t="shared" ca="1" si="501"/>
        <v/>
      </c>
      <c r="EM127" s="153">
        <f t="shared" ca="1" si="633"/>
        <v>2</v>
      </c>
      <c r="EN127" s="153">
        <f t="shared" ca="1" si="634"/>
        <v>0</v>
      </c>
    </row>
    <row r="128" spans="1:144" x14ac:dyDescent="0.3">
      <c r="A128" s="36">
        <f ca="1">IF($M$22=1,A127+'Auto X'!$E$6,A$48)</f>
        <v>99</v>
      </c>
      <c r="B128" s="35">
        <f>IF($M$22=2,B127+'Auto X'!$E$6,B$48)</f>
        <v>0.28399999999999997</v>
      </c>
      <c r="C128" s="39">
        <f>IF($M$22=3,C127+'Auto X'!$E$6,C$48)</f>
        <v>45295.440972222219</v>
      </c>
      <c r="D128" s="35">
        <f>IF($M$22=4,D127+'Auto X'!$E$6,D$48)</f>
        <v>2.5999999999999999E-2</v>
      </c>
      <c r="E128" s="35">
        <f>IF($M$22=5,E127+'Auto X'!$E$6,E$48)</f>
        <v>0.04</v>
      </c>
      <c r="F128" s="36">
        <f t="shared" si="615"/>
        <v>75</v>
      </c>
      <c r="G128" s="35">
        <f t="shared" si="599"/>
        <v>0.28399999999999997</v>
      </c>
      <c r="H128" s="197">
        <f t="shared" si="625"/>
        <v>169.23611111111677</v>
      </c>
      <c r="I128" s="41">
        <f t="shared" si="600"/>
        <v>0.46366057838662128</v>
      </c>
      <c r="J128" s="40">
        <f t="shared" ca="1" si="502"/>
        <v>0.27763173659827955</v>
      </c>
      <c r="K128" s="40">
        <f t="shared" si="503"/>
        <v>2.5189751902588361E-2</v>
      </c>
      <c r="L128" s="40">
        <f t="shared" si="504"/>
        <v>0.19338305926412305</v>
      </c>
      <c r="M128" s="42">
        <f t="shared" ca="1" si="505"/>
        <v>1.5659152857193845</v>
      </c>
      <c r="N128" s="42">
        <f t="shared" ca="1" si="506"/>
        <v>1.3725322264552615</v>
      </c>
      <c r="O128" s="42">
        <f t="shared" ca="1" si="507"/>
        <v>0.94131577458568427</v>
      </c>
      <c r="P128" s="42">
        <f t="shared" ca="1" si="508"/>
        <v>5.8684225414315699E-2</v>
      </c>
      <c r="Q128" s="42">
        <f t="shared" ca="1" si="509"/>
        <v>0.91505109312843191</v>
      </c>
      <c r="R128" s="42">
        <f t="shared" ca="1" si="510"/>
        <v>8.4948906871568058E-2</v>
      </c>
      <c r="S128" s="42">
        <f t="shared" si="511"/>
        <v>0.98162450344672281</v>
      </c>
      <c r="T128" s="42">
        <f t="shared" si="512"/>
        <v>73.621837758504213</v>
      </c>
      <c r="U128" s="42">
        <f t="shared" si="513"/>
        <v>0.98801719747153338</v>
      </c>
      <c r="V128" s="42">
        <f t="shared" ca="1" si="514"/>
        <v>97.813702549681807</v>
      </c>
      <c r="W128" s="42">
        <f t="shared" ca="1" si="515"/>
        <v>0.11706992487164787</v>
      </c>
      <c r="X128" s="42">
        <f t="shared" ca="1" si="516"/>
        <v>0.51397327042651408</v>
      </c>
      <c r="Y128" s="42">
        <f t="shared" ca="1" si="517"/>
        <v>-5.7981023929639962E-2</v>
      </c>
      <c r="Z128" s="42">
        <f t="shared" ca="1" si="518"/>
        <v>6.0416591846587158E-3</v>
      </c>
      <c r="AA128" s="42">
        <f t="shared" ca="1" si="601"/>
        <v>-6.2659554184039462E-3</v>
      </c>
      <c r="AB128" s="42">
        <f t="shared" ca="1" si="519"/>
        <v>7.7973158103917306E-2</v>
      </c>
      <c r="AC128" s="42">
        <f t="shared" ca="1" si="520"/>
        <v>-2.8997771378170931E-2</v>
      </c>
      <c r="AD128" s="42">
        <f t="shared" ca="1" si="616"/>
        <v>-1543.0133647867431</v>
      </c>
      <c r="AF128" s="36">
        <f t="shared" si="617"/>
        <v>80</v>
      </c>
      <c r="AG128" s="35">
        <f t="shared" si="602"/>
        <v>0.28399999999999997</v>
      </c>
      <c r="AH128" s="197">
        <f t="shared" si="626"/>
        <v>169.23611111111677</v>
      </c>
      <c r="AI128" s="41">
        <f t="shared" si="603"/>
        <v>0.46366057838662128</v>
      </c>
      <c r="AJ128" s="40">
        <f t="shared" ca="1" si="521"/>
        <v>0.21309321546070836</v>
      </c>
      <c r="AK128" s="40">
        <f t="shared" si="522"/>
        <v>2.5189751902588361E-2</v>
      </c>
      <c r="AL128" s="40">
        <f t="shared" si="523"/>
        <v>0.19338305926412305</v>
      </c>
      <c r="AM128" s="42">
        <f t="shared" ca="1" si="524"/>
        <v>1.232181186242634</v>
      </c>
      <c r="AN128" s="42">
        <f t="shared" ca="1" si="525"/>
        <v>1.0387981269785109</v>
      </c>
      <c r="AO128" s="42">
        <f t="shared" ca="1" si="526"/>
        <v>0.8910592952254266</v>
      </c>
      <c r="AP128" s="42">
        <f t="shared" ca="1" si="527"/>
        <v>0.10894070477457339</v>
      </c>
      <c r="AQ128" s="42">
        <f t="shared" ca="1" si="528"/>
        <v>0.85055068367317799</v>
      </c>
      <c r="AR128" s="42">
        <f t="shared" ca="1" si="529"/>
        <v>0.14944931632682196</v>
      </c>
      <c r="AS128" s="42">
        <f t="shared" si="530"/>
        <v>0.98162450344672281</v>
      </c>
      <c r="AT128" s="42">
        <f t="shared" si="531"/>
        <v>78.529960275737821</v>
      </c>
      <c r="AU128" s="42">
        <f t="shared" si="532"/>
        <v>0.98801719747153338</v>
      </c>
      <c r="AV128" s="42">
        <f t="shared" ca="1" si="533"/>
        <v>97.813702549681807</v>
      </c>
      <c r="AW128" s="42">
        <f t="shared" ca="1" si="534"/>
        <v>0.1867333209630746</v>
      </c>
      <c r="AX128" s="42">
        <f t="shared" ca="1" si="535"/>
        <v>1.080355182008681</v>
      </c>
      <c r="AY128" s="42">
        <f t="shared" ca="1" si="536"/>
        <v>-0.10763528982194771</v>
      </c>
      <c r="AZ128" s="42">
        <f t="shared" ca="1" si="537"/>
        <v>9.6367968538058502E-3</v>
      </c>
      <c r="BA128" s="42">
        <f t="shared" ca="1" si="604"/>
        <v>-9.9084734253937559E-3</v>
      </c>
      <c r="BB128" s="42">
        <f t="shared" ca="1" si="538"/>
        <v>0.1243717101098914</v>
      </c>
      <c r="BC128" s="42">
        <f t="shared" ca="1" si="539"/>
        <v>-5.4416359411850621E-2</v>
      </c>
      <c r="BD128" s="42">
        <f t="shared" ca="1" si="618"/>
        <v>2284.8224089956598</v>
      </c>
      <c r="BE128" s="40"/>
      <c r="BF128" s="36">
        <f t="shared" si="619"/>
        <v>90</v>
      </c>
      <c r="BG128" s="35">
        <f t="shared" si="605"/>
        <v>0.28399999999999997</v>
      </c>
      <c r="BH128" s="197">
        <f t="shared" si="627"/>
        <v>169.23611111111677</v>
      </c>
      <c r="BI128" s="41">
        <f t="shared" si="606"/>
        <v>0.46366057838662128</v>
      </c>
      <c r="BJ128" s="40">
        <f t="shared" ca="1" si="540"/>
        <v>9.5310179804324935E-2</v>
      </c>
      <c r="BK128" s="40">
        <f t="shared" si="541"/>
        <v>2.5189751902588361E-2</v>
      </c>
      <c r="BL128" s="40">
        <f t="shared" si="542"/>
        <v>0.19338305926412305</v>
      </c>
      <c r="BM128" s="42">
        <f t="shared" ca="1" si="543"/>
        <v>0.62311524166309828</v>
      </c>
      <c r="BN128" s="42">
        <f t="shared" ca="1" si="544"/>
        <v>0.42973218239897526</v>
      </c>
      <c r="BO128" s="42">
        <f t="shared" ca="1" si="545"/>
        <v>0.73339560276253013</v>
      </c>
      <c r="BP128" s="42">
        <f t="shared" ca="1" si="546"/>
        <v>0.26660439723746987</v>
      </c>
      <c r="BQ128" s="42">
        <f t="shared" ca="1" si="547"/>
        <v>0.66630476489269841</v>
      </c>
      <c r="BR128" s="42">
        <f t="shared" ca="1" si="548"/>
        <v>0.33369523510730159</v>
      </c>
      <c r="BS128" s="42">
        <f t="shared" si="549"/>
        <v>0.98162450344672281</v>
      </c>
      <c r="BT128" s="42">
        <f t="shared" si="550"/>
        <v>88.34620531020505</v>
      </c>
      <c r="BU128" s="42">
        <f t="shared" si="551"/>
        <v>0.98801719747153338</v>
      </c>
      <c r="BV128" s="42">
        <f t="shared" ca="1" si="552"/>
        <v>97.813702549681807</v>
      </c>
      <c r="BW128" s="42">
        <f t="shared" ca="1" si="553"/>
        <v>0.32854717784553872</v>
      </c>
      <c r="BX128" s="42">
        <f t="shared" ca="1" si="554"/>
        <v>12.870641781480487</v>
      </c>
      <c r="BY128" s="42">
        <f t="shared" ca="1" si="555"/>
        <v>0.72460746807938103</v>
      </c>
      <c r="BZ128" s="42">
        <f t="shared" ca="1" si="556"/>
        <v>1.6955422810772829E-2</v>
      </c>
      <c r="CA128" s="42">
        <f t="shared" ca="1" si="607"/>
        <v>-1.9701894001906334E-2</v>
      </c>
      <c r="CB128" s="42">
        <f t="shared" ca="1" si="557"/>
        <v>0.21882529668343703</v>
      </c>
      <c r="CC128" s="42">
        <f t="shared" ca="1" si="558"/>
        <v>0.27293610644933897</v>
      </c>
      <c r="CD128" s="42">
        <f t="shared" ca="1" si="620"/>
        <v>-3035.3208907402432</v>
      </c>
      <c r="CE128" s="40"/>
      <c r="CF128" s="36">
        <f t="shared" si="621"/>
        <v>95</v>
      </c>
      <c r="CG128" s="35">
        <f t="shared" si="608"/>
        <v>0.28399999999999997</v>
      </c>
      <c r="CH128" s="197">
        <f t="shared" si="628"/>
        <v>169.23611111111677</v>
      </c>
      <c r="CI128" s="41">
        <f t="shared" si="609"/>
        <v>0.46366057838662128</v>
      </c>
      <c r="CJ128" s="40">
        <f t="shared" ca="1" si="559"/>
        <v>4.1242958534049003E-2</v>
      </c>
      <c r="CK128" s="40">
        <f t="shared" si="560"/>
        <v>2.5189751902588361E-2</v>
      </c>
      <c r="CL128" s="40">
        <f t="shared" si="561"/>
        <v>0.19338305926412305</v>
      </c>
      <c r="CM128" s="42">
        <f t="shared" ca="1" si="562"/>
        <v>0.34352911102674932</v>
      </c>
      <c r="CN128" s="42">
        <f t="shared" ca="1" si="563"/>
        <v>0.15014605176262627</v>
      </c>
      <c r="CO128" s="42">
        <f t="shared" ca="1" si="564"/>
        <v>0.63439977781179047</v>
      </c>
      <c r="CP128" s="42">
        <f t="shared" ca="1" si="565"/>
        <v>0.36560022218820953</v>
      </c>
      <c r="CQ128" s="42">
        <f t="shared" ca="1" si="566"/>
        <v>0.55967530614053973</v>
      </c>
      <c r="CR128" s="42">
        <f t="shared" ca="1" si="567"/>
        <v>0.44032469385946033</v>
      </c>
      <c r="CS128" s="42">
        <f t="shared" si="568"/>
        <v>0.98162450344672281</v>
      </c>
      <c r="CT128" s="42">
        <f t="shared" si="569"/>
        <v>93.254327827438672</v>
      </c>
      <c r="CU128" s="42">
        <f t="shared" si="570"/>
        <v>0.98801719747153338</v>
      </c>
      <c r="CV128" s="42">
        <f t="shared" ca="1" si="571"/>
        <v>97.813702549681807</v>
      </c>
      <c r="CW128" s="42">
        <f t="shared" ca="1" si="572"/>
        <v>0.37608328469713004</v>
      </c>
      <c r="CX128" s="42">
        <f t="shared" ca="1" si="573"/>
        <v>9.8608466887147088</v>
      </c>
      <c r="CY128" s="42">
        <f t="shared" ca="1" si="574"/>
        <v>0.62679789055016866</v>
      </c>
      <c r="CZ128" s="42">
        <f t="shared" ca="1" si="575"/>
        <v>1.9408631496758654E-2</v>
      </c>
      <c r="DA128" s="42">
        <f t="shared" ca="1" si="610"/>
        <v>-2.2316880470842518E-2</v>
      </c>
      <c r="DB128" s="42">
        <f t="shared" ca="1" si="576"/>
        <v>0.25048620685526457</v>
      </c>
      <c r="DC128" s="42">
        <f t="shared" ca="1" si="577"/>
        <v>0.24199439894865268</v>
      </c>
      <c r="DD128" s="42">
        <f t="shared" ca="1" si="622"/>
        <v>2355.4233443573544</v>
      </c>
      <c r="DE128" s="40"/>
      <c r="DF128" s="36">
        <f t="shared" si="623"/>
        <v>200</v>
      </c>
      <c r="DG128" s="35">
        <f t="shared" si="611"/>
        <v>0.28399999999999997</v>
      </c>
      <c r="DH128" s="197">
        <f t="shared" si="629"/>
        <v>169.23611111111677</v>
      </c>
      <c r="DI128" s="41">
        <f t="shared" si="612"/>
        <v>0.46366057838662128</v>
      </c>
      <c r="DJ128" s="40">
        <f t="shared" ca="1" si="578"/>
        <v>-0.70319751641344674</v>
      </c>
      <c r="DK128" s="40">
        <f t="shared" si="579"/>
        <v>2.5189751902588361E-2</v>
      </c>
      <c r="DL128" s="40">
        <f t="shared" si="580"/>
        <v>0.19338305926412305</v>
      </c>
      <c r="DM128" s="42">
        <f t="shared" ca="1" si="581"/>
        <v>-3.5060349499633978</v>
      </c>
      <c r="DN128" s="42">
        <f t="shared" ca="1" si="582"/>
        <v>-3.6994180092275211</v>
      </c>
      <c r="DO128" s="42">
        <f t="shared" ca="1" si="583"/>
        <v>2.274177459251199E-4</v>
      </c>
      <c r="DP128" s="42">
        <f t="shared" ca="1" si="584"/>
        <v>0.99977258225407484</v>
      </c>
      <c r="DQ128" s="42">
        <f t="shared" ca="1" si="585"/>
        <v>1.0804721802797541E-4</v>
      </c>
      <c r="DR128" s="42">
        <f t="shared" ca="1" si="586"/>
        <v>0.99989195278197207</v>
      </c>
      <c r="DS128" s="42">
        <f t="shared" si="587"/>
        <v>0.98162450344672281</v>
      </c>
      <c r="DT128" s="42">
        <f t="shared" si="588"/>
        <v>196.32490068934456</v>
      </c>
      <c r="DU128" s="42">
        <f t="shared" si="589"/>
        <v>0.98801719747153338</v>
      </c>
      <c r="DV128" s="42">
        <f t="shared" ca="1" si="590"/>
        <v>97.813702549681807</v>
      </c>
      <c r="DW128" s="42">
        <f t="shared" ca="1" si="591"/>
        <v>8.5442735949763657E-4</v>
      </c>
      <c r="DX128" s="42">
        <f t="shared" si="592"/>
        <v>0</v>
      </c>
      <c r="DY128" s="92">
        <f t="shared" si="593"/>
        <v>0</v>
      </c>
      <c r="DZ128" s="42">
        <f t="shared" si="594"/>
        <v>0</v>
      </c>
      <c r="EA128" s="42">
        <f t="shared" si="613"/>
        <v>0</v>
      </c>
      <c r="EB128" s="42">
        <f t="shared" si="595"/>
        <v>0</v>
      </c>
      <c r="EC128" s="42">
        <f t="shared" si="596"/>
        <v>0</v>
      </c>
      <c r="ED128" s="42">
        <f t="shared" ca="1" si="624"/>
        <v>0</v>
      </c>
      <c r="EE128" s="40"/>
      <c r="EF128" s="120">
        <f t="shared" ca="1" si="630"/>
        <v>99</v>
      </c>
      <c r="EG128" s="42">
        <f t="shared" ca="1" si="597"/>
        <v>61.911497826028153</v>
      </c>
      <c r="EH128" s="36">
        <f t="shared" ca="1" si="614"/>
        <v>61.911497826028153</v>
      </c>
      <c r="EI128" s="36">
        <f t="shared" ca="1" si="631"/>
        <v>-11.964</v>
      </c>
      <c r="EJ128" s="153">
        <f t="shared" ca="1" si="598"/>
        <v>-1</v>
      </c>
      <c r="EK128" s="153" t="str">
        <f t="shared" ca="1" si="632"/>
        <v/>
      </c>
      <c r="EL128" s="153" t="str">
        <f t="shared" ca="1" si="501"/>
        <v/>
      </c>
      <c r="EM128" s="153">
        <f t="shared" ca="1" si="633"/>
        <v>2</v>
      </c>
      <c r="EN128" s="153">
        <f t="shared" ca="1" si="634"/>
        <v>0</v>
      </c>
    </row>
    <row r="129" spans="1:144" x14ac:dyDescent="0.3">
      <c r="A129" s="36">
        <f ca="1">IF($M$22=1,A128+'Auto X'!$E$6,A$48)</f>
        <v>99.5</v>
      </c>
      <c r="B129" s="35">
        <f>IF($M$22=2,B128+'Auto X'!$E$6,B$48)</f>
        <v>0.28399999999999997</v>
      </c>
      <c r="C129" s="39">
        <f>IF($M$22=3,C128+'Auto X'!$E$6,C$48)</f>
        <v>45295.440972222219</v>
      </c>
      <c r="D129" s="35">
        <f>IF($M$22=4,D128+'Auto X'!$E$6,D$48)</f>
        <v>2.5999999999999999E-2</v>
      </c>
      <c r="E129" s="35">
        <f>IF($M$22=5,E128+'Auto X'!$E$6,E$48)</f>
        <v>0.04</v>
      </c>
      <c r="F129" s="36">
        <f t="shared" si="615"/>
        <v>75</v>
      </c>
      <c r="G129" s="35">
        <f t="shared" si="599"/>
        <v>0.28399999999999997</v>
      </c>
      <c r="H129" s="197">
        <f t="shared" si="625"/>
        <v>169.23611111111677</v>
      </c>
      <c r="I129" s="41">
        <f t="shared" si="600"/>
        <v>0.46366057838662128</v>
      </c>
      <c r="J129" s="40">
        <f t="shared" ca="1" si="502"/>
        <v>0.28266953062823663</v>
      </c>
      <c r="K129" s="40">
        <f t="shared" si="503"/>
        <v>2.5189751902588361E-2</v>
      </c>
      <c r="L129" s="40">
        <f t="shared" si="504"/>
        <v>0.19338305926412305</v>
      </c>
      <c r="M129" s="42">
        <f t="shared" ca="1" si="505"/>
        <v>1.5919661406863466</v>
      </c>
      <c r="N129" s="42">
        <f t="shared" ca="1" si="506"/>
        <v>1.3985830814222235</v>
      </c>
      <c r="O129" s="42">
        <f t="shared" ca="1" si="507"/>
        <v>0.94430384365787678</v>
      </c>
      <c r="P129" s="42">
        <f t="shared" ca="1" si="508"/>
        <v>5.5696156342123243E-2</v>
      </c>
      <c r="Q129" s="42">
        <f t="shared" ca="1" si="509"/>
        <v>0.91903097864934669</v>
      </c>
      <c r="R129" s="42">
        <f t="shared" ca="1" si="510"/>
        <v>8.0969021350653314E-2</v>
      </c>
      <c r="S129" s="42">
        <f t="shared" si="511"/>
        <v>0.98162450344672281</v>
      </c>
      <c r="T129" s="42">
        <f t="shared" si="512"/>
        <v>73.621837758504213</v>
      </c>
      <c r="U129" s="42">
        <f t="shared" si="513"/>
        <v>0.98801719747153338</v>
      </c>
      <c r="V129" s="42">
        <f t="shared" ca="1" si="514"/>
        <v>98.307711148417567</v>
      </c>
      <c r="W129" s="42">
        <f t="shared" ca="1" si="515"/>
        <v>0.11235220776662841</v>
      </c>
      <c r="X129" s="42">
        <f t="shared" ca="1" si="516"/>
        <v>0.48572650358410563</v>
      </c>
      <c r="Y129" s="42">
        <f t="shared" ca="1" si="517"/>
        <v>-5.502876029908095E-2</v>
      </c>
      <c r="Z129" s="42">
        <f t="shared" ca="1" si="518"/>
        <v>5.769054049118592E-3</v>
      </c>
      <c r="AA129" s="42">
        <f t="shared" ca="1" si="601"/>
        <v>-6.0472677154032855E-3</v>
      </c>
      <c r="AB129" s="42">
        <f t="shared" ca="1" si="519"/>
        <v>7.520890782801988E-2</v>
      </c>
      <c r="AC129" s="42">
        <f t="shared" ca="1" si="520"/>
        <v>-2.7639215809924948E-2</v>
      </c>
      <c r="AD129" s="42">
        <f t="shared" ca="1" si="616"/>
        <v>-1557.1367482079472</v>
      </c>
      <c r="AF129" s="36">
        <f t="shared" si="617"/>
        <v>80</v>
      </c>
      <c r="AG129" s="35">
        <f t="shared" si="602"/>
        <v>0.28399999999999997</v>
      </c>
      <c r="AH129" s="197">
        <f t="shared" si="626"/>
        <v>169.23611111111677</v>
      </c>
      <c r="AI129" s="41">
        <f t="shared" si="603"/>
        <v>0.46366057838662128</v>
      </c>
      <c r="AJ129" s="40">
        <f t="shared" ca="1" si="521"/>
        <v>0.21813100949066541</v>
      </c>
      <c r="AK129" s="40">
        <f t="shared" si="522"/>
        <v>2.5189751902588361E-2</v>
      </c>
      <c r="AL129" s="40">
        <f t="shared" si="523"/>
        <v>0.19338305926412305</v>
      </c>
      <c r="AM129" s="42">
        <f t="shared" ca="1" si="524"/>
        <v>1.2582320412095958</v>
      </c>
      <c r="AN129" s="42">
        <f t="shared" ca="1" si="525"/>
        <v>1.0648489819454727</v>
      </c>
      <c r="AO129" s="42">
        <f t="shared" ca="1" si="526"/>
        <v>0.89584607481484946</v>
      </c>
      <c r="AP129" s="42">
        <f t="shared" ca="1" si="527"/>
        <v>0.1041539251851505</v>
      </c>
      <c r="AQ129" s="42">
        <f t="shared" ca="1" si="528"/>
        <v>0.85652786236523837</v>
      </c>
      <c r="AR129" s="42">
        <f t="shared" ca="1" si="529"/>
        <v>0.14347213763476166</v>
      </c>
      <c r="AS129" s="42">
        <f t="shared" si="530"/>
        <v>0.98162450344672281</v>
      </c>
      <c r="AT129" s="42">
        <f t="shared" si="531"/>
        <v>78.529960275737821</v>
      </c>
      <c r="AU129" s="42">
        <f t="shared" si="532"/>
        <v>0.98801719747153338</v>
      </c>
      <c r="AV129" s="42">
        <f t="shared" ca="1" si="533"/>
        <v>98.307711148417567</v>
      </c>
      <c r="AW129" s="42">
        <f t="shared" ca="1" si="534"/>
        <v>0.18077312843765583</v>
      </c>
      <c r="AX129" s="42">
        <f t="shared" ca="1" si="535"/>
        <v>1.0277272770573536</v>
      </c>
      <c r="AY129" s="42">
        <f t="shared" ca="1" si="536"/>
        <v>-0.10290586926709219</v>
      </c>
      <c r="AZ129" s="42">
        <f t="shared" ca="1" si="537"/>
        <v>9.2823271506272953E-3</v>
      </c>
      <c r="BA129" s="42">
        <f t="shared" ca="1" si="604"/>
        <v>-9.6481636762271346E-3</v>
      </c>
      <c r="BB129" s="42">
        <f t="shared" ca="1" si="538"/>
        <v>0.12101007914940816</v>
      </c>
      <c r="BC129" s="42">
        <f t="shared" ca="1" si="539"/>
        <v>-5.2239994126480387E-2</v>
      </c>
      <c r="BD129" s="42">
        <f t="shared" ca="1" si="618"/>
        <v>2311.1363614713232</v>
      </c>
      <c r="BE129" s="40"/>
      <c r="BF129" s="36">
        <f t="shared" si="619"/>
        <v>90</v>
      </c>
      <c r="BG129" s="35">
        <f t="shared" si="605"/>
        <v>0.28399999999999997</v>
      </c>
      <c r="BH129" s="197">
        <f t="shared" si="627"/>
        <v>169.23611111111677</v>
      </c>
      <c r="BI129" s="41">
        <f t="shared" si="606"/>
        <v>0.46366057838662128</v>
      </c>
      <c r="BJ129" s="40">
        <f t="shared" ca="1" si="540"/>
        <v>0.10034797383428208</v>
      </c>
      <c r="BK129" s="40">
        <f t="shared" si="541"/>
        <v>2.5189751902588361E-2</v>
      </c>
      <c r="BL129" s="40">
        <f t="shared" si="542"/>
        <v>0.19338305926412305</v>
      </c>
      <c r="BM129" s="42">
        <f t="shared" ca="1" si="543"/>
        <v>0.64916609663006064</v>
      </c>
      <c r="BN129" s="42">
        <f t="shared" ca="1" si="544"/>
        <v>0.45578303736593762</v>
      </c>
      <c r="BO129" s="42">
        <f t="shared" ca="1" si="545"/>
        <v>0.74188448848022293</v>
      </c>
      <c r="BP129" s="42">
        <f t="shared" ca="1" si="546"/>
        <v>0.25811551151977707</v>
      </c>
      <c r="BQ129" s="42">
        <f t="shared" ca="1" si="547"/>
        <v>0.67572699847012985</v>
      </c>
      <c r="BR129" s="42">
        <f t="shared" ca="1" si="548"/>
        <v>0.32427300152987015</v>
      </c>
      <c r="BS129" s="42">
        <f t="shared" si="549"/>
        <v>0.98162450344672281</v>
      </c>
      <c r="BT129" s="42">
        <f t="shared" si="550"/>
        <v>88.34620531020505</v>
      </c>
      <c r="BU129" s="42">
        <f t="shared" si="551"/>
        <v>0.98801719747153338</v>
      </c>
      <c r="BV129" s="42">
        <f t="shared" ca="1" si="552"/>
        <v>98.307711148417567</v>
      </c>
      <c r="BW129" s="42">
        <f t="shared" ca="1" si="553"/>
        <v>0.32314735779473469</v>
      </c>
      <c r="BX129" s="42">
        <f t="shared" ca="1" si="554"/>
        <v>13.235049858514571</v>
      </c>
      <c r="BY129" s="42">
        <f t="shared" ca="1" si="555"/>
        <v>0.73299463315583191</v>
      </c>
      <c r="BZ129" s="42">
        <f t="shared" ca="1" si="556"/>
        <v>1.6592950063073184E-2</v>
      </c>
      <c r="CA129" s="42">
        <f t="shared" ca="1" si="607"/>
        <v>-1.949730321147896E-2</v>
      </c>
      <c r="CB129" s="42">
        <f t="shared" ca="1" si="557"/>
        <v>0.21631581906903272</v>
      </c>
      <c r="CC129" s="42">
        <f t="shared" ca="1" si="558"/>
        <v>0.27679570326175934</v>
      </c>
      <c r="CD129" s="42">
        <f t="shared" ca="1" si="620"/>
        <v>-3217.5249292572857</v>
      </c>
      <c r="CE129" s="40"/>
      <c r="CF129" s="36">
        <f t="shared" si="621"/>
        <v>95</v>
      </c>
      <c r="CG129" s="35">
        <f t="shared" si="608"/>
        <v>0.28399999999999997</v>
      </c>
      <c r="CH129" s="197">
        <f t="shared" si="628"/>
        <v>169.23611111111677</v>
      </c>
      <c r="CI129" s="41">
        <f t="shared" si="609"/>
        <v>0.46366057838662128</v>
      </c>
      <c r="CJ129" s="40">
        <f t="shared" ca="1" si="559"/>
        <v>4.6280752564006183E-2</v>
      </c>
      <c r="CK129" s="40">
        <f t="shared" si="560"/>
        <v>2.5189751902588361E-2</v>
      </c>
      <c r="CL129" s="40">
        <f t="shared" si="561"/>
        <v>0.19338305926412305</v>
      </c>
      <c r="CM129" s="42">
        <f t="shared" ca="1" si="562"/>
        <v>0.36957996599371179</v>
      </c>
      <c r="CN129" s="42">
        <f t="shared" ca="1" si="563"/>
        <v>0.17619690672958874</v>
      </c>
      <c r="CO129" s="42">
        <f t="shared" ca="1" si="564"/>
        <v>0.64415225968169632</v>
      </c>
      <c r="CP129" s="42">
        <f t="shared" ca="1" si="565"/>
        <v>0.35584774031830368</v>
      </c>
      <c r="CQ129" s="42">
        <f t="shared" ca="1" si="566"/>
        <v>0.56993037457808093</v>
      </c>
      <c r="CR129" s="42">
        <f t="shared" ca="1" si="567"/>
        <v>0.43006962542191907</v>
      </c>
      <c r="CS129" s="42">
        <f t="shared" si="568"/>
        <v>0.98162450344672281</v>
      </c>
      <c r="CT129" s="42">
        <f t="shared" si="569"/>
        <v>93.254327827438672</v>
      </c>
      <c r="CU129" s="42">
        <f t="shared" si="570"/>
        <v>0.98801719747153338</v>
      </c>
      <c r="CV129" s="42">
        <f t="shared" ca="1" si="571"/>
        <v>98.307711148417567</v>
      </c>
      <c r="CW129" s="42">
        <f t="shared" ca="1" si="572"/>
        <v>0.37260618967442138</v>
      </c>
      <c r="CX129" s="42">
        <f t="shared" ca="1" si="573"/>
        <v>10.176660290669389</v>
      </c>
      <c r="CY129" s="42">
        <f t="shared" ca="1" si="574"/>
        <v>0.63643351035566498</v>
      </c>
      <c r="CZ129" s="42">
        <f t="shared" ca="1" si="575"/>
        <v>1.9132559030196065E-2</v>
      </c>
      <c r="DA129" s="42">
        <f t="shared" ca="1" si="610"/>
        <v>-2.224191502575151E-2</v>
      </c>
      <c r="DB129" s="42">
        <f t="shared" ca="1" si="576"/>
        <v>0.24942371077906769</v>
      </c>
      <c r="DC129" s="42">
        <f t="shared" ca="1" si="577"/>
        <v>0.24642852190439538</v>
      </c>
      <c r="DD129" s="42">
        <f t="shared" ca="1" si="622"/>
        <v>2513.3301453346944</v>
      </c>
      <c r="DE129" s="40"/>
      <c r="DF129" s="36">
        <f t="shared" si="623"/>
        <v>200</v>
      </c>
      <c r="DG129" s="35">
        <f t="shared" si="611"/>
        <v>0.28399999999999997</v>
      </c>
      <c r="DH129" s="197">
        <f t="shared" si="629"/>
        <v>169.23611111111677</v>
      </c>
      <c r="DI129" s="41">
        <f t="shared" si="612"/>
        <v>0.46366057838662128</v>
      </c>
      <c r="DJ129" s="40">
        <f t="shared" ca="1" si="578"/>
        <v>-0.69815972238348956</v>
      </c>
      <c r="DK129" s="40">
        <f t="shared" si="579"/>
        <v>2.5189751902588361E-2</v>
      </c>
      <c r="DL129" s="40">
        <f t="shared" si="580"/>
        <v>0.19338305926412305</v>
      </c>
      <c r="DM129" s="42">
        <f t="shared" ca="1" si="581"/>
        <v>-3.4799840949964351</v>
      </c>
      <c r="DN129" s="42">
        <f t="shared" ca="1" si="582"/>
        <v>-3.6733671542605584</v>
      </c>
      <c r="DO129" s="42">
        <f t="shared" ca="1" si="583"/>
        <v>2.5072177515193187E-4</v>
      </c>
      <c r="DP129" s="42">
        <f t="shared" ca="1" si="584"/>
        <v>0.99974927822484805</v>
      </c>
      <c r="DQ129" s="42">
        <f t="shared" ca="1" si="585"/>
        <v>1.196875755282565E-4</v>
      </c>
      <c r="DR129" s="42">
        <f t="shared" ca="1" si="586"/>
        <v>0.99988031242447173</v>
      </c>
      <c r="DS129" s="42">
        <f t="shared" si="587"/>
        <v>0.98162450344672281</v>
      </c>
      <c r="DT129" s="42">
        <f t="shared" si="588"/>
        <v>196.32490068934456</v>
      </c>
      <c r="DU129" s="42">
        <f t="shared" si="589"/>
        <v>0.98801719747153338</v>
      </c>
      <c r="DV129" s="42">
        <f t="shared" ca="1" si="590"/>
        <v>98.307711148417567</v>
      </c>
      <c r="DW129" s="42">
        <f t="shared" ca="1" si="591"/>
        <v>9.3582395268156679E-4</v>
      </c>
      <c r="DX129" s="42">
        <f t="shared" si="592"/>
        <v>0</v>
      </c>
      <c r="DY129" s="92">
        <f t="shared" si="593"/>
        <v>0</v>
      </c>
      <c r="DZ129" s="42">
        <f t="shared" si="594"/>
        <v>0</v>
      </c>
      <c r="EA129" s="42">
        <f t="shared" si="613"/>
        <v>0</v>
      </c>
      <c r="EB129" s="42">
        <f t="shared" si="595"/>
        <v>0</v>
      </c>
      <c r="EC129" s="42">
        <f t="shared" si="596"/>
        <v>0</v>
      </c>
      <c r="ED129" s="42">
        <f t="shared" ca="1" si="624"/>
        <v>0</v>
      </c>
      <c r="EE129" s="40"/>
      <c r="EF129" s="120">
        <f t="shared" ca="1" si="630"/>
        <v>99.5</v>
      </c>
      <c r="EG129" s="42">
        <f t="shared" ca="1" si="597"/>
        <v>49.804829340784636</v>
      </c>
      <c r="EH129" s="36">
        <f t="shared" ca="1" si="614"/>
        <v>49.804829340784636</v>
      </c>
      <c r="EI129" s="36">
        <f t="shared" ca="1" si="631"/>
        <v>-12.106999999999999</v>
      </c>
      <c r="EJ129" s="153">
        <f t="shared" ca="1" si="598"/>
        <v>-1</v>
      </c>
      <c r="EK129" s="153" t="str">
        <f t="shared" ca="1" si="632"/>
        <v/>
      </c>
      <c r="EL129" s="153" t="str">
        <f t="shared" ca="1" si="501"/>
        <v/>
      </c>
      <c r="EM129" s="153">
        <f t="shared" ca="1" si="633"/>
        <v>2</v>
      </c>
      <c r="EN129" s="153">
        <f t="shared" ca="1" si="634"/>
        <v>0</v>
      </c>
    </row>
    <row r="130" spans="1:144" x14ac:dyDescent="0.3">
      <c r="A130" s="36">
        <f ca="1">IF($M$22=1,A129+'Auto X'!$E$6,A$48)</f>
        <v>100</v>
      </c>
      <c r="B130" s="35">
        <f>IF($M$22=2,B129+'Auto X'!$E$6,B$48)</f>
        <v>0.28399999999999997</v>
      </c>
      <c r="C130" s="39">
        <f>IF($M$22=3,C129+'Auto X'!$E$6,C$48)</f>
        <v>45295.440972222219</v>
      </c>
      <c r="D130" s="35">
        <f>IF($M$22=4,D129+'Auto X'!$E$6,D$48)</f>
        <v>2.5999999999999999E-2</v>
      </c>
      <c r="E130" s="35">
        <f>IF($M$22=5,E129+'Auto X'!$E$6,E$48)</f>
        <v>0.04</v>
      </c>
      <c r="F130" s="36">
        <f t="shared" si="615"/>
        <v>75</v>
      </c>
      <c r="G130" s="35">
        <f t="shared" si="599"/>
        <v>0.28399999999999997</v>
      </c>
      <c r="H130" s="197">
        <f t="shared" si="625"/>
        <v>169.23611111111677</v>
      </c>
      <c r="I130" s="41">
        <f t="shared" si="600"/>
        <v>0.46366057838662128</v>
      </c>
      <c r="J130" s="40">
        <f t="shared" ca="1" si="502"/>
        <v>0.28768207245178085</v>
      </c>
      <c r="K130" s="40">
        <f t="shared" si="503"/>
        <v>2.5189751902588361E-2</v>
      </c>
      <c r="L130" s="40">
        <f t="shared" si="504"/>
        <v>0.19338305926412305</v>
      </c>
      <c r="M130" s="42">
        <f t="shared" ca="1" si="505"/>
        <v>1.6178864143784597</v>
      </c>
      <c r="N130" s="42">
        <f t="shared" ca="1" si="506"/>
        <v>1.4245033551143367</v>
      </c>
      <c r="O130" s="42">
        <f t="shared" ca="1" si="507"/>
        <v>0.94715646068979831</v>
      </c>
      <c r="P130" s="42">
        <f t="shared" ca="1" si="508"/>
        <v>5.2843539310201672E-2</v>
      </c>
      <c r="Q130" s="42">
        <f t="shared" ca="1" si="509"/>
        <v>0.92284959272821676</v>
      </c>
      <c r="R130" s="42">
        <f t="shared" ca="1" si="510"/>
        <v>7.7150407271783211E-2</v>
      </c>
      <c r="S130" s="42">
        <f t="shared" si="511"/>
        <v>0.98162450344672281</v>
      </c>
      <c r="T130" s="42">
        <f t="shared" si="512"/>
        <v>73.621837758504213</v>
      </c>
      <c r="U130" s="42">
        <f t="shared" si="513"/>
        <v>0.98801719747153338</v>
      </c>
      <c r="V130" s="42">
        <f t="shared" ca="1" si="514"/>
        <v>98.801719747153342</v>
      </c>
      <c r="W130" s="42">
        <f t="shared" ca="1" si="515"/>
        <v>0.10777422404748155</v>
      </c>
      <c r="X130" s="42">
        <f t="shared" ca="1" si="516"/>
        <v>0.45892220579152099</v>
      </c>
      <c r="Y130" s="42">
        <f t="shared" ca="1" si="517"/>
        <v>-5.2210325613742281E-2</v>
      </c>
      <c r="Z130" s="42">
        <f t="shared" ca="1" si="518"/>
        <v>5.5063141108770758E-3</v>
      </c>
      <c r="AA130" s="42">
        <f t="shared" ca="1" si="601"/>
        <v>-5.8332466042290594E-3</v>
      </c>
      <c r="AB130" s="42">
        <f t="shared" ca="1" si="519"/>
        <v>7.2506926306146108E-2</v>
      </c>
      <c r="AC130" s="42">
        <f t="shared" ca="1" si="520"/>
        <v>-2.6335711125539171E-2</v>
      </c>
      <c r="AD130" s="42">
        <f t="shared" ca="1" si="616"/>
        <v>-1570.5388971042396</v>
      </c>
      <c r="AF130" s="36">
        <f t="shared" si="617"/>
        <v>80</v>
      </c>
      <c r="AG130" s="35">
        <f t="shared" si="602"/>
        <v>0.28399999999999997</v>
      </c>
      <c r="AH130" s="197">
        <f t="shared" si="626"/>
        <v>169.23611111111677</v>
      </c>
      <c r="AI130" s="41">
        <f t="shared" si="603"/>
        <v>0.46366057838662128</v>
      </c>
      <c r="AJ130" s="40">
        <f t="shared" ca="1" si="521"/>
        <v>0.22314355131420976</v>
      </c>
      <c r="AK130" s="40">
        <f t="shared" si="522"/>
        <v>2.5189751902588361E-2</v>
      </c>
      <c r="AL130" s="40">
        <f t="shared" si="523"/>
        <v>0.19338305926412305</v>
      </c>
      <c r="AM130" s="42">
        <f t="shared" ca="1" si="524"/>
        <v>1.2841523149017098</v>
      </c>
      <c r="AN130" s="42">
        <f t="shared" ca="1" si="525"/>
        <v>1.0907692556375868</v>
      </c>
      <c r="AO130" s="42">
        <f t="shared" ca="1" si="526"/>
        <v>0.90045566687044465</v>
      </c>
      <c r="AP130" s="42">
        <f t="shared" ca="1" si="527"/>
        <v>9.9544333129555296E-2</v>
      </c>
      <c r="AQ130" s="42">
        <f t="shared" ca="1" si="528"/>
        <v>0.8623127860828611</v>
      </c>
      <c r="AR130" s="42">
        <f t="shared" ca="1" si="529"/>
        <v>0.1376872139171389</v>
      </c>
      <c r="AS130" s="42">
        <f t="shared" si="530"/>
        <v>0.98162450344672281</v>
      </c>
      <c r="AT130" s="42">
        <f t="shared" si="531"/>
        <v>78.529960275737821</v>
      </c>
      <c r="AU130" s="42">
        <f t="shared" si="532"/>
        <v>0.98801719747153338</v>
      </c>
      <c r="AV130" s="42">
        <f t="shared" ca="1" si="533"/>
        <v>98.801719747153342</v>
      </c>
      <c r="AW130" s="42">
        <f t="shared" ca="1" si="534"/>
        <v>0.17491377913312942</v>
      </c>
      <c r="AX130" s="42">
        <f t="shared" ca="1" si="535"/>
        <v>0.97742013510633896</v>
      </c>
      <c r="AY130" s="42">
        <f t="shared" ca="1" si="536"/>
        <v>-9.8351513042835986E-2</v>
      </c>
      <c r="AZ130" s="42">
        <f t="shared" ca="1" si="537"/>
        <v>8.9365543453438848E-3</v>
      </c>
      <c r="BA130" s="42">
        <f t="shared" ca="1" si="604"/>
        <v>-9.3894375691124868E-3</v>
      </c>
      <c r="BB130" s="42">
        <f t="shared" ca="1" si="538"/>
        <v>0.11767619396589561</v>
      </c>
      <c r="BC130" s="42">
        <f t="shared" ca="1" si="539"/>
        <v>-5.0133631274341992E-2</v>
      </c>
      <c r="BD130" s="42">
        <f t="shared" ca="1" si="618"/>
        <v>2336.2899324468308</v>
      </c>
      <c r="BE130" s="40"/>
      <c r="BF130" s="36">
        <f t="shared" si="619"/>
        <v>90</v>
      </c>
      <c r="BG130" s="35">
        <f t="shared" si="605"/>
        <v>0.28399999999999997</v>
      </c>
      <c r="BH130" s="197">
        <f t="shared" si="627"/>
        <v>169.23611111111677</v>
      </c>
      <c r="BI130" s="41">
        <f t="shared" si="606"/>
        <v>0.46366057838662128</v>
      </c>
      <c r="BJ130" s="40">
        <f t="shared" ca="1" si="540"/>
        <v>0.10536051565782635</v>
      </c>
      <c r="BK130" s="40">
        <f t="shared" si="541"/>
        <v>2.5189751902588361E-2</v>
      </c>
      <c r="BL130" s="40">
        <f t="shared" si="542"/>
        <v>0.19338305926412305</v>
      </c>
      <c r="BM130" s="42">
        <f t="shared" ca="1" si="543"/>
        <v>0.67508637032217411</v>
      </c>
      <c r="BN130" s="42">
        <f t="shared" ca="1" si="544"/>
        <v>0.48170331105805109</v>
      </c>
      <c r="BO130" s="42">
        <f t="shared" ca="1" si="545"/>
        <v>0.75018955374550389</v>
      </c>
      <c r="BP130" s="42">
        <f t="shared" ca="1" si="546"/>
        <v>0.24981044625449611</v>
      </c>
      <c r="BQ130" s="42">
        <f t="shared" ca="1" si="547"/>
        <v>0.68499163818700204</v>
      </c>
      <c r="BR130" s="42">
        <f t="shared" ca="1" si="548"/>
        <v>0.31500836181299802</v>
      </c>
      <c r="BS130" s="42">
        <f t="shared" si="549"/>
        <v>0.98162450344672281</v>
      </c>
      <c r="BT130" s="42">
        <f t="shared" si="550"/>
        <v>88.34620531020505</v>
      </c>
      <c r="BU130" s="42">
        <f t="shared" si="551"/>
        <v>0.98801719747153338</v>
      </c>
      <c r="BV130" s="42">
        <f t="shared" ca="1" si="552"/>
        <v>98.801719747153342</v>
      </c>
      <c r="BW130" s="42">
        <f t="shared" ca="1" si="553"/>
        <v>0.31764866408365772</v>
      </c>
      <c r="BX130" s="42">
        <f t="shared" ca="1" si="554"/>
        <v>13.603606143362732</v>
      </c>
      <c r="BY130" s="42">
        <f t="shared" ca="1" si="555"/>
        <v>0.741200180464053</v>
      </c>
      <c r="BZ130" s="42">
        <f t="shared" ca="1" si="556"/>
        <v>1.6229050469196756E-2</v>
      </c>
      <c r="CA130" s="42">
        <f t="shared" ca="1" si="607"/>
        <v>-1.928325337022694E-2</v>
      </c>
      <c r="CB130" s="42">
        <f t="shared" ca="1" si="557"/>
        <v>0.21370349433286159</v>
      </c>
      <c r="CC130" s="42">
        <f t="shared" ca="1" si="558"/>
        <v>0.28059074544847734</v>
      </c>
      <c r="CD130" s="42">
        <f t="shared" ca="1" si="620"/>
        <v>-3401.8030716813664</v>
      </c>
      <c r="CE130" s="40"/>
      <c r="CF130" s="36">
        <f t="shared" si="621"/>
        <v>95</v>
      </c>
      <c r="CG130" s="35">
        <f t="shared" si="608"/>
        <v>0.28399999999999997</v>
      </c>
      <c r="CH130" s="197">
        <f t="shared" si="628"/>
        <v>169.23611111111677</v>
      </c>
      <c r="CI130" s="41">
        <f t="shared" si="609"/>
        <v>0.46366057838662128</v>
      </c>
      <c r="CJ130" s="40">
        <f t="shared" ca="1" si="559"/>
        <v>5.1293294387550481E-2</v>
      </c>
      <c r="CK130" s="40">
        <f t="shared" si="560"/>
        <v>2.5189751902588361E-2</v>
      </c>
      <c r="CL130" s="40">
        <f t="shared" si="561"/>
        <v>0.19338305926412305</v>
      </c>
      <c r="CM130" s="42">
        <f t="shared" ca="1" si="562"/>
        <v>0.39550023968582537</v>
      </c>
      <c r="CN130" s="42">
        <f t="shared" ca="1" si="563"/>
        <v>0.20211718042170232</v>
      </c>
      <c r="CO130" s="42">
        <f t="shared" ca="1" si="564"/>
        <v>0.65376312761749411</v>
      </c>
      <c r="CP130" s="42">
        <f t="shared" ca="1" si="565"/>
        <v>0.34623687238250589</v>
      </c>
      <c r="CQ130" s="42">
        <f t="shared" ca="1" si="566"/>
        <v>0.58008744149821512</v>
      </c>
      <c r="CR130" s="42">
        <f t="shared" ca="1" si="567"/>
        <v>0.41991255850178483</v>
      </c>
      <c r="CS130" s="42">
        <f t="shared" si="568"/>
        <v>0.98162450344672281</v>
      </c>
      <c r="CT130" s="42">
        <f t="shared" si="569"/>
        <v>93.254327827438672</v>
      </c>
      <c r="CU130" s="42">
        <f t="shared" si="570"/>
        <v>0.98801719747153338</v>
      </c>
      <c r="CV130" s="42">
        <f t="shared" ca="1" si="571"/>
        <v>98.801719747153342</v>
      </c>
      <c r="CW130" s="42">
        <f t="shared" ca="1" si="572"/>
        <v>0.36892985310459681</v>
      </c>
      <c r="CX130" s="42">
        <f t="shared" ca="1" si="573"/>
        <v>10.497256877831397</v>
      </c>
      <c r="CY130" s="42">
        <f t="shared" ca="1" si="574"/>
        <v>0.64592921315886098</v>
      </c>
      <c r="CZ130" s="42">
        <f t="shared" ca="1" si="575"/>
        <v>1.88490677991675E-2</v>
      </c>
      <c r="DA130" s="42">
        <f t="shared" ca="1" si="610"/>
        <v>-2.2153048453034022E-2</v>
      </c>
      <c r="DB130" s="42">
        <f t="shared" ca="1" si="576"/>
        <v>0.24820377884982223</v>
      </c>
      <c r="DC130" s="42">
        <f t="shared" ca="1" si="577"/>
        <v>0.25082027061557022</v>
      </c>
      <c r="DD130" s="42">
        <f t="shared" ca="1" si="622"/>
        <v>2673.6284389156986</v>
      </c>
      <c r="DE130" s="40"/>
      <c r="DF130" s="36">
        <f t="shared" si="623"/>
        <v>200</v>
      </c>
      <c r="DG130" s="35">
        <f t="shared" si="611"/>
        <v>0.28399999999999997</v>
      </c>
      <c r="DH130" s="197">
        <f t="shared" si="629"/>
        <v>169.23611111111677</v>
      </c>
      <c r="DI130" s="41">
        <f t="shared" si="612"/>
        <v>0.46366057838662128</v>
      </c>
      <c r="DJ130" s="40">
        <f t="shared" ca="1" si="578"/>
        <v>-0.69314718055994529</v>
      </c>
      <c r="DK130" s="40">
        <f t="shared" si="579"/>
        <v>2.5189751902588361E-2</v>
      </c>
      <c r="DL130" s="40">
        <f t="shared" si="580"/>
        <v>0.19338305926412305</v>
      </c>
      <c r="DM130" s="42">
        <f t="shared" ca="1" si="581"/>
        <v>-3.4540638213043215</v>
      </c>
      <c r="DN130" s="42">
        <f t="shared" ca="1" si="582"/>
        <v>-3.6474468805684448</v>
      </c>
      <c r="DO130" s="42">
        <f t="shared" ca="1" si="583"/>
        <v>2.7610333921976012E-4</v>
      </c>
      <c r="DP130" s="42">
        <f t="shared" ca="1" si="584"/>
        <v>0.99972389666078021</v>
      </c>
      <c r="DQ130" s="42">
        <f t="shared" ca="1" si="585"/>
        <v>1.3242952249667027E-4</v>
      </c>
      <c r="DR130" s="42">
        <f t="shared" ca="1" si="586"/>
        <v>0.9998675704775033</v>
      </c>
      <c r="DS130" s="42">
        <f t="shared" si="587"/>
        <v>0.98162450344672281</v>
      </c>
      <c r="DT130" s="42">
        <f t="shared" si="588"/>
        <v>196.32490068934456</v>
      </c>
      <c r="DU130" s="42">
        <f t="shared" si="589"/>
        <v>0.98801719747153338</v>
      </c>
      <c r="DV130" s="42">
        <f t="shared" ca="1" si="590"/>
        <v>98.801719747153342</v>
      </c>
      <c r="DW130" s="42">
        <f t="shared" ca="1" si="591"/>
        <v>1.0238175172802349E-3</v>
      </c>
      <c r="DX130" s="42">
        <f t="shared" si="592"/>
        <v>0</v>
      </c>
      <c r="DY130" s="92">
        <f t="shared" si="593"/>
        <v>0</v>
      </c>
      <c r="DZ130" s="42">
        <f t="shared" si="594"/>
        <v>0</v>
      </c>
      <c r="EA130" s="42">
        <f t="shared" si="613"/>
        <v>0</v>
      </c>
      <c r="EB130" s="42">
        <f t="shared" si="595"/>
        <v>0</v>
      </c>
      <c r="EC130" s="42">
        <f t="shared" si="596"/>
        <v>0</v>
      </c>
      <c r="ED130" s="42">
        <f t="shared" ca="1" si="624"/>
        <v>0</v>
      </c>
      <c r="EE130" s="40"/>
      <c r="EF130" s="120">
        <f t="shared" ca="1" si="630"/>
        <v>100</v>
      </c>
      <c r="EG130" s="42">
        <f t="shared" ca="1" si="597"/>
        <v>37.576402576923556</v>
      </c>
      <c r="EH130" s="36">
        <f t="shared" ca="1" si="614"/>
        <v>37.576402576923556</v>
      </c>
      <c r="EI130" s="36">
        <f t="shared" ca="1" si="631"/>
        <v>-12.228</v>
      </c>
      <c r="EJ130" s="153">
        <f t="shared" ca="1" si="598"/>
        <v>-1</v>
      </c>
      <c r="EK130" s="153" t="str">
        <f t="shared" ca="1" si="632"/>
        <v/>
      </c>
      <c r="EL130" s="153" t="str">
        <f t="shared" ca="1" si="501"/>
        <v/>
      </c>
      <c r="EM130" s="153">
        <f t="shared" ca="1" si="633"/>
        <v>2</v>
      </c>
      <c r="EN130" s="153">
        <f t="shared" ca="1" si="634"/>
        <v>0</v>
      </c>
    </row>
    <row r="131" spans="1:144" x14ac:dyDescent="0.3">
      <c r="A131" s="36">
        <f ca="1">IF($M$22=1,A130+'Auto X'!$E$6,A$48)</f>
        <v>100.5</v>
      </c>
      <c r="B131" s="35">
        <f>IF($M$22=2,B130+'Auto X'!$E$6,B$48)</f>
        <v>0.28399999999999997</v>
      </c>
      <c r="C131" s="39">
        <f>IF($M$22=3,C130+'Auto X'!$E$6,C$48)</f>
        <v>45295.440972222219</v>
      </c>
      <c r="D131" s="35">
        <f>IF($M$22=4,D130+'Auto X'!$E$6,D$48)</f>
        <v>2.5999999999999999E-2</v>
      </c>
      <c r="E131" s="35">
        <f>IF($M$22=5,E130+'Auto X'!$E$6,E$48)</f>
        <v>0.04</v>
      </c>
      <c r="F131" s="36">
        <f t="shared" si="615"/>
        <v>75</v>
      </c>
      <c r="G131" s="35">
        <f t="shared" si="599"/>
        <v>0.28399999999999997</v>
      </c>
      <c r="H131" s="197">
        <f t="shared" si="625"/>
        <v>169.23611111111677</v>
      </c>
      <c r="I131" s="41">
        <f t="shared" si="600"/>
        <v>0.46366057838662128</v>
      </c>
      <c r="J131" s="40">
        <f t="shared" ca="1" si="502"/>
        <v>0.29266961396282004</v>
      </c>
      <c r="K131" s="40">
        <f t="shared" si="503"/>
        <v>2.5189751902588361E-2</v>
      </c>
      <c r="L131" s="40">
        <f t="shared" si="504"/>
        <v>0.19338305926412305</v>
      </c>
      <c r="M131" s="42">
        <f t="shared" ca="1" si="505"/>
        <v>1.6436774093602238</v>
      </c>
      <c r="N131" s="42">
        <f t="shared" ca="1" si="506"/>
        <v>1.4502943500961007</v>
      </c>
      <c r="O131" s="42">
        <f t="shared" ca="1" si="507"/>
        <v>0.94987857264826814</v>
      </c>
      <c r="P131" s="42">
        <f t="shared" ca="1" si="508"/>
        <v>5.0121427351731897E-2</v>
      </c>
      <c r="Q131" s="42">
        <f t="shared" ca="1" si="509"/>
        <v>0.92651177303324606</v>
      </c>
      <c r="R131" s="42">
        <f t="shared" ca="1" si="510"/>
        <v>7.3488226966753945E-2</v>
      </c>
      <c r="S131" s="42">
        <f t="shared" si="511"/>
        <v>0.98162450344672281</v>
      </c>
      <c r="T131" s="42">
        <f t="shared" si="512"/>
        <v>73.621837758504213</v>
      </c>
      <c r="U131" s="42">
        <f t="shared" si="513"/>
        <v>0.98801719747153338</v>
      </c>
      <c r="V131" s="42">
        <f t="shared" ca="1" si="514"/>
        <v>99.295728345889103</v>
      </c>
      <c r="W131" s="42">
        <f t="shared" ca="1" si="515"/>
        <v>0.10333529915976628</v>
      </c>
      <c r="X131" s="42">
        <f t="shared" ca="1" si="516"/>
        <v>0.4334946882807067</v>
      </c>
      <c r="Y131" s="42">
        <f t="shared" ca="1" si="517"/>
        <v>-4.9520832185331175E-2</v>
      </c>
      <c r="Z131" s="42">
        <f t="shared" ca="1" si="518"/>
        <v>5.2532578358512804E-3</v>
      </c>
      <c r="AA131" s="42">
        <f t="shared" ca="1" si="601"/>
        <v>-5.6239904744439361E-3</v>
      </c>
      <c r="AB131" s="42">
        <f t="shared" ca="1" si="519"/>
        <v>6.9868167571202261E-2</v>
      </c>
      <c r="AC131" s="42">
        <f t="shared" ca="1" si="520"/>
        <v>-2.5085605960661273E-2</v>
      </c>
      <c r="AD131" s="42">
        <f t="shared" ca="1" si="616"/>
        <v>-1583.2526558596467</v>
      </c>
      <c r="AF131" s="36">
        <f t="shared" si="617"/>
        <v>80</v>
      </c>
      <c r="AG131" s="35">
        <f t="shared" si="602"/>
        <v>0.28399999999999997</v>
      </c>
      <c r="AH131" s="197">
        <f t="shared" si="626"/>
        <v>169.23611111111677</v>
      </c>
      <c r="AI131" s="41">
        <f t="shared" si="603"/>
        <v>0.46366057838662128</v>
      </c>
      <c r="AJ131" s="40">
        <f t="shared" ca="1" si="521"/>
        <v>0.2281310928252489</v>
      </c>
      <c r="AK131" s="40">
        <f t="shared" si="522"/>
        <v>2.5189751902588361E-2</v>
      </c>
      <c r="AL131" s="40">
        <f t="shared" si="523"/>
        <v>0.19338305926412305</v>
      </c>
      <c r="AM131" s="42">
        <f t="shared" ca="1" si="524"/>
        <v>1.3099433098834736</v>
      </c>
      <c r="AN131" s="42">
        <f t="shared" ca="1" si="525"/>
        <v>1.1165602506193506</v>
      </c>
      <c r="AO131" s="42">
        <f t="shared" ca="1" si="526"/>
        <v>0.90489249289911455</v>
      </c>
      <c r="AP131" s="42">
        <f t="shared" ca="1" si="527"/>
        <v>9.5107507100885405E-2</v>
      </c>
      <c r="AQ131" s="42">
        <f t="shared" ca="1" si="528"/>
        <v>0.86790880236206525</v>
      </c>
      <c r="AR131" s="42">
        <f t="shared" ca="1" si="529"/>
        <v>0.13209119763793473</v>
      </c>
      <c r="AS131" s="42">
        <f t="shared" si="530"/>
        <v>0.98162450344672281</v>
      </c>
      <c r="AT131" s="42">
        <f t="shared" si="531"/>
        <v>78.529960275737821</v>
      </c>
      <c r="AU131" s="42">
        <f t="shared" si="532"/>
        <v>0.98801719747153338</v>
      </c>
      <c r="AV131" s="42">
        <f t="shared" ca="1" si="533"/>
        <v>99.295728345889103</v>
      </c>
      <c r="AW131" s="42">
        <f t="shared" ca="1" si="534"/>
        <v>0.16915932262025637</v>
      </c>
      <c r="AX131" s="42">
        <f t="shared" ca="1" si="535"/>
        <v>0.92934731453741115</v>
      </c>
      <c r="AY131" s="42">
        <f t="shared" ca="1" si="536"/>
        <v>-9.3967852624320794E-2</v>
      </c>
      <c r="AZ131" s="42">
        <f t="shared" ca="1" si="537"/>
        <v>8.5995545015865073E-3</v>
      </c>
      <c r="BA131" s="42">
        <f t="shared" ca="1" si="604"/>
        <v>-9.1326264719955447E-3</v>
      </c>
      <c r="BB131" s="42">
        <f t="shared" ca="1" si="538"/>
        <v>0.1143738102581003</v>
      </c>
      <c r="BC131" s="42">
        <f t="shared" ca="1" si="539"/>
        <v>-4.8096051975833755E-2</v>
      </c>
      <c r="BD131" s="42">
        <f t="shared" ca="1" si="618"/>
        <v>2360.3263427312945</v>
      </c>
      <c r="BE131" s="40"/>
      <c r="BF131" s="36">
        <f t="shared" si="619"/>
        <v>90</v>
      </c>
      <c r="BG131" s="35">
        <f t="shared" si="605"/>
        <v>0.28399999999999997</v>
      </c>
      <c r="BH131" s="197">
        <f t="shared" si="627"/>
        <v>169.23611111111677</v>
      </c>
      <c r="BI131" s="41">
        <f t="shared" si="606"/>
        <v>0.46366057838662128</v>
      </c>
      <c r="BJ131" s="40">
        <f t="shared" ca="1" si="540"/>
        <v>0.11034805716886541</v>
      </c>
      <c r="BK131" s="40">
        <f t="shared" si="541"/>
        <v>2.5189751902588361E-2</v>
      </c>
      <c r="BL131" s="40">
        <f t="shared" si="542"/>
        <v>0.19338305926412305</v>
      </c>
      <c r="BM131" s="42">
        <f t="shared" ca="1" si="543"/>
        <v>0.70087736530393752</v>
      </c>
      <c r="BN131" s="42">
        <f t="shared" ca="1" si="544"/>
        <v>0.50749430603981449</v>
      </c>
      <c r="BO131" s="42">
        <f t="shared" ca="1" si="545"/>
        <v>0.75831022439888418</v>
      </c>
      <c r="BP131" s="42">
        <f t="shared" ca="1" si="546"/>
        <v>0.24168977560111587</v>
      </c>
      <c r="BQ131" s="42">
        <f t="shared" ca="1" si="547"/>
        <v>0.69409598471474632</v>
      </c>
      <c r="BR131" s="42">
        <f t="shared" ca="1" si="548"/>
        <v>0.30590401528525368</v>
      </c>
      <c r="BS131" s="42">
        <f t="shared" si="549"/>
        <v>0.98162450344672281</v>
      </c>
      <c r="BT131" s="42">
        <f t="shared" si="550"/>
        <v>88.34620531020505</v>
      </c>
      <c r="BU131" s="42">
        <f t="shared" si="551"/>
        <v>0.98801719747153338</v>
      </c>
      <c r="BV131" s="42">
        <f t="shared" ca="1" si="552"/>
        <v>99.295728345889103</v>
      </c>
      <c r="BW131" s="42">
        <f t="shared" ca="1" si="553"/>
        <v>0.31206209959877418</v>
      </c>
      <c r="BX131" s="42">
        <f t="shared" ca="1" si="554"/>
        <v>13.976219673223888</v>
      </c>
      <c r="BY131" s="42">
        <f t="shared" ca="1" si="555"/>
        <v>0.74922354272459513</v>
      </c>
      <c r="BZ131" s="42">
        <f t="shared" ca="1" si="556"/>
        <v>1.5864304679225658E-2</v>
      </c>
      <c r="CA131" s="42">
        <f t="shared" ca="1" si="607"/>
        <v>-1.9060282302884462E-2</v>
      </c>
      <c r="CB131" s="42">
        <f t="shared" ca="1" si="557"/>
        <v>0.21099476408036055</v>
      </c>
      <c r="CC131" s="42">
        <f t="shared" ca="1" si="558"/>
        <v>0.28432012729290745</v>
      </c>
      <c r="CD131" s="42">
        <f t="shared" ca="1" si="620"/>
        <v>-3588.109836611944</v>
      </c>
      <c r="CE131" s="40"/>
      <c r="CF131" s="36">
        <f t="shared" si="621"/>
        <v>95</v>
      </c>
      <c r="CG131" s="35">
        <f t="shared" si="608"/>
        <v>0.28399999999999997</v>
      </c>
      <c r="CH131" s="197">
        <f t="shared" si="628"/>
        <v>169.23611111111677</v>
      </c>
      <c r="CI131" s="41">
        <f t="shared" si="609"/>
        <v>0.46366057838662128</v>
      </c>
      <c r="CJ131" s="40">
        <f t="shared" ca="1" si="559"/>
        <v>5.6280835898589565E-2</v>
      </c>
      <c r="CK131" s="40">
        <f t="shared" si="560"/>
        <v>2.5189751902588361E-2</v>
      </c>
      <c r="CL131" s="40">
        <f t="shared" si="561"/>
        <v>0.19338305926412305</v>
      </c>
      <c r="CM131" s="42">
        <f t="shared" ca="1" si="562"/>
        <v>0.42129123466758894</v>
      </c>
      <c r="CN131" s="42">
        <f t="shared" ca="1" si="563"/>
        <v>0.22790817540346589</v>
      </c>
      <c r="CO131" s="42">
        <f t="shared" ca="1" si="564"/>
        <v>0.66322878498001014</v>
      </c>
      <c r="CP131" s="42">
        <f t="shared" ca="1" si="565"/>
        <v>0.33677121501998986</v>
      </c>
      <c r="CQ131" s="42">
        <f t="shared" ca="1" si="566"/>
        <v>0.59014118654129</v>
      </c>
      <c r="CR131" s="42">
        <f t="shared" ca="1" si="567"/>
        <v>0.40985881345871</v>
      </c>
      <c r="CS131" s="42">
        <f t="shared" si="568"/>
        <v>0.98162450344672281</v>
      </c>
      <c r="CT131" s="42">
        <f t="shared" si="569"/>
        <v>93.254327827438672</v>
      </c>
      <c r="CU131" s="42">
        <f t="shared" si="570"/>
        <v>0.98801719747153338</v>
      </c>
      <c r="CV131" s="42">
        <f t="shared" ca="1" si="571"/>
        <v>99.295728345889103</v>
      </c>
      <c r="CW131" s="42">
        <f t="shared" ca="1" si="572"/>
        <v>0.36506433326563287</v>
      </c>
      <c r="CX131" s="42">
        <f t="shared" ca="1" si="573"/>
        <v>10.822565590354088</v>
      </c>
      <c r="CY131" s="42">
        <f t="shared" ca="1" si="574"/>
        <v>0.65528144541839983</v>
      </c>
      <c r="CZ131" s="42">
        <f t="shared" ca="1" si="575"/>
        <v>1.8558779864298276E-2</v>
      </c>
      <c r="DA131" s="42">
        <f t="shared" ca="1" si="610"/>
        <v>-2.2050668687175527E-2</v>
      </c>
      <c r="DB131" s="42">
        <f t="shared" ca="1" si="576"/>
        <v>0.24683120113134971</v>
      </c>
      <c r="DC131" s="42">
        <f t="shared" ca="1" si="577"/>
        <v>0.25516734464615287</v>
      </c>
      <c r="DD131" s="42">
        <f t="shared" ca="1" si="622"/>
        <v>2836.2827951770441</v>
      </c>
      <c r="DE131" s="40"/>
      <c r="DF131" s="36">
        <f t="shared" si="623"/>
        <v>200</v>
      </c>
      <c r="DG131" s="35">
        <f t="shared" si="611"/>
        <v>0.28399999999999997</v>
      </c>
      <c r="DH131" s="197">
        <f t="shared" si="629"/>
        <v>169.23611111111677</v>
      </c>
      <c r="DI131" s="41">
        <f t="shared" si="612"/>
        <v>0.46366057838662128</v>
      </c>
      <c r="DJ131" s="40">
        <f t="shared" ca="1" si="578"/>
        <v>-0.68815963904890631</v>
      </c>
      <c r="DK131" s="40">
        <f t="shared" si="579"/>
        <v>2.5189751902588361E-2</v>
      </c>
      <c r="DL131" s="40">
        <f t="shared" si="580"/>
        <v>0.19338305926412305</v>
      </c>
      <c r="DM131" s="42">
        <f t="shared" ca="1" si="581"/>
        <v>-3.4282728263225586</v>
      </c>
      <c r="DN131" s="42">
        <f t="shared" ca="1" si="582"/>
        <v>-3.6216558855866818</v>
      </c>
      <c r="DO131" s="42">
        <f t="shared" ca="1" si="583"/>
        <v>3.0371733901699965E-4</v>
      </c>
      <c r="DP131" s="42">
        <f t="shared" ca="1" si="584"/>
        <v>0.99969628266098298</v>
      </c>
      <c r="DQ131" s="42">
        <f t="shared" ca="1" si="585"/>
        <v>1.463616658134208E-4</v>
      </c>
      <c r="DR131" s="42">
        <f t="shared" ca="1" si="586"/>
        <v>0.99985363833418661</v>
      </c>
      <c r="DS131" s="42">
        <f t="shared" si="587"/>
        <v>0.98162450344672281</v>
      </c>
      <c r="DT131" s="42">
        <f t="shared" si="588"/>
        <v>196.32490068934456</v>
      </c>
      <c r="DU131" s="42">
        <f t="shared" si="589"/>
        <v>0.98801719747153338</v>
      </c>
      <c r="DV131" s="42">
        <f t="shared" ca="1" si="590"/>
        <v>99.295728345889103</v>
      </c>
      <c r="DW131" s="42">
        <f t="shared" ca="1" si="591"/>
        <v>1.1188366721585922E-3</v>
      </c>
      <c r="DX131" s="42">
        <f t="shared" si="592"/>
        <v>0</v>
      </c>
      <c r="DY131" s="92">
        <f t="shared" si="593"/>
        <v>0</v>
      </c>
      <c r="DZ131" s="42">
        <f t="shared" si="594"/>
        <v>0</v>
      </c>
      <c r="EA131" s="42">
        <f t="shared" si="613"/>
        <v>0</v>
      </c>
      <c r="EB131" s="42">
        <f t="shared" si="595"/>
        <v>0</v>
      </c>
      <c r="EC131" s="42">
        <f t="shared" si="596"/>
        <v>0</v>
      </c>
      <c r="ED131" s="42">
        <f t="shared" ca="1" si="624"/>
        <v>0</v>
      </c>
      <c r="EE131" s="40"/>
      <c r="EF131" s="120">
        <f t="shared" ca="1" si="630"/>
        <v>100.5</v>
      </c>
      <c r="EG131" s="42">
        <f t="shared" ca="1" si="597"/>
        <v>25.246645436747713</v>
      </c>
      <c r="EH131" s="36">
        <f t="shared" ca="1" si="614"/>
        <v>25.246645436747713</v>
      </c>
      <c r="EI131" s="36">
        <f t="shared" ca="1" si="631"/>
        <v>-12.33</v>
      </c>
      <c r="EJ131" s="153">
        <f t="shared" ca="1" si="598"/>
        <v>-1</v>
      </c>
      <c r="EK131" s="153" t="str">
        <f t="shared" ca="1" si="632"/>
        <v/>
      </c>
      <c r="EL131" s="153" t="str">
        <f t="shared" ca="1" si="501"/>
        <v/>
      </c>
      <c r="EM131" s="153">
        <f t="shared" ca="1" si="633"/>
        <v>2</v>
      </c>
      <c r="EN131" s="153">
        <f t="shared" ca="1" si="634"/>
        <v>0</v>
      </c>
    </row>
    <row r="132" spans="1:144" x14ac:dyDescent="0.3">
      <c r="A132" s="36">
        <f ca="1">IF($M$22=1,A131+'Auto X'!$E$6,A$48)</f>
        <v>101</v>
      </c>
      <c r="B132" s="35">
        <f>IF($M$22=2,B131+'Auto X'!$E$6,B$48)</f>
        <v>0.28399999999999997</v>
      </c>
      <c r="C132" s="39">
        <f>IF($M$22=3,C131+'Auto X'!$E$6,C$48)</f>
        <v>45295.440972222219</v>
      </c>
      <c r="D132" s="35">
        <f>IF($M$22=4,D131+'Auto X'!$E$6,D$48)</f>
        <v>2.5999999999999999E-2</v>
      </c>
      <c r="E132" s="35">
        <f>IF($M$22=5,E131+'Auto X'!$E$6,E$48)</f>
        <v>0.04</v>
      </c>
      <c r="F132" s="36">
        <f t="shared" si="615"/>
        <v>75</v>
      </c>
      <c r="G132" s="35">
        <f t="shared" si="599"/>
        <v>0.28399999999999997</v>
      </c>
      <c r="H132" s="197">
        <f t="shared" si="625"/>
        <v>169.23611111111677</v>
      </c>
      <c r="I132" s="41">
        <f t="shared" si="600"/>
        <v>0.46366057838662128</v>
      </c>
      <c r="J132" s="40">
        <f t="shared" ca="1" si="502"/>
        <v>0.297632403304949</v>
      </c>
      <c r="K132" s="40">
        <f t="shared" si="503"/>
        <v>2.5189751902588361E-2</v>
      </c>
      <c r="L132" s="40">
        <f t="shared" si="504"/>
        <v>0.19338305926412305</v>
      </c>
      <c r="M132" s="42">
        <f t="shared" ca="1" si="505"/>
        <v>1.6693404088029558</v>
      </c>
      <c r="N132" s="42">
        <f t="shared" ca="1" si="506"/>
        <v>1.4759573495388327</v>
      </c>
      <c r="O132" s="42">
        <f t="shared" ca="1" si="507"/>
        <v>0.95247503188172256</v>
      </c>
      <c r="P132" s="42">
        <f t="shared" ca="1" si="508"/>
        <v>4.75249681182775E-2</v>
      </c>
      <c r="Q132" s="42">
        <f t="shared" ca="1" si="509"/>
        <v>0.93002232888152114</v>
      </c>
      <c r="R132" s="42">
        <f t="shared" ca="1" si="510"/>
        <v>6.9977671118478899E-2</v>
      </c>
      <c r="S132" s="42">
        <f t="shared" si="511"/>
        <v>0.98162450344672281</v>
      </c>
      <c r="T132" s="42">
        <f t="shared" si="512"/>
        <v>73.621837758504213</v>
      </c>
      <c r="U132" s="42">
        <f t="shared" si="513"/>
        <v>0.98801719747153338</v>
      </c>
      <c r="V132" s="42">
        <f t="shared" ca="1" si="514"/>
        <v>99.789736944624877</v>
      </c>
      <c r="W132" s="42">
        <f t="shared" ca="1" si="515"/>
        <v>9.9034477347833633E-2</v>
      </c>
      <c r="X132" s="42">
        <f t="shared" ca="1" si="516"/>
        <v>0.40938068297802399</v>
      </c>
      <c r="Y132" s="42">
        <f t="shared" ca="1" si="517"/>
        <v>-4.6955485810144457E-2</v>
      </c>
      <c r="Z132" s="42">
        <f t="shared" ca="1" si="518"/>
        <v>5.0096930600329204E-3</v>
      </c>
      <c r="AA132" s="42">
        <f t="shared" ca="1" si="601"/>
        <v>-5.4195806691565403E-3</v>
      </c>
      <c r="AB132" s="42">
        <f t="shared" ca="1" si="519"/>
        <v>6.729338550505494E-2</v>
      </c>
      <c r="AC132" s="42">
        <f t="shared" ca="1" si="520"/>
        <v>-2.3887258628746962E-2</v>
      </c>
      <c r="AD132" s="42">
        <f t="shared" ca="1" si="616"/>
        <v>-1595.3096585109881</v>
      </c>
      <c r="AF132" s="36">
        <f t="shared" si="617"/>
        <v>80</v>
      </c>
      <c r="AG132" s="35">
        <f t="shared" si="602"/>
        <v>0.28399999999999997</v>
      </c>
      <c r="AH132" s="197">
        <f t="shared" si="626"/>
        <v>169.23611111111677</v>
      </c>
      <c r="AI132" s="41">
        <f t="shared" si="603"/>
        <v>0.46366057838662128</v>
      </c>
      <c r="AJ132" s="40">
        <f t="shared" ca="1" si="521"/>
        <v>0.23309388216737781</v>
      </c>
      <c r="AK132" s="40">
        <f t="shared" si="522"/>
        <v>2.5189751902588361E-2</v>
      </c>
      <c r="AL132" s="40">
        <f t="shared" si="523"/>
        <v>0.19338305926412305</v>
      </c>
      <c r="AM132" s="42">
        <f t="shared" ca="1" si="524"/>
        <v>1.3356063093262052</v>
      </c>
      <c r="AN132" s="42">
        <f t="shared" ca="1" si="525"/>
        <v>1.1422232500620821</v>
      </c>
      <c r="AO132" s="42">
        <f t="shared" ca="1" si="526"/>
        <v>0.90916100658981747</v>
      </c>
      <c r="AP132" s="42">
        <f t="shared" ca="1" si="527"/>
        <v>9.0838993410182506E-2</v>
      </c>
      <c r="AQ132" s="42">
        <f t="shared" ca="1" si="528"/>
        <v>0.87331938296868739</v>
      </c>
      <c r="AR132" s="42">
        <f t="shared" ca="1" si="529"/>
        <v>0.12668061703131259</v>
      </c>
      <c r="AS132" s="42">
        <f t="shared" si="530"/>
        <v>0.98162450344672281</v>
      </c>
      <c r="AT132" s="42">
        <f t="shared" si="531"/>
        <v>78.529960275737821</v>
      </c>
      <c r="AU132" s="42">
        <f t="shared" si="532"/>
        <v>0.98801719747153338</v>
      </c>
      <c r="AV132" s="42">
        <f t="shared" ca="1" si="533"/>
        <v>99.789736944624877</v>
      </c>
      <c r="AW132" s="42">
        <f t="shared" ca="1" si="534"/>
        <v>0.16351335010486412</v>
      </c>
      <c r="AX132" s="42">
        <f t="shared" ca="1" si="535"/>
        <v>0.88342456645830758</v>
      </c>
      <c r="AY132" s="42">
        <f t="shared" ca="1" si="536"/>
        <v>-8.9750487690263642E-2</v>
      </c>
      <c r="AZ132" s="42">
        <f t="shared" ca="1" si="537"/>
        <v>8.2713789902278904E-3</v>
      </c>
      <c r="BA132" s="42">
        <f t="shared" ca="1" si="604"/>
        <v>-8.8780404095403793E-3</v>
      </c>
      <c r="BB132" s="42">
        <f t="shared" ca="1" si="538"/>
        <v>0.11110642675664442</v>
      </c>
      <c r="BC132" s="42">
        <f t="shared" ca="1" si="539"/>
        <v>-4.6125992117728547E-2</v>
      </c>
      <c r="BD132" s="42">
        <f t="shared" ca="1" si="618"/>
        <v>2383.2877167708466</v>
      </c>
      <c r="BE132" s="40"/>
      <c r="BF132" s="36">
        <f t="shared" si="619"/>
        <v>90</v>
      </c>
      <c r="BG132" s="35">
        <f t="shared" si="605"/>
        <v>0.28399999999999997</v>
      </c>
      <c r="BH132" s="197">
        <f t="shared" si="627"/>
        <v>169.23611111111677</v>
      </c>
      <c r="BI132" s="41">
        <f t="shared" si="606"/>
        <v>0.46366057838662128</v>
      </c>
      <c r="BJ132" s="40">
        <f t="shared" ca="1" si="540"/>
        <v>0.11531084651099439</v>
      </c>
      <c r="BK132" s="40">
        <f t="shared" si="541"/>
        <v>2.5189751902588361E-2</v>
      </c>
      <c r="BL132" s="40">
        <f t="shared" si="542"/>
        <v>0.19338305926412305</v>
      </c>
      <c r="BM132" s="42">
        <f t="shared" ca="1" si="543"/>
        <v>0.72654036474666939</v>
      </c>
      <c r="BN132" s="42">
        <f t="shared" ca="1" si="544"/>
        <v>0.53315730548254636</v>
      </c>
      <c r="BO132" s="42">
        <f t="shared" ca="1" si="545"/>
        <v>0.76624621412713356</v>
      </c>
      <c r="BP132" s="42">
        <f t="shared" ca="1" si="546"/>
        <v>0.23375378587286647</v>
      </c>
      <c r="BQ132" s="42">
        <f t="shared" ca="1" si="547"/>
        <v>0.70303765341389934</v>
      </c>
      <c r="BR132" s="42">
        <f t="shared" ca="1" si="548"/>
        <v>0.29696234658610066</v>
      </c>
      <c r="BS132" s="42">
        <f t="shared" si="549"/>
        <v>0.98162450344672281</v>
      </c>
      <c r="BT132" s="42">
        <f t="shared" si="550"/>
        <v>88.34620531020505</v>
      </c>
      <c r="BU132" s="42">
        <f t="shared" si="551"/>
        <v>0.98801719747153338</v>
      </c>
      <c r="BV132" s="42">
        <f t="shared" ca="1" si="552"/>
        <v>99.789736944624877</v>
      </c>
      <c r="BW132" s="42">
        <f t="shared" ca="1" si="553"/>
        <v>0.30639842422191765</v>
      </c>
      <c r="BX132" s="42">
        <f t="shared" ca="1" si="554"/>
        <v>14.352799273252238</v>
      </c>
      <c r="BY132" s="42">
        <f t="shared" ca="1" si="555"/>
        <v>0.75706443705506299</v>
      </c>
      <c r="BZ132" s="42">
        <f t="shared" ca="1" si="556"/>
        <v>1.5499269552747739E-2</v>
      </c>
      <c r="CA132" s="42">
        <f t="shared" ca="1" si="607"/>
        <v>-1.8828927483137105E-2</v>
      </c>
      <c r="CB132" s="42">
        <f t="shared" ca="1" si="557"/>
        <v>0.20819605284419565</v>
      </c>
      <c r="CC132" s="42">
        <f t="shared" ca="1" si="558"/>
        <v>0.28798287198346917</v>
      </c>
      <c r="CD132" s="42">
        <f t="shared" ca="1" si="620"/>
        <v>-3776.399636626119</v>
      </c>
      <c r="CE132" s="40"/>
      <c r="CF132" s="36">
        <f t="shared" si="621"/>
        <v>95</v>
      </c>
      <c r="CG132" s="35">
        <f t="shared" si="608"/>
        <v>0.28399999999999997</v>
      </c>
      <c r="CH132" s="197">
        <f t="shared" si="628"/>
        <v>169.23611111111677</v>
      </c>
      <c r="CI132" s="41">
        <f t="shared" si="609"/>
        <v>0.46366057838662128</v>
      </c>
      <c r="CJ132" s="40">
        <f t="shared" ca="1" si="559"/>
        <v>6.1243625240718594E-2</v>
      </c>
      <c r="CK132" s="40">
        <f t="shared" si="560"/>
        <v>2.5189751902588361E-2</v>
      </c>
      <c r="CL132" s="40">
        <f t="shared" si="561"/>
        <v>0.19338305926412305</v>
      </c>
      <c r="CM132" s="42">
        <f t="shared" ca="1" si="562"/>
        <v>0.44695423411032109</v>
      </c>
      <c r="CN132" s="42">
        <f t="shared" ca="1" si="563"/>
        <v>0.25357117484619807</v>
      </c>
      <c r="CO132" s="42">
        <f t="shared" ca="1" si="564"/>
        <v>0.67254594783131016</v>
      </c>
      <c r="CP132" s="42">
        <f t="shared" ca="1" si="565"/>
        <v>0.32745405216868984</v>
      </c>
      <c r="CQ132" s="42">
        <f t="shared" ca="1" si="566"/>
        <v>0.60008656597444754</v>
      </c>
      <c r="CR132" s="42">
        <f t="shared" ca="1" si="567"/>
        <v>0.39991343402555246</v>
      </c>
      <c r="CS132" s="42">
        <f t="shared" si="568"/>
        <v>0.98162450344672281</v>
      </c>
      <c r="CT132" s="42">
        <f t="shared" si="569"/>
        <v>93.254327827438672</v>
      </c>
      <c r="CU132" s="42">
        <f t="shared" si="570"/>
        <v>0.98801719747153338</v>
      </c>
      <c r="CV132" s="42">
        <f t="shared" ca="1" si="571"/>
        <v>99.789736944624877</v>
      </c>
      <c r="CW132" s="42">
        <f t="shared" ca="1" si="572"/>
        <v>0.36101976303470057</v>
      </c>
      <c r="CX132" s="42">
        <f t="shared" ca="1" si="573"/>
        <v>11.15251386903681</v>
      </c>
      <c r="CY132" s="42">
        <f t="shared" ca="1" si="574"/>
        <v>0.66448696254712714</v>
      </c>
      <c r="CZ132" s="42">
        <f t="shared" ca="1" si="575"/>
        <v>1.8262308741807398E-2</v>
      </c>
      <c r="DA132" s="42">
        <f t="shared" ca="1" si="610"/>
        <v>-2.1935180382057849E-2</v>
      </c>
      <c r="DB132" s="42">
        <f t="shared" ca="1" si="576"/>
        <v>0.24531095371473804</v>
      </c>
      <c r="DC132" s="42">
        <f t="shared" ca="1" si="577"/>
        <v>0.25946756316899561</v>
      </c>
      <c r="DD132" s="42">
        <f t="shared" ca="1" si="622"/>
        <v>3001.2569345184047</v>
      </c>
      <c r="DE132" s="40"/>
      <c r="DF132" s="36">
        <f t="shared" si="623"/>
        <v>200</v>
      </c>
      <c r="DG132" s="35">
        <f t="shared" si="611"/>
        <v>0.28399999999999997</v>
      </c>
      <c r="DH132" s="197">
        <f t="shared" si="629"/>
        <v>169.23611111111677</v>
      </c>
      <c r="DI132" s="41">
        <f t="shared" si="612"/>
        <v>0.46366057838662128</v>
      </c>
      <c r="DJ132" s="40">
        <f t="shared" ca="1" si="578"/>
        <v>-0.68319684970677719</v>
      </c>
      <c r="DK132" s="40">
        <f t="shared" si="579"/>
        <v>2.5189751902588361E-2</v>
      </c>
      <c r="DL132" s="40">
        <f t="shared" si="580"/>
        <v>0.19338305926412305</v>
      </c>
      <c r="DM132" s="42">
        <f t="shared" ca="1" si="581"/>
        <v>-3.4026098268798259</v>
      </c>
      <c r="DN132" s="42">
        <f t="shared" ca="1" si="582"/>
        <v>-3.5959928861439492</v>
      </c>
      <c r="DO132" s="42">
        <f t="shared" ca="1" si="583"/>
        <v>3.3372761639477422E-4</v>
      </c>
      <c r="DP132" s="42">
        <f t="shared" ca="1" si="584"/>
        <v>0.99966627238360528</v>
      </c>
      <c r="DQ132" s="42">
        <f t="shared" ca="1" si="585"/>
        <v>1.6157831509030308E-4</v>
      </c>
      <c r="DR132" s="42">
        <f t="shared" ca="1" si="586"/>
        <v>0.99983842168490966</v>
      </c>
      <c r="DS132" s="42">
        <f t="shared" si="587"/>
        <v>0.98162450344672281</v>
      </c>
      <c r="DT132" s="42">
        <f t="shared" si="588"/>
        <v>196.32490068934456</v>
      </c>
      <c r="DU132" s="42">
        <f t="shared" si="589"/>
        <v>0.98801719747153338</v>
      </c>
      <c r="DV132" s="42">
        <f t="shared" ca="1" si="590"/>
        <v>99.789736944624877</v>
      </c>
      <c r="DW132" s="42">
        <f t="shared" ca="1" si="591"/>
        <v>1.2213293892197096E-3</v>
      </c>
      <c r="DX132" s="42">
        <f t="shared" si="592"/>
        <v>0</v>
      </c>
      <c r="DY132" s="92">
        <f t="shared" si="593"/>
        <v>0</v>
      </c>
      <c r="DZ132" s="42">
        <f t="shared" si="594"/>
        <v>0</v>
      </c>
      <c r="EA132" s="42">
        <f t="shared" si="613"/>
        <v>0</v>
      </c>
      <c r="EB132" s="42">
        <f t="shared" si="595"/>
        <v>0</v>
      </c>
      <c r="EC132" s="42">
        <f t="shared" si="596"/>
        <v>0</v>
      </c>
      <c r="ED132" s="42">
        <f t="shared" ca="1" si="624"/>
        <v>0</v>
      </c>
      <c r="EE132" s="40"/>
      <c r="EF132" s="120">
        <f t="shared" ca="1" si="630"/>
        <v>101</v>
      </c>
      <c r="EG132" s="42">
        <f t="shared" ca="1" si="597"/>
        <v>12.835356152144413</v>
      </c>
      <c r="EH132" s="36">
        <f t="shared" ca="1" si="614"/>
        <v>12.835356152144413</v>
      </c>
      <c r="EI132" s="36">
        <f t="shared" ca="1" si="631"/>
        <v>-12.411</v>
      </c>
      <c r="EJ132" s="153">
        <f t="shared" ca="1" si="598"/>
        <v>-1</v>
      </c>
      <c r="EK132" s="153" t="str">
        <f t="shared" ca="1" si="632"/>
        <v/>
      </c>
      <c r="EL132" s="153" t="str">
        <f t="shared" ca="1" si="501"/>
        <v/>
      </c>
      <c r="EM132" s="153">
        <f t="shared" ca="1" si="633"/>
        <v>2</v>
      </c>
      <c r="EN132" s="153">
        <f t="shared" ca="1" si="634"/>
        <v>0</v>
      </c>
    </row>
    <row r="133" spans="1:144" x14ac:dyDescent="0.3">
      <c r="A133" s="36">
        <f ca="1">IF($M$22=1,A132+'Auto X'!$E$6,A$48)</f>
        <v>101.5</v>
      </c>
      <c r="B133" s="35">
        <f>IF($M$22=2,B132+'Auto X'!$E$6,B$48)</f>
        <v>0.28399999999999997</v>
      </c>
      <c r="C133" s="39">
        <f>IF($M$22=3,C132+'Auto X'!$E$6,C$48)</f>
        <v>45295.440972222219</v>
      </c>
      <c r="D133" s="35">
        <f>IF($M$22=4,D132+'Auto X'!$E$6,D$48)</f>
        <v>2.5999999999999999E-2</v>
      </c>
      <c r="E133" s="35">
        <f>IF($M$22=5,E132+'Auto X'!$E$6,E$48)</f>
        <v>0.04</v>
      </c>
      <c r="F133" s="36">
        <f t="shared" si="615"/>
        <v>75</v>
      </c>
      <c r="G133" s="35">
        <f t="shared" si="599"/>
        <v>0.28399999999999997</v>
      </c>
      <c r="H133" s="197">
        <f t="shared" si="625"/>
        <v>169.23611111111677</v>
      </c>
      <c r="I133" s="41">
        <f t="shared" si="600"/>
        <v>0.46366057838662128</v>
      </c>
      <c r="J133" s="40">
        <f t="shared" ca="1" si="502"/>
        <v>0.30257068494553152</v>
      </c>
      <c r="K133" s="40">
        <f t="shared" si="503"/>
        <v>2.5189751902588361E-2</v>
      </c>
      <c r="L133" s="40">
        <f t="shared" si="504"/>
        <v>0.19338305926412305</v>
      </c>
      <c r="M133" s="42">
        <f t="shared" ca="1" si="505"/>
        <v>1.6948766768678734</v>
      </c>
      <c r="N133" s="42">
        <f t="shared" ca="1" si="506"/>
        <v>1.5014936176037503</v>
      </c>
      <c r="O133" s="42">
        <f t="shared" ca="1" si="507"/>
        <v>0.95495059109896585</v>
      </c>
      <c r="P133" s="42">
        <f t="shared" ca="1" si="508"/>
        <v>4.5049408901034191E-2</v>
      </c>
      <c r="Q133" s="42">
        <f t="shared" ca="1" si="509"/>
        <v>0.93338603187698743</v>
      </c>
      <c r="R133" s="42">
        <f t="shared" ca="1" si="510"/>
        <v>6.6613968123012554E-2</v>
      </c>
      <c r="S133" s="42">
        <f t="shared" si="511"/>
        <v>0.98162450344672281</v>
      </c>
      <c r="T133" s="42">
        <f t="shared" si="512"/>
        <v>73.621837758504213</v>
      </c>
      <c r="U133" s="42">
        <f t="shared" si="513"/>
        <v>0.98801719747153338</v>
      </c>
      <c r="V133" s="42">
        <f t="shared" ca="1" si="514"/>
        <v>100.28374554336064</v>
      </c>
      <c r="W133" s="42">
        <f t="shared" ca="1" si="515"/>
        <v>9.4870544316036393E-2</v>
      </c>
      <c r="X133" s="42">
        <f t="shared" ca="1" si="516"/>
        <v>0.38651929449248268</v>
      </c>
      <c r="Y133" s="42">
        <f t="shared" ca="1" si="517"/>
        <v>-4.4509590730148908E-2</v>
      </c>
      <c r="Z133" s="42">
        <f t="shared" ca="1" si="518"/>
        <v>4.7754183919872933E-3</v>
      </c>
      <c r="AA133" s="42">
        <f t="shared" ca="1" si="601"/>
        <v>-5.2200823635645639E-3</v>
      </c>
      <c r="AB133" s="42">
        <f t="shared" ca="1" si="519"/>
        <v>6.4783144583356184E-2</v>
      </c>
      <c r="AC133" s="42">
        <f t="shared" ca="1" si="520"/>
        <v>-2.2739040316837787E-2</v>
      </c>
      <c r="AD133" s="42">
        <f t="shared" ca="1" si="616"/>
        <v>-1606.7403527537588</v>
      </c>
      <c r="AF133" s="36">
        <f t="shared" si="617"/>
        <v>80</v>
      </c>
      <c r="AG133" s="35">
        <f t="shared" si="602"/>
        <v>0.28399999999999997</v>
      </c>
      <c r="AH133" s="197">
        <f t="shared" si="626"/>
        <v>169.23611111111677</v>
      </c>
      <c r="AI133" s="41">
        <f t="shared" si="603"/>
        <v>0.46366057838662128</v>
      </c>
      <c r="AJ133" s="40">
        <f t="shared" ca="1" si="521"/>
        <v>0.23803216380796044</v>
      </c>
      <c r="AK133" s="40">
        <f t="shared" si="522"/>
        <v>2.5189751902588361E-2</v>
      </c>
      <c r="AL133" s="40">
        <f t="shared" si="523"/>
        <v>0.19338305926412305</v>
      </c>
      <c r="AM133" s="42">
        <f t="shared" ca="1" si="524"/>
        <v>1.3611425773911234</v>
      </c>
      <c r="AN133" s="42">
        <f t="shared" ca="1" si="525"/>
        <v>1.1677595181270004</v>
      </c>
      <c r="AO133" s="42">
        <f t="shared" ca="1" si="526"/>
        <v>0.91326568169388755</v>
      </c>
      <c r="AP133" s="42">
        <f t="shared" ca="1" si="527"/>
        <v>8.6734318306112418E-2</v>
      </c>
      <c r="AQ133" s="42">
        <f t="shared" ca="1" si="528"/>
        <v>0.87854810926970361</v>
      </c>
      <c r="AR133" s="42">
        <f t="shared" ca="1" si="529"/>
        <v>0.12145189073029636</v>
      </c>
      <c r="AS133" s="42">
        <f t="shared" si="530"/>
        <v>0.98162450344672281</v>
      </c>
      <c r="AT133" s="42">
        <f t="shared" si="531"/>
        <v>78.529960275737821</v>
      </c>
      <c r="AU133" s="42">
        <f t="shared" si="532"/>
        <v>0.98801719747153338</v>
      </c>
      <c r="AV133" s="42">
        <f t="shared" ca="1" si="533"/>
        <v>100.28374554336064</v>
      </c>
      <c r="AW133" s="42">
        <f t="shared" ca="1" si="534"/>
        <v>0.15797901184572863</v>
      </c>
      <c r="AX133" s="42">
        <f t="shared" ca="1" si="535"/>
        <v>0.8395698475763993</v>
      </c>
      <c r="AY133" s="42">
        <f t="shared" ca="1" si="536"/>
        <v>-8.5694998097409131E-2</v>
      </c>
      <c r="AZ133" s="42">
        <f t="shared" ca="1" si="537"/>
        <v>7.9520559743278367E-3</v>
      </c>
      <c r="BA133" s="42">
        <f t="shared" ca="1" si="604"/>
        <v>-8.6259683692664711E-3</v>
      </c>
      <c r="BB133" s="42">
        <f t="shared" ca="1" si="538"/>
        <v>0.10787728940865385</v>
      </c>
      <c r="BC133" s="42">
        <f t="shared" ca="1" si="539"/>
        <v>-4.4222147679657813E-2</v>
      </c>
      <c r="BD133" s="42">
        <f t="shared" ca="1" si="618"/>
        <v>2405.2150762118004</v>
      </c>
      <c r="BE133" s="40"/>
      <c r="BF133" s="36">
        <f t="shared" si="619"/>
        <v>90</v>
      </c>
      <c r="BG133" s="35">
        <f t="shared" si="605"/>
        <v>0.28399999999999997</v>
      </c>
      <c r="BH133" s="197">
        <f t="shared" si="627"/>
        <v>169.23611111111677</v>
      </c>
      <c r="BI133" s="41">
        <f t="shared" si="606"/>
        <v>0.46366057838662128</v>
      </c>
      <c r="BJ133" s="40">
        <f t="shared" ca="1" si="540"/>
        <v>0.12024912815157694</v>
      </c>
      <c r="BK133" s="40">
        <f t="shared" si="541"/>
        <v>2.5189751902588361E-2</v>
      </c>
      <c r="BL133" s="40">
        <f t="shared" si="542"/>
        <v>0.19338305926412305</v>
      </c>
      <c r="BM133" s="42">
        <f t="shared" ca="1" si="543"/>
        <v>0.75207663281158732</v>
      </c>
      <c r="BN133" s="42">
        <f t="shared" ca="1" si="544"/>
        <v>0.5586935735474643</v>
      </c>
      <c r="BO133" s="42">
        <f t="shared" ca="1" si="545"/>
        <v>0.77399751231449732</v>
      </c>
      <c r="BP133" s="42">
        <f t="shared" ca="1" si="546"/>
        <v>0.22600248768550263</v>
      </c>
      <c r="BQ133" s="42">
        <f t="shared" ca="1" si="547"/>
        <v>0.71181456701585832</v>
      </c>
      <c r="BR133" s="42">
        <f t="shared" ca="1" si="548"/>
        <v>0.28818543298414168</v>
      </c>
      <c r="BS133" s="42">
        <f t="shared" si="549"/>
        <v>0.98162450344672281</v>
      </c>
      <c r="BT133" s="42">
        <f t="shared" si="550"/>
        <v>88.34620531020505</v>
      </c>
      <c r="BU133" s="42">
        <f t="shared" si="551"/>
        <v>0.98801719747153338</v>
      </c>
      <c r="BV133" s="42">
        <f t="shared" ca="1" si="552"/>
        <v>100.28374554336064</v>
      </c>
      <c r="BW133" s="42">
        <f t="shared" ca="1" si="553"/>
        <v>0.30066813499766976</v>
      </c>
      <c r="BX133" s="42">
        <f t="shared" ca="1" si="554"/>
        <v>14.733253695763466</v>
      </c>
      <c r="BY133" s="42">
        <f t="shared" ca="1" si="555"/>
        <v>0.76472285296690834</v>
      </c>
      <c r="BZ133" s="42">
        <f t="shared" ca="1" si="556"/>
        <v>1.5134477746531576E-2</v>
      </c>
      <c r="CA133" s="42">
        <f t="shared" ca="1" si="607"/>
        <v>-1.8589724519635878E-2</v>
      </c>
      <c r="CB133" s="42">
        <f t="shared" ca="1" si="557"/>
        <v>0.20531375045425562</v>
      </c>
      <c r="CC133" s="42">
        <f t="shared" ca="1" si="558"/>
        <v>0.29157812861584032</v>
      </c>
      <c r="CD133" s="42">
        <f t="shared" ca="1" si="620"/>
        <v>-3966.6268478817328</v>
      </c>
      <c r="CE133" s="40"/>
      <c r="CF133" s="36">
        <f t="shared" si="621"/>
        <v>95</v>
      </c>
      <c r="CG133" s="35">
        <f t="shared" si="608"/>
        <v>0.28399999999999997</v>
      </c>
      <c r="CH133" s="197">
        <f t="shared" si="628"/>
        <v>169.23611111111677</v>
      </c>
      <c r="CI133" s="41">
        <f t="shared" si="609"/>
        <v>0.46366057838662128</v>
      </c>
      <c r="CJ133" s="40">
        <f t="shared" ca="1" si="559"/>
        <v>6.6181906881301183E-2</v>
      </c>
      <c r="CK133" s="40">
        <f t="shared" si="560"/>
        <v>2.5189751902588361E-2</v>
      </c>
      <c r="CL133" s="40">
        <f t="shared" si="561"/>
        <v>0.19338305926412305</v>
      </c>
      <c r="CM133" s="42">
        <f t="shared" ca="1" si="562"/>
        <v>0.47249050217523919</v>
      </c>
      <c r="CN133" s="42">
        <f t="shared" ca="1" si="563"/>
        <v>0.27910744291111611</v>
      </c>
      <c r="CO133" s="42">
        <f t="shared" ca="1" si="564"/>
        <v>0.681711640255516</v>
      </c>
      <c r="CP133" s="42">
        <f t="shared" ca="1" si="565"/>
        <v>0.318288359744484</v>
      </c>
      <c r="CQ133" s="42">
        <f t="shared" ca="1" si="566"/>
        <v>0.60991881429786921</v>
      </c>
      <c r="CR133" s="42">
        <f t="shared" ca="1" si="567"/>
        <v>0.39008118570213079</v>
      </c>
      <c r="CS133" s="42">
        <f t="shared" si="568"/>
        <v>0.98162450344672281</v>
      </c>
      <c r="CT133" s="42">
        <f t="shared" si="569"/>
        <v>93.254327827438672</v>
      </c>
      <c r="CU133" s="42">
        <f t="shared" si="570"/>
        <v>0.98801719747153338</v>
      </c>
      <c r="CV133" s="42">
        <f t="shared" ca="1" si="571"/>
        <v>100.28374554336064</v>
      </c>
      <c r="CW133" s="42">
        <f t="shared" ca="1" si="572"/>
        <v>0.35680631818067826</v>
      </c>
      <c r="CX133" s="42">
        <f t="shared" ca="1" si="573"/>
        <v>11.487027608674993</v>
      </c>
      <c r="CY133" s="42">
        <f t="shared" ca="1" si="574"/>
        <v>0.67354282428897705</v>
      </c>
      <c r="CZ133" s="42">
        <f t="shared" ca="1" si="575"/>
        <v>1.7960258017927947E-2</v>
      </c>
      <c r="DA133" s="42">
        <f t="shared" ca="1" si="610"/>
        <v>-2.1807003194339036E-2</v>
      </c>
      <c r="DB133" s="42">
        <f t="shared" ca="1" si="576"/>
        <v>0.24364817832131519</v>
      </c>
      <c r="DC133" s="42">
        <f t="shared" ca="1" si="577"/>
        <v>0.26371886566034197</v>
      </c>
      <c r="DD133" s="42">
        <f t="shared" ca="1" si="622"/>
        <v>3168.5138043374959</v>
      </c>
      <c r="DE133" s="40"/>
      <c r="DF133" s="36">
        <f t="shared" si="623"/>
        <v>200</v>
      </c>
      <c r="DG133" s="35">
        <f t="shared" si="611"/>
        <v>0.28399999999999997</v>
      </c>
      <c r="DH133" s="197">
        <f t="shared" si="629"/>
        <v>169.23611111111677</v>
      </c>
      <c r="DI133" s="41">
        <f t="shared" si="612"/>
        <v>0.46366057838662128</v>
      </c>
      <c r="DJ133" s="40">
        <f t="shared" ca="1" si="578"/>
        <v>-0.67825856806619478</v>
      </c>
      <c r="DK133" s="40">
        <f t="shared" si="579"/>
        <v>2.5189751902588361E-2</v>
      </c>
      <c r="DL133" s="40">
        <f t="shared" si="580"/>
        <v>0.19338305926412305</v>
      </c>
      <c r="DM133" s="42">
        <f t="shared" ca="1" si="581"/>
        <v>-3.3770735588149088</v>
      </c>
      <c r="DN133" s="42">
        <f t="shared" ca="1" si="582"/>
        <v>-3.570456618079032</v>
      </c>
      <c r="DO133" s="42">
        <f t="shared" ca="1" si="583"/>
        <v>3.663072754288578E-4</v>
      </c>
      <c r="DP133" s="42">
        <f t="shared" ca="1" si="584"/>
        <v>0.99963369272457114</v>
      </c>
      <c r="DQ133" s="42">
        <f t="shared" ca="1" si="585"/>
        <v>1.7817973636045478E-4</v>
      </c>
      <c r="DR133" s="42">
        <f t="shared" ca="1" si="586"/>
        <v>0.99982182026363953</v>
      </c>
      <c r="DS133" s="42">
        <f t="shared" si="587"/>
        <v>0.98162450344672281</v>
      </c>
      <c r="DT133" s="42">
        <f t="shared" si="588"/>
        <v>196.32490068934456</v>
      </c>
      <c r="DU133" s="42">
        <f t="shared" si="589"/>
        <v>0.98801719747153338</v>
      </c>
      <c r="DV133" s="42">
        <f t="shared" ca="1" si="590"/>
        <v>100.28374554336064</v>
      </c>
      <c r="DW133" s="42">
        <f t="shared" ca="1" si="591"/>
        <v>1.3317632751354061E-3</v>
      </c>
      <c r="DX133" s="42">
        <f t="shared" si="592"/>
        <v>0</v>
      </c>
      <c r="DY133" s="92">
        <f t="shared" si="593"/>
        <v>0</v>
      </c>
      <c r="DZ133" s="42">
        <f t="shared" si="594"/>
        <v>0</v>
      </c>
      <c r="EA133" s="42">
        <f t="shared" si="613"/>
        <v>0</v>
      </c>
      <c r="EB133" s="42">
        <f t="shared" si="595"/>
        <v>0</v>
      </c>
      <c r="EC133" s="42">
        <f t="shared" si="596"/>
        <v>0</v>
      </c>
      <c r="ED133" s="42">
        <f t="shared" ca="1" si="624"/>
        <v>0</v>
      </c>
      <c r="EE133" s="40"/>
      <c r="EF133" s="120">
        <f t="shared" ca="1" si="630"/>
        <v>101.5</v>
      </c>
      <c r="EG133" s="42">
        <f t="shared" ca="1" si="597"/>
        <v>0.36167991380489184</v>
      </c>
      <c r="EH133" s="36">
        <f t="shared" ca="1" si="614"/>
        <v>0.36167991380489184</v>
      </c>
      <c r="EI133" s="36">
        <f t="shared" ca="1" si="631"/>
        <v>-12.474</v>
      </c>
      <c r="EJ133" s="153">
        <f t="shared" ca="1" si="598"/>
        <v>-1</v>
      </c>
      <c r="EK133" s="153" t="str">
        <f t="shared" ca="1" si="632"/>
        <v/>
      </c>
      <c r="EL133" s="153" t="str">
        <f t="shared" ca="1" si="501"/>
        <v/>
      </c>
      <c r="EM133" s="153">
        <f t="shared" ca="1" si="633"/>
        <v>2</v>
      </c>
      <c r="EN133" s="153">
        <f t="shared" ca="1" si="634"/>
        <v>0</v>
      </c>
    </row>
    <row r="134" spans="1:144" x14ac:dyDescent="0.3">
      <c r="A134" s="36">
        <f ca="1">IF($M$22=1,A133+'Auto X'!$E$6,A$48)</f>
        <v>102</v>
      </c>
      <c r="B134" s="35">
        <f>IF($M$22=2,B133+'Auto X'!$E$6,B$48)</f>
        <v>0.28399999999999997</v>
      </c>
      <c r="C134" s="39">
        <f>IF($M$22=3,C133+'Auto X'!$E$6,C$48)</f>
        <v>45295.440972222219</v>
      </c>
      <c r="D134" s="35">
        <f>IF($M$22=4,D133+'Auto X'!$E$6,D$48)</f>
        <v>2.5999999999999999E-2</v>
      </c>
      <c r="E134" s="35">
        <f>IF($M$22=5,E133+'Auto X'!$E$6,E$48)</f>
        <v>0.04</v>
      </c>
      <c r="F134" s="36">
        <f t="shared" si="615"/>
        <v>75</v>
      </c>
      <c r="G134" s="35">
        <f t="shared" si="599"/>
        <v>0.28399999999999997</v>
      </c>
      <c r="H134" s="197">
        <f t="shared" si="625"/>
        <v>169.23611111111677</v>
      </c>
      <c r="I134" s="41">
        <f t="shared" si="600"/>
        <v>0.46366057838662128</v>
      </c>
      <c r="J134" s="40">
        <f t="shared" ca="1" si="502"/>
        <v>0.30748469974796072</v>
      </c>
      <c r="K134" s="40">
        <f t="shared" si="503"/>
        <v>2.5189751902588361E-2</v>
      </c>
      <c r="L134" s="40">
        <f t="shared" si="504"/>
        <v>0.19338305926412305</v>
      </c>
      <c r="M134" s="42">
        <f t="shared" ca="1" si="505"/>
        <v>1.720287459079761</v>
      </c>
      <c r="N134" s="42">
        <f t="shared" ca="1" si="506"/>
        <v>1.526904399815638</v>
      </c>
      <c r="O134" s="42">
        <f t="shared" ca="1" si="507"/>
        <v>0.95730989903792085</v>
      </c>
      <c r="P134" s="42">
        <f t="shared" ca="1" si="508"/>
        <v>4.2690100962079106E-2</v>
      </c>
      <c r="Q134" s="42">
        <f t="shared" ca="1" si="509"/>
        <v>0.93660760732213511</v>
      </c>
      <c r="R134" s="42">
        <f t="shared" ca="1" si="510"/>
        <v>6.3392392677864923E-2</v>
      </c>
      <c r="S134" s="42">
        <f t="shared" si="511"/>
        <v>0.98162450344672281</v>
      </c>
      <c r="T134" s="42">
        <f t="shared" si="512"/>
        <v>73.621837758504213</v>
      </c>
      <c r="U134" s="42">
        <f t="shared" si="513"/>
        <v>0.98801719747153338</v>
      </c>
      <c r="V134" s="42">
        <f t="shared" ca="1" si="514"/>
        <v>100.7777541420964</v>
      </c>
      <c r="W134" s="42">
        <f t="shared" ca="1" si="515"/>
        <v>9.0842049156091537E-2</v>
      </c>
      <c r="X134" s="42">
        <f t="shared" ca="1" si="516"/>
        <v>0.3648519497954803</v>
      </c>
      <c r="Y134" s="42">
        <f t="shared" ca="1" si="517"/>
        <v>-4.2178553912330247E-2</v>
      </c>
      <c r="Z134" s="42">
        <f t="shared" ca="1" si="518"/>
        <v>4.5502245373443117E-3</v>
      </c>
      <c r="AA134" s="42">
        <f t="shared" ca="1" si="601"/>
        <v>-5.0255454419697631E-3</v>
      </c>
      <c r="AB134" s="42">
        <f t="shared" ca="1" si="519"/>
        <v>6.2337830574157829E-2</v>
      </c>
      <c r="AC134" s="42">
        <f t="shared" ca="1" si="520"/>
        <v>-2.1639338017228948E-2</v>
      </c>
      <c r="AD134" s="42">
        <f t="shared" ca="1" si="616"/>
        <v>-1617.5740251022598</v>
      </c>
      <c r="AF134" s="36">
        <f t="shared" si="617"/>
        <v>80</v>
      </c>
      <c r="AG134" s="35">
        <f t="shared" si="602"/>
        <v>0.28399999999999997</v>
      </c>
      <c r="AH134" s="197">
        <f t="shared" si="626"/>
        <v>169.23611111111677</v>
      </c>
      <c r="AI134" s="41">
        <f t="shared" si="603"/>
        <v>0.46366057838662128</v>
      </c>
      <c r="AJ134" s="40">
        <f t="shared" ca="1" si="521"/>
        <v>0.24294617861038939</v>
      </c>
      <c r="AK134" s="40">
        <f t="shared" si="522"/>
        <v>2.5189751902588361E-2</v>
      </c>
      <c r="AL134" s="40">
        <f t="shared" si="523"/>
        <v>0.19338305926412305</v>
      </c>
      <c r="AM134" s="42">
        <f t="shared" ca="1" si="524"/>
        <v>1.3865533596030097</v>
      </c>
      <c r="AN134" s="42">
        <f t="shared" ca="1" si="525"/>
        <v>1.1931703003388867</v>
      </c>
      <c r="AO134" s="42">
        <f t="shared" ca="1" si="526"/>
        <v>0.91721100065215533</v>
      </c>
      <c r="AP134" s="42">
        <f t="shared" ca="1" si="527"/>
        <v>8.278899934784463E-2</v>
      </c>
      <c r="AQ134" s="42">
        <f t="shared" ca="1" si="528"/>
        <v>0.88359865817936267</v>
      </c>
      <c r="AR134" s="42">
        <f t="shared" ca="1" si="529"/>
        <v>0.11640134182063738</v>
      </c>
      <c r="AS134" s="42">
        <f t="shared" si="530"/>
        <v>0.98162450344672281</v>
      </c>
      <c r="AT134" s="42">
        <f t="shared" si="531"/>
        <v>78.529960275737821</v>
      </c>
      <c r="AU134" s="42">
        <f t="shared" si="532"/>
        <v>0.98801719747153338</v>
      </c>
      <c r="AV134" s="42">
        <f t="shared" ca="1" si="533"/>
        <v>100.7777541420964</v>
      </c>
      <c r="AW134" s="42">
        <f t="shared" ca="1" si="534"/>
        <v>0.15255903505679586</v>
      </c>
      <c r="AX134" s="42">
        <f t="shared" ca="1" si="535"/>
        <v>0.79770332726996784</v>
      </c>
      <c r="AY134" s="42">
        <f t="shared" ca="1" si="536"/>
        <v>-8.1796955117130102E-2</v>
      </c>
      <c r="AZ134" s="42">
        <f t="shared" ca="1" si="537"/>
        <v>7.6415918746638549E-3</v>
      </c>
      <c r="BA134" s="42">
        <f t="shared" ca="1" si="604"/>
        <v>-8.3766786672149068E-3</v>
      </c>
      <c r="BB134" s="42">
        <f t="shared" ca="1" si="538"/>
        <v>0.10468939624629577</v>
      </c>
      <c r="BC134" s="42">
        <f t="shared" ca="1" si="539"/>
        <v>-4.2383179851299732E-2</v>
      </c>
      <c r="BD134" s="42">
        <f t="shared" ca="1" si="618"/>
        <v>2426.1483363650163</v>
      </c>
      <c r="BE134" s="40"/>
      <c r="BF134" s="36">
        <f t="shared" si="619"/>
        <v>90</v>
      </c>
      <c r="BG134" s="35">
        <f t="shared" si="605"/>
        <v>0.28399999999999997</v>
      </c>
      <c r="BH134" s="197">
        <f t="shared" si="627"/>
        <v>169.23611111111677</v>
      </c>
      <c r="BI134" s="41">
        <f t="shared" si="606"/>
        <v>0.46366057838662128</v>
      </c>
      <c r="BJ134" s="40">
        <f t="shared" ca="1" si="540"/>
        <v>0.12516314295400599</v>
      </c>
      <c r="BK134" s="40">
        <f t="shared" si="541"/>
        <v>2.5189751902588361E-2</v>
      </c>
      <c r="BL134" s="40">
        <f t="shared" si="542"/>
        <v>0.19338305926412305</v>
      </c>
      <c r="BM134" s="42">
        <f t="shared" ca="1" si="543"/>
        <v>0.77748741502347429</v>
      </c>
      <c r="BN134" s="42">
        <f t="shared" ca="1" si="544"/>
        <v>0.58410435575935127</v>
      </c>
      <c r="BO134" s="42">
        <f t="shared" ca="1" si="545"/>
        <v>0.78156437171436011</v>
      </c>
      <c r="BP134" s="42">
        <f t="shared" ca="1" si="546"/>
        <v>0.21843562828563995</v>
      </c>
      <c r="BQ134" s="42">
        <f t="shared" ca="1" si="547"/>
        <v>0.72042494776068255</v>
      </c>
      <c r="BR134" s="42">
        <f t="shared" ca="1" si="548"/>
        <v>0.27957505223931739</v>
      </c>
      <c r="BS134" s="42">
        <f t="shared" si="549"/>
        <v>0.98162450344672281</v>
      </c>
      <c r="BT134" s="42">
        <f t="shared" si="550"/>
        <v>88.34620531020505</v>
      </c>
      <c r="BU134" s="42">
        <f t="shared" si="551"/>
        <v>0.98801719747153338</v>
      </c>
      <c r="BV134" s="42">
        <f t="shared" ca="1" si="552"/>
        <v>100.7777541420964</v>
      </c>
      <c r="BW134" s="42">
        <f t="shared" ca="1" si="553"/>
        <v>0.29488144833498797</v>
      </c>
      <c r="BX134" s="42">
        <f t="shared" ca="1" si="554"/>
        <v>15.117491753392819</v>
      </c>
      <c r="BY134" s="42">
        <f t="shared" ca="1" si="555"/>
        <v>0.77219904018482188</v>
      </c>
      <c r="BZ134" s="42">
        <f t="shared" ca="1" si="556"/>
        <v>1.4770437416222866E-2</v>
      </c>
      <c r="CA134" s="42">
        <f t="shared" ca="1" si="607"/>
        <v>-1.8343205724141453E-2</v>
      </c>
      <c r="CB134" s="42">
        <f t="shared" ca="1" si="557"/>
        <v>0.2023541954033091</v>
      </c>
      <c r="CC134" s="42">
        <f t="shared" ca="1" si="558"/>
        <v>0.29510516897239114</v>
      </c>
      <c r="CD134" s="42">
        <f t="shared" ca="1" si="620"/>
        <v>-4158.7458766964091</v>
      </c>
      <c r="CE134" s="40"/>
      <c r="CF134" s="36">
        <f t="shared" si="621"/>
        <v>95</v>
      </c>
      <c r="CG134" s="35">
        <f t="shared" si="608"/>
        <v>0.28399999999999997</v>
      </c>
      <c r="CH134" s="197">
        <f t="shared" si="628"/>
        <v>169.23611111111677</v>
      </c>
      <c r="CI134" s="41">
        <f t="shared" si="609"/>
        <v>0.46366057838662128</v>
      </c>
      <c r="CJ134" s="40">
        <f t="shared" ca="1" si="559"/>
        <v>7.1095921683730259E-2</v>
      </c>
      <c r="CK134" s="40">
        <f t="shared" si="560"/>
        <v>2.5189751902588361E-2</v>
      </c>
      <c r="CL134" s="40">
        <f t="shared" si="561"/>
        <v>0.19338305926412305</v>
      </c>
      <c r="CM134" s="42">
        <f t="shared" ca="1" si="562"/>
        <v>0.49790128438712622</v>
      </c>
      <c r="CN134" s="42">
        <f t="shared" ca="1" si="563"/>
        <v>0.30451822512300319</v>
      </c>
      <c r="CO134" s="42">
        <f t="shared" ca="1" si="564"/>
        <v>0.69072318900581442</v>
      </c>
      <c r="CP134" s="42">
        <f t="shared" ca="1" si="565"/>
        <v>0.30927681099418558</v>
      </c>
      <c r="CQ134" s="42">
        <f t="shared" ca="1" si="566"/>
        <v>0.6196334450007237</v>
      </c>
      <c r="CR134" s="42">
        <f t="shared" ca="1" si="567"/>
        <v>0.3803665549992763</v>
      </c>
      <c r="CS134" s="42">
        <f t="shared" si="568"/>
        <v>0.98162450344672281</v>
      </c>
      <c r="CT134" s="42">
        <f t="shared" si="569"/>
        <v>93.254327827438672</v>
      </c>
      <c r="CU134" s="42">
        <f t="shared" si="570"/>
        <v>0.98801719747153338</v>
      </c>
      <c r="CV134" s="42">
        <f t="shared" ca="1" si="571"/>
        <v>100.7777541420964</v>
      </c>
      <c r="CW134" s="42">
        <f t="shared" ca="1" si="572"/>
        <v>0.35243418700188273</v>
      </c>
      <c r="CX134" s="42">
        <f t="shared" ca="1" si="573"/>
        <v>11.826031308930062</v>
      </c>
      <c r="CY134" s="42">
        <f t="shared" ca="1" si="574"/>
        <v>0.68244638943012503</v>
      </c>
      <c r="CZ134" s="42">
        <f t="shared" ca="1" si="575"/>
        <v>1.7653220071460984E-2</v>
      </c>
      <c r="DA134" s="42">
        <f t="shared" ca="1" si="610"/>
        <v>-2.1666570087728002E-2</v>
      </c>
      <c r="DB134" s="42">
        <f t="shared" ca="1" si="576"/>
        <v>0.2418481621887896</v>
      </c>
      <c r="DC134" s="42">
        <f t="shared" ca="1" si="577"/>
        <v>0.26791931222668569</v>
      </c>
      <c r="DD134" s="42">
        <f t="shared" ca="1" si="622"/>
        <v>3338.0156544650308</v>
      </c>
      <c r="DE134" s="40"/>
      <c r="DF134" s="36">
        <f t="shared" si="623"/>
        <v>200</v>
      </c>
      <c r="DG134" s="35">
        <f t="shared" si="611"/>
        <v>0.28399999999999997</v>
      </c>
      <c r="DH134" s="197">
        <f t="shared" si="629"/>
        <v>169.23611111111677</v>
      </c>
      <c r="DI134" s="41">
        <f t="shared" si="612"/>
        <v>0.46366057838662128</v>
      </c>
      <c r="DJ134" s="40">
        <f t="shared" ca="1" si="578"/>
        <v>-0.67334455326376563</v>
      </c>
      <c r="DK134" s="40">
        <f t="shared" si="579"/>
        <v>2.5189751902588361E-2</v>
      </c>
      <c r="DL134" s="40">
        <f t="shared" si="580"/>
        <v>0.19338305926412305</v>
      </c>
      <c r="DM134" s="42">
        <f t="shared" ca="1" si="581"/>
        <v>-3.3516627766030216</v>
      </c>
      <c r="DN134" s="42">
        <f t="shared" ca="1" si="582"/>
        <v>-3.5450458358671448</v>
      </c>
      <c r="DO134" s="42">
        <f t="shared" ca="1" si="583"/>
        <v>4.0163900250331512E-4</v>
      </c>
      <c r="DP134" s="42">
        <f t="shared" ca="1" si="584"/>
        <v>0.99959836099749666</v>
      </c>
      <c r="DQ134" s="42">
        <f t="shared" ca="1" si="585"/>
        <v>1.9627240920649439E-4</v>
      </c>
      <c r="DR134" s="42">
        <f t="shared" ca="1" si="586"/>
        <v>0.9998037275907935</v>
      </c>
      <c r="DS134" s="42">
        <f t="shared" si="587"/>
        <v>0.98162450344672281</v>
      </c>
      <c r="DT134" s="42">
        <f t="shared" si="588"/>
        <v>196.32490068934456</v>
      </c>
      <c r="DU134" s="42">
        <f t="shared" si="589"/>
        <v>0.98801719747153338</v>
      </c>
      <c r="DV134" s="42">
        <f t="shared" ca="1" si="590"/>
        <v>100.7777541420964</v>
      </c>
      <c r="DW134" s="42">
        <f t="shared" ca="1" si="591"/>
        <v>1.4506258177142959E-3</v>
      </c>
      <c r="DX134" s="42">
        <f t="shared" si="592"/>
        <v>0</v>
      </c>
      <c r="DY134" s="92">
        <f t="shared" si="593"/>
        <v>0</v>
      </c>
      <c r="DZ134" s="42">
        <f t="shared" si="594"/>
        <v>0</v>
      </c>
      <c r="EA134" s="42">
        <f t="shared" si="613"/>
        <v>0</v>
      </c>
      <c r="EB134" s="42">
        <f t="shared" si="595"/>
        <v>0</v>
      </c>
      <c r="EC134" s="42">
        <f t="shared" si="596"/>
        <v>0</v>
      </c>
      <c r="ED134" s="42">
        <f t="shared" ca="1" si="624"/>
        <v>0</v>
      </c>
      <c r="EE134" s="40"/>
      <c r="EF134" s="120">
        <f t="shared" ca="1" si="630"/>
        <v>102</v>
      </c>
      <c r="EG134" s="42">
        <f t="shared" ca="1" si="597"/>
        <v>-12.155910968621811</v>
      </c>
      <c r="EH134" s="36">
        <f t="shared" ca="1" si="614"/>
        <v>-12.155910968621811</v>
      </c>
      <c r="EI134" s="36">
        <f t="shared" ca="1" si="631"/>
        <v>-12.518000000000001</v>
      </c>
      <c r="EJ134" s="153">
        <f t="shared" ca="1" si="598"/>
        <v>-1</v>
      </c>
      <c r="EK134" s="153" t="str">
        <f t="shared" ca="1" si="632"/>
        <v/>
      </c>
      <c r="EL134" s="153" t="str">
        <f t="shared" ca="1" si="501"/>
        <v>B/E ALL</v>
      </c>
      <c r="EM134" s="153">
        <f t="shared" ca="1" si="633"/>
        <v>3</v>
      </c>
      <c r="EN134" s="153">
        <f t="shared" ca="1" si="634"/>
        <v>3</v>
      </c>
    </row>
    <row r="135" spans="1:144" x14ac:dyDescent="0.3">
      <c r="A135" s="36">
        <f ca="1">IF($M$22=1,A134+'Auto X'!$E$6,A$48)</f>
        <v>102.5</v>
      </c>
      <c r="B135" s="35">
        <f>IF($M$22=2,B134+'Auto X'!$E$6,B$48)</f>
        <v>0.28399999999999997</v>
      </c>
      <c r="C135" s="39">
        <f>IF($M$22=3,C134+'Auto X'!$E$6,C$48)</f>
        <v>45295.440972222219</v>
      </c>
      <c r="D135" s="35">
        <f>IF($M$22=4,D134+'Auto X'!$E$6,D$48)</f>
        <v>2.5999999999999999E-2</v>
      </c>
      <c r="E135" s="35">
        <f>IF($M$22=5,E134+'Auto X'!$E$6,E$48)</f>
        <v>0.04</v>
      </c>
      <c r="F135" s="36">
        <f t="shared" si="615"/>
        <v>75</v>
      </c>
      <c r="G135" s="35">
        <f t="shared" si="599"/>
        <v>0.28399999999999997</v>
      </c>
      <c r="H135" s="197">
        <f t="shared" si="625"/>
        <v>169.23611111111677</v>
      </c>
      <c r="I135" s="41">
        <f t="shared" si="600"/>
        <v>0.46366057838662128</v>
      </c>
      <c r="J135" s="40">
        <f t="shared" ca="1" si="502"/>
        <v>0.31237468504215243</v>
      </c>
      <c r="K135" s="40">
        <f t="shared" si="503"/>
        <v>2.5189751902588361E-2</v>
      </c>
      <c r="L135" s="40">
        <f t="shared" si="504"/>
        <v>0.19338305926412305</v>
      </c>
      <c r="M135" s="42">
        <f t="shared" ca="1" si="505"/>
        <v>1.7455739826914956</v>
      </c>
      <c r="N135" s="42">
        <f t="shared" ca="1" si="506"/>
        <v>1.5521909234273725</v>
      </c>
      <c r="O135" s="42">
        <f t="shared" ca="1" si="507"/>
        <v>0.95955749678502855</v>
      </c>
      <c r="P135" s="42">
        <f t="shared" ca="1" si="508"/>
        <v>4.0442503214971427E-2</v>
      </c>
      <c r="Q135" s="42">
        <f t="shared" ca="1" si="509"/>
        <v>0.93969172637717524</v>
      </c>
      <c r="R135" s="42">
        <f t="shared" ca="1" si="510"/>
        <v>6.0308273622824787E-2</v>
      </c>
      <c r="S135" s="42">
        <f t="shared" si="511"/>
        <v>0.98162450344672281</v>
      </c>
      <c r="T135" s="42">
        <f t="shared" si="512"/>
        <v>73.621837758504213</v>
      </c>
      <c r="U135" s="42">
        <f t="shared" si="513"/>
        <v>0.98801719747153338</v>
      </c>
      <c r="V135" s="42">
        <f t="shared" ca="1" si="514"/>
        <v>101.27176274083217</v>
      </c>
      <c r="W135" s="42">
        <f t="shared" ca="1" si="515"/>
        <v>8.6947325498473754E-2</v>
      </c>
      <c r="X135" s="42">
        <f t="shared" ca="1" si="516"/>
        <v>0.3443223459231568</v>
      </c>
      <c r="Y135" s="42">
        <f t="shared" ca="1" si="517"/>
        <v>-3.9957888685189569E-2</v>
      </c>
      <c r="Z135" s="42">
        <f t="shared" ca="1" si="518"/>
        <v>4.3338955458457219E-3</v>
      </c>
      <c r="AA135" s="42">
        <f t="shared" ca="1" si="601"/>
        <v>-4.8360053692801455E-3</v>
      </c>
      <c r="AB135" s="42">
        <f t="shared" ca="1" si="519"/>
        <v>5.9957661143988476E-2</v>
      </c>
      <c r="AC135" s="42">
        <f t="shared" ca="1" si="520"/>
        <v>-2.0586557203976986E-2</v>
      </c>
      <c r="AD135" s="42">
        <f t="shared" ca="1" si="616"/>
        <v>-1627.8388270384216</v>
      </c>
      <c r="AF135" s="36">
        <f t="shared" si="617"/>
        <v>80</v>
      </c>
      <c r="AG135" s="35">
        <f t="shared" si="602"/>
        <v>0.28399999999999997</v>
      </c>
      <c r="AH135" s="197">
        <f t="shared" si="626"/>
        <v>169.23611111111677</v>
      </c>
      <c r="AI135" s="41">
        <f t="shared" si="603"/>
        <v>0.46366057838662128</v>
      </c>
      <c r="AJ135" s="40">
        <f t="shared" ca="1" si="521"/>
        <v>0.24783616390458127</v>
      </c>
      <c r="AK135" s="40">
        <f t="shared" si="522"/>
        <v>2.5189751902588361E-2</v>
      </c>
      <c r="AL135" s="40">
        <f t="shared" si="523"/>
        <v>0.19338305926412305</v>
      </c>
      <c r="AM135" s="42">
        <f t="shared" ca="1" si="524"/>
        <v>1.4118398832147452</v>
      </c>
      <c r="AN135" s="42">
        <f t="shared" ca="1" si="525"/>
        <v>1.2184568239506222</v>
      </c>
      <c r="AO135" s="42">
        <f t="shared" ca="1" si="526"/>
        <v>0.92100144395767836</v>
      </c>
      <c r="AP135" s="42">
        <f t="shared" ca="1" si="527"/>
        <v>7.8998556042321602E-2</v>
      </c>
      <c r="AQ135" s="42">
        <f t="shared" ca="1" si="528"/>
        <v>0.88847478869391938</v>
      </c>
      <c r="AR135" s="42">
        <f t="shared" ca="1" si="529"/>
        <v>0.11152521130608059</v>
      </c>
      <c r="AS135" s="42">
        <f t="shared" si="530"/>
        <v>0.98162450344672281</v>
      </c>
      <c r="AT135" s="42">
        <f t="shared" si="531"/>
        <v>78.529960275737821</v>
      </c>
      <c r="AU135" s="42">
        <f t="shared" si="532"/>
        <v>0.98801719747153338</v>
      </c>
      <c r="AV135" s="42">
        <f t="shared" ca="1" si="533"/>
        <v>101.27176274083217</v>
      </c>
      <c r="AW135" s="42">
        <f t="shared" ca="1" si="534"/>
        <v>0.14725574217398499</v>
      </c>
      <c r="AX135" s="42">
        <f t="shared" ca="1" si="535"/>
        <v>0.75774738922344831</v>
      </c>
      <c r="AY135" s="42">
        <f t="shared" ca="1" si="536"/>
        <v>-7.8051931945232494E-2</v>
      </c>
      <c r="AZ135" s="42">
        <f t="shared" ca="1" si="537"/>
        <v>7.3399728105408161E-3</v>
      </c>
      <c r="BA135" s="42">
        <f t="shared" ca="1" si="604"/>
        <v>-8.1304193671868381E-3</v>
      </c>
      <c r="BB135" s="42">
        <f t="shared" ca="1" si="538"/>
        <v>0.10154550286804749</v>
      </c>
      <c r="BC135" s="42">
        <f t="shared" ca="1" si="539"/>
        <v>-4.0607719935250648E-2</v>
      </c>
      <c r="BD135" s="42">
        <f t="shared" ca="1" si="618"/>
        <v>2446.1263053882758</v>
      </c>
      <c r="BE135" s="40"/>
      <c r="BF135" s="36">
        <f t="shared" si="619"/>
        <v>90</v>
      </c>
      <c r="BG135" s="35">
        <f t="shared" si="605"/>
        <v>0.28399999999999997</v>
      </c>
      <c r="BH135" s="197">
        <f t="shared" si="627"/>
        <v>169.23611111111677</v>
      </c>
      <c r="BI135" s="41">
        <f t="shared" si="606"/>
        <v>0.46366057838662128</v>
      </c>
      <c r="BJ135" s="40">
        <f t="shared" ca="1" si="540"/>
        <v>0.13005312824819776</v>
      </c>
      <c r="BK135" s="40">
        <f t="shared" si="541"/>
        <v>2.5189751902588361E-2</v>
      </c>
      <c r="BL135" s="40">
        <f t="shared" si="542"/>
        <v>0.19338305926412305</v>
      </c>
      <c r="BM135" s="42">
        <f t="shared" ca="1" si="543"/>
        <v>0.80277393863520918</v>
      </c>
      <c r="BN135" s="42">
        <f t="shared" ca="1" si="544"/>
        <v>0.60939087937108616</v>
      </c>
      <c r="BO135" s="42">
        <f t="shared" ca="1" si="545"/>
        <v>0.78894729599749203</v>
      </c>
      <c r="BP135" s="42">
        <f t="shared" ca="1" si="546"/>
        <v>0.21105270400250795</v>
      </c>
      <c r="BQ135" s="42">
        <f t="shared" ca="1" si="547"/>
        <v>0.72886730904910768</v>
      </c>
      <c r="BR135" s="42">
        <f t="shared" ca="1" si="548"/>
        <v>0.27113269095089232</v>
      </c>
      <c r="BS135" s="42">
        <f t="shared" si="549"/>
        <v>0.98162450344672281</v>
      </c>
      <c r="BT135" s="42">
        <f t="shared" si="550"/>
        <v>88.34620531020505</v>
      </c>
      <c r="BU135" s="42">
        <f t="shared" si="551"/>
        <v>0.98801719747153338</v>
      </c>
      <c r="BV135" s="42">
        <f t="shared" ca="1" si="552"/>
        <v>101.27176274083217</v>
      </c>
      <c r="BW135" s="42">
        <f t="shared" ca="1" si="553"/>
        <v>0.28904828419649858</v>
      </c>
      <c r="BX135" s="42">
        <f t="shared" ca="1" si="554"/>
        <v>15.505422446129955</v>
      </c>
      <c r="BY135" s="42">
        <f t="shared" ca="1" si="555"/>
        <v>0.77949349634418641</v>
      </c>
      <c r="BZ135" s="42">
        <f t="shared" ca="1" si="556"/>
        <v>1.4407632025846996E-2</v>
      </c>
      <c r="CA135" s="42">
        <f t="shared" ca="1" si="607"/>
        <v>-1.8089898763324876E-2</v>
      </c>
      <c r="CB135" s="42">
        <f t="shared" ca="1" si="557"/>
        <v>0.19932365922410297</v>
      </c>
      <c r="CC135" s="42">
        <f t="shared" ca="1" si="558"/>
        <v>0.29856338410262884</v>
      </c>
      <c r="CD135" s="42">
        <f t="shared" ca="1" si="620"/>
        <v>-4352.7112230649773</v>
      </c>
      <c r="CE135" s="40"/>
      <c r="CF135" s="36">
        <f t="shared" si="621"/>
        <v>95</v>
      </c>
      <c r="CG135" s="35">
        <f t="shared" si="608"/>
        <v>0.28399999999999997</v>
      </c>
      <c r="CH135" s="197">
        <f t="shared" si="628"/>
        <v>169.23611111111677</v>
      </c>
      <c r="CI135" s="41">
        <f t="shared" si="609"/>
        <v>0.46366057838662128</v>
      </c>
      <c r="CJ135" s="40">
        <f t="shared" ca="1" si="559"/>
        <v>7.5985906977922055E-2</v>
      </c>
      <c r="CK135" s="40">
        <f t="shared" si="560"/>
        <v>2.5189751902588361E-2</v>
      </c>
      <c r="CL135" s="40">
        <f t="shared" si="561"/>
        <v>0.19338305926412305</v>
      </c>
      <c r="CM135" s="42">
        <f t="shared" ca="1" si="562"/>
        <v>0.52318780799886122</v>
      </c>
      <c r="CN135" s="42">
        <f t="shared" ca="1" si="563"/>
        <v>0.3298047487347382</v>
      </c>
      <c r="CO135" s="42">
        <f t="shared" ca="1" si="564"/>
        <v>0.69957821753219585</v>
      </c>
      <c r="CP135" s="42">
        <f t="shared" ca="1" si="565"/>
        <v>0.30042178246780415</v>
      </c>
      <c r="CQ135" s="42">
        <f t="shared" ca="1" si="566"/>
        <v>0.62922625050448056</v>
      </c>
      <c r="CR135" s="42">
        <f t="shared" ca="1" si="567"/>
        <v>0.37077374949551944</v>
      </c>
      <c r="CS135" s="42">
        <f t="shared" si="568"/>
        <v>0.98162450344672281</v>
      </c>
      <c r="CT135" s="42">
        <f t="shared" si="569"/>
        <v>93.254327827438672</v>
      </c>
      <c r="CU135" s="42">
        <f t="shared" si="570"/>
        <v>0.98801719747153338</v>
      </c>
      <c r="CV135" s="42">
        <f t="shared" ca="1" si="571"/>
        <v>101.27176274083217</v>
      </c>
      <c r="CW135" s="42">
        <f t="shared" ca="1" si="572"/>
        <v>0.34791354136657354</v>
      </c>
      <c r="CX135" s="42">
        <f t="shared" ca="1" si="573"/>
        <v>12.169448222399936</v>
      </c>
      <c r="CY135" s="42">
        <f t="shared" ca="1" si="574"/>
        <v>0.69119530989829092</v>
      </c>
      <c r="CZ135" s="42">
        <f t="shared" ca="1" si="575"/>
        <v>1.734177490363947E-2</v>
      </c>
      <c r="DA135" s="42">
        <f t="shared" ca="1" si="610"/>
        <v>-2.1514325664299248E-2</v>
      </c>
      <c r="DB135" s="42">
        <f t="shared" ca="1" si="576"/>
        <v>0.23991631831192101</v>
      </c>
      <c r="DC135" s="42">
        <f t="shared" ca="1" si="577"/>
        <v>0.27206708358026055</v>
      </c>
      <c r="DD135" s="42">
        <f t="shared" ca="1" si="622"/>
        <v>3509.7241111999679</v>
      </c>
      <c r="DE135" s="40"/>
      <c r="DF135" s="36">
        <f t="shared" si="623"/>
        <v>200</v>
      </c>
      <c r="DG135" s="35">
        <f t="shared" si="611"/>
        <v>0.28399999999999997</v>
      </c>
      <c r="DH135" s="197">
        <f t="shared" si="629"/>
        <v>169.23611111111677</v>
      </c>
      <c r="DI135" s="41">
        <f t="shared" si="612"/>
        <v>0.46366057838662128</v>
      </c>
      <c r="DJ135" s="40">
        <f t="shared" ca="1" si="578"/>
        <v>-0.66845456796957392</v>
      </c>
      <c r="DK135" s="40">
        <f t="shared" si="579"/>
        <v>2.5189751902588361E-2</v>
      </c>
      <c r="DL135" s="40">
        <f t="shared" si="580"/>
        <v>0.19338305926412305</v>
      </c>
      <c r="DM135" s="42">
        <f t="shared" ca="1" si="581"/>
        <v>-3.3263762529912868</v>
      </c>
      <c r="DN135" s="42">
        <f t="shared" ca="1" si="582"/>
        <v>-3.5197593122554101</v>
      </c>
      <c r="DO135" s="42">
        <f t="shared" ca="1" si="583"/>
        <v>4.3991538432611746E-4</v>
      </c>
      <c r="DP135" s="42">
        <f t="shared" ca="1" si="584"/>
        <v>0.99956008461567392</v>
      </c>
      <c r="DQ135" s="42">
        <f t="shared" ca="1" si="585"/>
        <v>2.1596928685140677E-4</v>
      </c>
      <c r="DR135" s="42">
        <f t="shared" ca="1" si="586"/>
        <v>0.99978403071314859</v>
      </c>
      <c r="DS135" s="42">
        <f t="shared" si="587"/>
        <v>0.98162450344672281</v>
      </c>
      <c r="DT135" s="42">
        <f t="shared" si="588"/>
        <v>196.32490068934456</v>
      </c>
      <c r="DU135" s="42">
        <f t="shared" si="589"/>
        <v>0.98801719747153338</v>
      </c>
      <c r="DV135" s="42">
        <f t="shared" ca="1" si="590"/>
        <v>101.27176274083217</v>
      </c>
      <c r="DW135" s="42">
        <f t="shared" ca="1" si="591"/>
        <v>1.5784245945347532E-3</v>
      </c>
      <c r="DX135" s="42">
        <f t="shared" si="592"/>
        <v>0</v>
      </c>
      <c r="DY135" s="92">
        <f t="shared" si="593"/>
        <v>0</v>
      </c>
      <c r="DZ135" s="42">
        <f t="shared" si="594"/>
        <v>0</v>
      </c>
      <c r="EA135" s="42">
        <f t="shared" si="613"/>
        <v>0</v>
      </c>
      <c r="EB135" s="42">
        <f t="shared" si="595"/>
        <v>0</v>
      </c>
      <c r="EC135" s="42">
        <f t="shared" si="596"/>
        <v>0</v>
      </c>
      <c r="ED135" s="42">
        <f t="shared" ca="1" si="624"/>
        <v>0</v>
      </c>
      <c r="EE135" s="40"/>
      <c r="EF135" s="120">
        <f t="shared" ca="1" si="630"/>
        <v>102.5</v>
      </c>
      <c r="EG135" s="42">
        <f t="shared" ca="1" si="597"/>
        <v>-24.699633515155256</v>
      </c>
      <c r="EH135" s="36">
        <f t="shared" ca="1" si="614"/>
        <v>-24.699633515155256</v>
      </c>
      <c r="EI135" s="36">
        <f t="shared" ca="1" si="631"/>
        <v>-12.544</v>
      </c>
      <c r="EJ135" s="153">
        <f t="shared" ca="1" si="598"/>
        <v>-1</v>
      </c>
      <c r="EK135" s="153" t="str">
        <f t="shared" ca="1" si="632"/>
        <v/>
      </c>
      <c r="EL135" s="153" t="str">
        <f t="shared" ca="1" si="501"/>
        <v/>
      </c>
      <c r="EM135" s="153">
        <f t="shared" ca="1" si="633"/>
        <v>3</v>
      </c>
      <c r="EN135" s="153">
        <f t="shared" ca="1" si="634"/>
        <v>0</v>
      </c>
    </row>
    <row r="136" spans="1:144" x14ac:dyDescent="0.3">
      <c r="A136" s="36">
        <f ca="1">IF($M$22=1,A135+'Auto X'!$E$6,A$48)</f>
        <v>103</v>
      </c>
      <c r="B136" s="35">
        <f>IF($M$22=2,B135+'Auto X'!$E$6,B$48)</f>
        <v>0.28399999999999997</v>
      </c>
      <c r="C136" s="39">
        <f>IF($M$22=3,C135+'Auto X'!$E$6,C$48)</f>
        <v>45295.440972222219</v>
      </c>
      <c r="D136" s="35">
        <f>IF($M$22=4,D135+'Auto X'!$E$6,D$48)</f>
        <v>2.5999999999999999E-2</v>
      </c>
      <c r="E136" s="35">
        <f>IF($M$22=5,E135+'Auto X'!$E$6,E$48)</f>
        <v>0.04</v>
      </c>
      <c r="F136" s="36">
        <f t="shared" si="615"/>
        <v>75</v>
      </c>
      <c r="G136" s="35">
        <f t="shared" si="599"/>
        <v>0.28399999999999997</v>
      </c>
      <c r="H136" s="197">
        <f t="shared" si="625"/>
        <v>169.23611111111677</v>
      </c>
      <c r="I136" s="41">
        <f t="shared" si="600"/>
        <v>0.46366057838662128</v>
      </c>
      <c r="J136" s="40">
        <f t="shared" ca="1" si="502"/>
        <v>0.31724087469332529</v>
      </c>
      <c r="K136" s="40">
        <f t="shared" si="503"/>
        <v>2.5189751902588361E-2</v>
      </c>
      <c r="L136" s="40">
        <f t="shared" si="504"/>
        <v>0.19338305926412305</v>
      </c>
      <c r="M136" s="42">
        <f t="shared" ca="1" si="505"/>
        <v>1.7707374570397145</v>
      </c>
      <c r="N136" s="42">
        <f t="shared" ca="1" si="506"/>
        <v>1.5773543977755915</v>
      </c>
      <c r="O136" s="42">
        <f t="shared" ca="1" si="507"/>
        <v>0.96169781470633098</v>
      </c>
      <c r="P136" s="42">
        <f t="shared" ca="1" si="508"/>
        <v>3.8302185293669036E-2</v>
      </c>
      <c r="Q136" s="42">
        <f t="shared" ca="1" si="509"/>
        <v>0.94264299893917303</v>
      </c>
      <c r="R136" s="42">
        <f t="shared" ca="1" si="510"/>
        <v>5.7357001060827001E-2</v>
      </c>
      <c r="S136" s="42">
        <f t="shared" si="511"/>
        <v>0.98162450344672281</v>
      </c>
      <c r="T136" s="42">
        <f t="shared" si="512"/>
        <v>73.621837758504213</v>
      </c>
      <c r="U136" s="42">
        <f t="shared" si="513"/>
        <v>0.98801719747153338</v>
      </c>
      <c r="V136" s="42">
        <f t="shared" ca="1" si="514"/>
        <v>101.76577133956793</v>
      </c>
      <c r="W136" s="42">
        <f t="shared" ca="1" si="515"/>
        <v>8.3184511853886048E-2</v>
      </c>
      <c r="X136" s="42">
        <f t="shared" ca="1" si="516"/>
        <v>0.32487639601327523</v>
      </c>
      <c r="Y136" s="42">
        <f t="shared" ca="1" si="517"/>
        <v>-3.7843217770886249E-2</v>
      </c>
      <c r="Z136" s="42">
        <f t="shared" ca="1" si="518"/>
        <v>4.126209981895868E-3</v>
      </c>
      <c r="AA136" s="42">
        <f t="shared" ca="1" si="601"/>
        <v>-4.6514840533920651E-3</v>
      </c>
      <c r="AB136" s="42">
        <f t="shared" ca="1" si="519"/>
        <v>5.7642696329593263E-2</v>
      </c>
      <c r="AC136" s="42">
        <f t="shared" ca="1" si="520"/>
        <v>-1.9579124263646545E-2</v>
      </c>
      <c r="AD136" s="42">
        <f t="shared" ca="1" si="616"/>
        <v>-1637.5618019933625</v>
      </c>
      <c r="AF136" s="36">
        <f t="shared" si="617"/>
        <v>80</v>
      </c>
      <c r="AG136" s="35">
        <f t="shared" si="602"/>
        <v>0.28399999999999997</v>
      </c>
      <c r="AH136" s="197">
        <f t="shared" si="626"/>
        <v>169.23611111111677</v>
      </c>
      <c r="AI136" s="41">
        <f t="shared" si="603"/>
        <v>0.46366057838662128</v>
      </c>
      <c r="AJ136" s="40">
        <f t="shared" ca="1" si="521"/>
        <v>0.25270235355575421</v>
      </c>
      <c r="AK136" s="40">
        <f t="shared" si="522"/>
        <v>2.5189751902588361E-2</v>
      </c>
      <c r="AL136" s="40">
        <f t="shared" si="523"/>
        <v>0.19338305926412305</v>
      </c>
      <c r="AM136" s="42">
        <f t="shared" ca="1" si="524"/>
        <v>1.4370033575629646</v>
      </c>
      <c r="AN136" s="42">
        <f t="shared" ca="1" si="525"/>
        <v>1.2436202982988416</v>
      </c>
      <c r="AO136" s="42">
        <f t="shared" ca="1" si="526"/>
        <v>0.92464148024035242</v>
      </c>
      <c r="AP136" s="42">
        <f t="shared" ca="1" si="527"/>
        <v>7.535851975964758E-2</v>
      </c>
      <c r="AQ136" s="42">
        <f t="shared" ca="1" si="528"/>
        <v>0.89318032902498568</v>
      </c>
      <c r="AR136" s="42">
        <f t="shared" ca="1" si="529"/>
        <v>0.10681967097501437</v>
      </c>
      <c r="AS136" s="42">
        <f t="shared" si="530"/>
        <v>0.98162450344672281</v>
      </c>
      <c r="AT136" s="42">
        <f t="shared" si="531"/>
        <v>78.529960275737821</v>
      </c>
      <c r="AU136" s="42">
        <f t="shared" si="532"/>
        <v>0.98801719747153338</v>
      </c>
      <c r="AV136" s="42">
        <f t="shared" ca="1" si="533"/>
        <v>101.76577133956793</v>
      </c>
      <c r="AW136" s="42">
        <f t="shared" ca="1" si="534"/>
        <v>0.14207106937483993</v>
      </c>
      <c r="AX136" s="42">
        <f t="shared" ca="1" si="535"/>
        <v>0.71962662798665455</v>
      </c>
      <c r="AY136" s="42">
        <f t="shared" ca="1" si="536"/>
        <v>-7.4455513498530176E-2</v>
      </c>
      <c r="AZ136" s="42">
        <f t="shared" ca="1" si="537"/>
        <v>7.0471660111773478E-3</v>
      </c>
      <c r="BA136" s="42">
        <f t="shared" ca="1" si="604"/>
        <v>-7.8874187477824612E-3</v>
      </c>
      <c r="BB136" s="42">
        <f t="shared" ca="1" si="538"/>
        <v>9.8448128463855381E-2</v>
      </c>
      <c r="BC136" s="42">
        <f t="shared" ca="1" si="539"/>
        <v>-3.8894374031932494E-2</v>
      </c>
      <c r="BD136" s="42">
        <f t="shared" ca="1" si="618"/>
        <v>2465.186686006673</v>
      </c>
      <c r="BE136" s="40"/>
      <c r="BF136" s="36">
        <f t="shared" si="619"/>
        <v>90</v>
      </c>
      <c r="BG136" s="35">
        <f t="shared" si="605"/>
        <v>0.28399999999999997</v>
      </c>
      <c r="BH136" s="197">
        <f t="shared" si="627"/>
        <v>169.23611111111677</v>
      </c>
      <c r="BI136" s="41">
        <f t="shared" si="606"/>
        <v>0.46366057838662128</v>
      </c>
      <c r="BJ136" s="40">
        <f t="shared" ca="1" si="540"/>
        <v>0.13491931789937064</v>
      </c>
      <c r="BK136" s="40">
        <f t="shared" si="541"/>
        <v>2.5189751902588361E-2</v>
      </c>
      <c r="BL136" s="40">
        <f t="shared" si="542"/>
        <v>0.19338305926412305</v>
      </c>
      <c r="BM136" s="42">
        <f t="shared" ca="1" si="543"/>
        <v>0.82793741298342804</v>
      </c>
      <c r="BN136" s="42">
        <f t="shared" ca="1" si="544"/>
        <v>0.63455435371930502</v>
      </c>
      <c r="BO136" s="42">
        <f t="shared" ca="1" si="545"/>
        <v>0.7961470272298381</v>
      </c>
      <c r="BP136" s="42">
        <f t="shared" ca="1" si="546"/>
        <v>0.20385297277016184</v>
      </c>
      <c r="BQ136" s="42">
        <f t="shared" ca="1" si="547"/>
        <v>0.73714044666548584</v>
      </c>
      <c r="BR136" s="42">
        <f t="shared" ca="1" si="548"/>
        <v>0.26285955333451416</v>
      </c>
      <c r="BS136" s="42">
        <f t="shared" si="549"/>
        <v>0.98162450344672281</v>
      </c>
      <c r="BT136" s="42">
        <f t="shared" si="550"/>
        <v>88.34620531020505</v>
      </c>
      <c r="BU136" s="42">
        <f t="shared" si="551"/>
        <v>0.98801719747153338</v>
      </c>
      <c r="BV136" s="42">
        <f t="shared" ca="1" si="552"/>
        <v>101.76577133956793</v>
      </c>
      <c r="BW136" s="42">
        <f t="shared" ca="1" si="553"/>
        <v>0.28317825222177345</v>
      </c>
      <c r="BX136" s="42">
        <f t="shared" ca="1" si="554"/>
        <v>15.896955082183212</v>
      </c>
      <c r="BY136" s="42">
        <f t="shared" ca="1" si="555"/>
        <v>0.78660695461891716</v>
      </c>
      <c r="BZ136" s="42">
        <f t="shared" ca="1" si="556"/>
        <v>1.4046520258791686E-2</v>
      </c>
      <c r="CA136" s="42">
        <f t="shared" ca="1" si="607"/>
        <v>-1.7830325395226193E-2</v>
      </c>
      <c r="CB136" s="42">
        <f t="shared" ca="1" si="557"/>
        <v>0.19622833188750749</v>
      </c>
      <c r="CC136" s="42">
        <f t="shared" ca="1" si="558"/>
        <v>0.30195228072788027</v>
      </c>
      <c r="CD136" s="42">
        <f t="shared" ca="1" si="620"/>
        <v>-4548.4775410916054</v>
      </c>
      <c r="CE136" s="40"/>
      <c r="CF136" s="36">
        <f t="shared" si="621"/>
        <v>95</v>
      </c>
      <c r="CG136" s="35">
        <f t="shared" si="608"/>
        <v>0.28399999999999997</v>
      </c>
      <c r="CH136" s="197">
        <f t="shared" si="628"/>
        <v>169.23611111111677</v>
      </c>
      <c r="CI136" s="41">
        <f t="shared" si="609"/>
        <v>0.46366057838662128</v>
      </c>
      <c r="CJ136" s="40">
        <f t="shared" ca="1" si="559"/>
        <v>8.0852096629094969E-2</v>
      </c>
      <c r="CK136" s="40">
        <f t="shared" si="560"/>
        <v>2.5189751902588361E-2</v>
      </c>
      <c r="CL136" s="40">
        <f t="shared" si="561"/>
        <v>0.19338305926412305</v>
      </c>
      <c r="CM136" s="42">
        <f t="shared" ca="1" si="562"/>
        <v>0.54835128234708042</v>
      </c>
      <c r="CN136" s="42">
        <f t="shared" ca="1" si="563"/>
        <v>0.35496822308295739</v>
      </c>
      <c r="CO136" s="42">
        <f t="shared" ca="1" si="564"/>
        <v>0.70827463944391233</v>
      </c>
      <c r="CP136" s="42">
        <f t="shared" ca="1" si="565"/>
        <v>0.29172536055608767</v>
      </c>
      <c r="CQ136" s="42">
        <f t="shared" ca="1" si="566"/>
        <v>0.63869330133268398</v>
      </c>
      <c r="CR136" s="42">
        <f t="shared" ca="1" si="567"/>
        <v>0.36130669866731602</v>
      </c>
      <c r="CS136" s="42">
        <f t="shared" si="568"/>
        <v>0.98162450344672281</v>
      </c>
      <c r="CT136" s="42">
        <f t="shared" si="569"/>
        <v>93.254327827438672</v>
      </c>
      <c r="CU136" s="42">
        <f t="shared" si="570"/>
        <v>0.98801719747153338</v>
      </c>
      <c r="CV136" s="42">
        <f t="shared" ca="1" si="571"/>
        <v>101.76577133956793</v>
      </c>
      <c r="CW136" s="42">
        <f t="shared" ca="1" si="572"/>
        <v>0.34325450920310813</v>
      </c>
      <c r="CX136" s="42">
        <f t="shared" ca="1" si="573"/>
        <v>12.517200499596917</v>
      </c>
      <c r="CY136" s="42">
        <f t="shared" ca="1" si="574"/>
        <v>0.69978752430353508</v>
      </c>
      <c r="CZ136" s="42">
        <f t="shared" ca="1" si="575"/>
        <v>1.702648907398098E-2</v>
      </c>
      <c r="DA136" s="42">
        <f t="shared" ca="1" si="610"/>
        <v>-2.1350724528505619E-2</v>
      </c>
      <c r="DB136" s="42">
        <f t="shared" ca="1" si="576"/>
        <v>0.23785816610323729</v>
      </c>
      <c r="DC136" s="42">
        <f t="shared" ca="1" si="577"/>
        <v>0.27616048068006427</v>
      </c>
      <c r="DD136" s="42">
        <f t="shared" ca="1" si="622"/>
        <v>3683.6002497984587</v>
      </c>
      <c r="DE136" s="40"/>
      <c r="DF136" s="36">
        <f t="shared" si="623"/>
        <v>200</v>
      </c>
      <c r="DG136" s="35">
        <f t="shared" si="611"/>
        <v>0.28399999999999997</v>
      </c>
      <c r="DH136" s="197">
        <f t="shared" si="629"/>
        <v>169.23611111111677</v>
      </c>
      <c r="DI136" s="41">
        <f t="shared" si="612"/>
        <v>0.46366057838662128</v>
      </c>
      <c r="DJ136" s="40">
        <f t="shared" ca="1" si="578"/>
        <v>-0.6635883783184009</v>
      </c>
      <c r="DK136" s="40">
        <f t="shared" si="579"/>
        <v>2.5189751902588361E-2</v>
      </c>
      <c r="DL136" s="40">
        <f t="shared" si="580"/>
        <v>0.19338305926412305</v>
      </c>
      <c r="DM136" s="42">
        <f t="shared" ca="1" si="581"/>
        <v>-3.3012127786430669</v>
      </c>
      <c r="DN136" s="42">
        <f t="shared" ca="1" si="582"/>
        <v>-3.4945958379071902</v>
      </c>
      <c r="DO136" s="42">
        <f t="shared" ca="1" si="583"/>
        <v>4.8133922295828601E-4</v>
      </c>
      <c r="DP136" s="42">
        <f t="shared" ca="1" si="584"/>
        <v>0.99951866077704177</v>
      </c>
      <c r="DQ136" s="42">
        <f t="shared" ca="1" si="585"/>
        <v>2.3739005870603101E-4</v>
      </c>
      <c r="DR136" s="42">
        <f t="shared" ca="1" si="586"/>
        <v>0.99976260994129396</v>
      </c>
      <c r="DS136" s="42">
        <f t="shared" si="587"/>
        <v>0.98162450344672281</v>
      </c>
      <c r="DT136" s="42">
        <f t="shared" si="588"/>
        <v>196.32490068934456</v>
      </c>
      <c r="DU136" s="42">
        <f t="shared" si="589"/>
        <v>0.98801719747153338</v>
      </c>
      <c r="DV136" s="42">
        <f t="shared" ca="1" si="590"/>
        <v>101.76577133956793</v>
      </c>
      <c r="DW136" s="42">
        <f t="shared" ca="1" si="591"/>
        <v>1.7156874415201449E-3</v>
      </c>
      <c r="DX136" s="42">
        <f t="shared" si="592"/>
        <v>0</v>
      </c>
      <c r="DY136" s="92">
        <f t="shared" si="593"/>
        <v>0</v>
      </c>
      <c r="DZ136" s="42">
        <f t="shared" si="594"/>
        <v>0</v>
      </c>
      <c r="EA136" s="42">
        <f t="shared" si="613"/>
        <v>0</v>
      </c>
      <c r="EB136" s="42">
        <f t="shared" si="595"/>
        <v>0</v>
      </c>
      <c r="EC136" s="42">
        <f t="shared" si="596"/>
        <v>0</v>
      </c>
      <c r="ED136" s="42">
        <f t="shared" ca="1" si="624"/>
        <v>0</v>
      </c>
      <c r="EE136" s="40"/>
      <c r="EF136" s="120">
        <f t="shared" ca="1" si="630"/>
        <v>103</v>
      </c>
      <c r="EG136" s="42">
        <f t="shared" ca="1" si="597"/>
        <v>-37.252407279836461</v>
      </c>
      <c r="EH136" s="36">
        <f t="shared" ca="1" si="614"/>
        <v>-37.252407279836461</v>
      </c>
      <c r="EI136" s="36">
        <f t="shared" ca="1" si="631"/>
        <v>-12.553000000000001</v>
      </c>
      <c r="EJ136" s="153">
        <f t="shared" ca="1" si="598"/>
        <v>-1</v>
      </c>
      <c r="EK136" s="153" t="str">
        <f t="shared" ca="1" si="632"/>
        <v/>
      </c>
      <c r="EL136" s="153" t="str">
        <f t="shared" ca="1" si="501"/>
        <v/>
      </c>
      <c r="EM136" s="153">
        <f t="shared" ca="1" si="633"/>
        <v>3</v>
      </c>
      <c r="EN136" s="153">
        <f t="shared" ca="1" si="634"/>
        <v>0</v>
      </c>
    </row>
    <row r="137" spans="1:144" x14ac:dyDescent="0.3">
      <c r="A137" s="36">
        <f ca="1">IF($M$22=1,A136+'Auto X'!$E$6,A$48)</f>
        <v>103.5</v>
      </c>
      <c r="B137" s="35">
        <f>IF($M$22=2,B136+'Auto X'!$E$6,B$48)</f>
        <v>0.28399999999999997</v>
      </c>
      <c r="C137" s="39">
        <f>IF($M$22=3,C136+'Auto X'!$E$6,C$48)</f>
        <v>45295.440972222219</v>
      </c>
      <c r="D137" s="35">
        <f>IF($M$22=4,D136+'Auto X'!$E$6,D$48)</f>
        <v>2.5999999999999999E-2</v>
      </c>
      <c r="E137" s="35">
        <f>IF($M$22=5,E136+'Auto X'!$E$6,E$48)</f>
        <v>0.04</v>
      </c>
      <c r="F137" s="36">
        <f t="shared" si="615"/>
        <v>75</v>
      </c>
      <c r="G137" s="35">
        <f t="shared" si="599"/>
        <v>0.28399999999999997</v>
      </c>
      <c r="H137" s="197">
        <f t="shared" si="625"/>
        <v>169.23611111111677</v>
      </c>
      <c r="I137" s="41">
        <f t="shared" si="600"/>
        <v>0.46366057838662128</v>
      </c>
      <c r="J137" s="40">
        <f t="shared" ca="1" si="502"/>
        <v>0.32208349916911322</v>
      </c>
      <c r="K137" s="40">
        <f t="shared" si="503"/>
        <v>2.5189751902588361E-2</v>
      </c>
      <c r="L137" s="40">
        <f t="shared" si="504"/>
        <v>0.19338305926412305</v>
      </c>
      <c r="M137" s="42">
        <f t="shared" ca="1" si="505"/>
        <v>1.7957790738918602</v>
      </c>
      <c r="N137" s="42">
        <f t="shared" ca="1" si="506"/>
        <v>1.6023960146277372</v>
      </c>
      <c r="O137" s="42">
        <f t="shared" ca="1" si="507"/>
        <v>0.96373516995183517</v>
      </c>
      <c r="P137" s="42">
        <f t="shared" ca="1" si="508"/>
        <v>3.6264830048164796E-2</v>
      </c>
      <c r="Q137" s="42">
        <f t="shared" ca="1" si="509"/>
        <v>0.94546596721255283</v>
      </c>
      <c r="R137" s="42">
        <f t="shared" ca="1" si="510"/>
        <v>5.453403278744718E-2</v>
      </c>
      <c r="S137" s="42">
        <f t="shared" si="511"/>
        <v>0.98162450344672281</v>
      </c>
      <c r="T137" s="42">
        <f t="shared" si="512"/>
        <v>73.621837758504213</v>
      </c>
      <c r="U137" s="42">
        <f t="shared" si="513"/>
        <v>0.98801719747153338</v>
      </c>
      <c r="V137" s="42">
        <f t="shared" ca="1" si="514"/>
        <v>102.25977993830371</v>
      </c>
      <c r="W137" s="42">
        <f t="shared" ca="1" si="515"/>
        <v>7.9551571118445977E-2</v>
      </c>
      <c r="X137" s="42">
        <f t="shared" ca="1" si="516"/>
        <v>0.30646217396906961</v>
      </c>
      <c r="Y137" s="42">
        <f t="shared" ca="1" si="517"/>
        <v>-3.5830275750969268E-2</v>
      </c>
      <c r="Z137" s="42">
        <f t="shared" ca="1" si="518"/>
        <v>3.9269420199015415E-3</v>
      </c>
      <c r="AA137" s="42">
        <f t="shared" ca="1" si="601"/>
        <v>-4.4719906952103471E-3</v>
      </c>
      <c r="AB137" s="42">
        <f t="shared" ca="1" si="519"/>
        <v>5.5392848837909334E-2</v>
      </c>
      <c r="AC137" s="42">
        <f t="shared" ca="1" si="520"/>
        <v>-1.8615488690053358E-2</v>
      </c>
      <c r="AD137" s="42">
        <f t="shared" ca="1" si="616"/>
        <v>-1646.7689130154652</v>
      </c>
      <c r="AF137" s="36">
        <f t="shared" si="617"/>
        <v>80</v>
      </c>
      <c r="AG137" s="35">
        <f t="shared" si="602"/>
        <v>0.28399999999999997</v>
      </c>
      <c r="AH137" s="197">
        <f t="shared" si="626"/>
        <v>169.23611111111677</v>
      </c>
      <c r="AI137" s="41">
        <f t="shared" si="603"/>
        <v>0.46366057838662128</v>
      </c>
      <c r="AJ137" s="40">
        <f t="shared" ca="1" si="521"/>
        <v>0.25754497803154214</v>
      </c>
      <c r="AK137" s="40">
        <f t="shared" si="522"/>
        <v>2.5189751902588361E-2</v>
      </c>
      <c r="AL137" s="40">
        <f t="shared" si="523"/>
        <v>0.19338305926412305</v>
      </c>
      <c r="AM137" s="42">
        <f t="shared" ca="1" si="524"/>
        <v>1.4620449744151101</v>
      </c>
      <c r="AN137" s="42">
        <f t="shared" ca="1" si="525"/>
        <v>1.268661915150987</v>
      </c>
      <c r="AO137" s="42">
        <f t="shared" ca="1" si="526"/>
        <v>0.92813555705744932</v>
      </c>
      <c r="AP137" s="42">
        <f t="shared" ca="1" si="527"/>
        <v>7.1864442942550663E-2</v>
      </c>
      <c r="AQ137" s="42">
        <f t="shared" ca="1" si="528"/>
        <v>0.89771916433801702</v>
      </c>
      <c r="AR137" s="42">
        <f t="shared" ca="1" si="529"/>
        <v>0.102280835661983</v>
      </c>
      <c r="AS137" s="42">
        <f t="shared" si="530"/>
        <v>0.98162450344672281</v>
      </c>
      <c r="AT137" s="42">
        <f t="shared" si="531"/>
        <v>78.529960275737821</v>
      </c>
      <c r="AU137" s="42">
        <f t="shared" si="532"/>
        <v>0.98801719747153338</v>
      </c>
      <c r="AV137" s="42">
        <f t="shared" ca="1" si="533"/>
        <v>102.25977993830371</v>
      </c>
      <c r="AW137" s="42">
        <f t="shared" ca="1" si="534"/>
        <v>0.13700658524726775</v>
      </c>
      <c r="AX137" s="42">
        <f t="shared" ca="1" si="535"/>
        <v>0.68326784081077818</v>
      </c>
      <c r="AY137" s="42">
        <f t="shared" ca="1" si="536"/>
        <v>-7.1003305513951842E-2</v>
      </c>
      <c r="AZ137" s="42">
        <f t="shared" ca="1" si="537"/>
        <v>6.7631211935419077E-3</v>
      </c>
      <c r="BA137" s="42">
        <f t="shared" ca="1" si="604"/>
        <v>-7.6478858116724238E-3</v>
      </c>
      <c r="BB137" s="42">
        <f t="shared" ca="1" si="538"/>
        <v>9.5399562317887432E-2</v>
      </c>
      <c r="BC137" s="42">
        <f t="shared" ca="1" si="539"/>
        <v>-3.7241727504162554E-2</v>
      </c>
      <c r="BD137" s="42">
        <f t="shared" ca="1" si="618"/>
        <v>2483.3660795946112</v>
      </c>
      <c r="BE137" s="40"/>
      <c r="BF137" s="36">
        <f t="shared" si="619"/>
        <v>90</v>
      </c>
      <c r="BG137" s="35">
        <f t="shared" si="605"/>
        <v>0.28399999999999997</v>
      </c>
      <c r="BH137" s="197">
        <f t="shared" si="627"/>
        <v>169.23611111111677</v>
      </c>
      <c r="BI137" s="41">
        <f t="shared" si="606"/>
        <v>0.46366057838662128</v>
      </c>
      <c r="BJ137" s="40">
        <f t="shared" ca="1" si="540"/>
        <v>0.13976194237515863</v>
      </c>
      <c r="BK137" s="40">
        <f t="shared" si="541"/>
        <v>2.5189751902588361E-2</v>
      </c>
      <c r="BL137" s="40">
        <f t="shared" si="542"/>
        <v>0.19338305926412305</v>
      </c>
      <c r="BM137" s="42">
        <f t="shared" ca="1" si="543"/>
        <v>0.85297902983557394</v>
      </c>
      <c r="BN137" s="42">
        <f t="shared" ca="1" si="544"/>
        <v>0.65959597057145092</v>
      </c>
      <c r="BO137" s="42">
        <f t="shared" ca="1" si="545"/>
        <v>0.80316453332958959</v>
      </c>
      <c r="BP137" s="42">
        <f t="shared" ca="1" si="546"/>
        <v>0.19683546667041035</v>
      </c>
      <c r="BQ137" s="42">
        <f t="shared" ca="1" si="547"/>
        <v>0.7452434296267223</v>
      </c>
      <c r="BR137" s="42">
        <f t="shared" ca="1" si="548"/>
        <v>0.2547565703732777</v>
      </c>
      <c r="BS137" s="42">
        <f t="shared" si="549"/>
        <v>0.98162450344672281</v>
      </c>
      <c r="BT137" s="42">
        <f t="shared" si="550"/>
        <v>88.34620531020505</v>
      </c>
      <c r="BU137" s="42">
        <f t="shared" si="551"/>
        <v>0.98801719747153338</v>
      </c>
      <c r="BV137" s="42">
        <f t="shared" ca="1" si="552"/>
        <v>102.25977993830371</v>
      </c>
      <c r="BW137" s="42">
        <f t="shared" ca="1" si="553"/>
        <v>0.27728063972466965</v>
      </c>
      <c r="BX137" s="42">
        <f t="shared" ca="1" si="554"/>
        <v>16.291999392650467</v>
      </c>
      <c r="BY137" s="42">
        <f t="shared" ca="1" si="555"/>
        <v>0.79354037132883304</v>
      </c>
      <c r="BZ137" s="42">
        <f t="shared" ca="1" si="556"/>
        <v>1.3687536023880061E-2</v>
      </c>
      <c r="CA137" s="42">
        <f t="shared" ca="1" si="607"/>
        <v>-1.7565000290879394E-2</v>
      </c>
      <c r="CB137" s="42">
        <f t="shared" ca="1" si="557"/>
        <v>0.19307430822552263</v>
      </c>
      <c r="CC137" s="42">
        <f t="shared" ca="1" si="558"/>
        <v>0.30527147749277417</v>
      </c>
      <c r="CD137" s="42">
        <f t="shared" ca="1" si="620"/>
        <v>-4745.9996963252333</v>
      </c>
      <c r="CE137" s="40"/>
      <c r="CF137" s="36">
        <f t="shared" si="621"/>
        <v>95</v>
      </c>
      <c r="CG137" s="35">
        <f t="shared" si="608"/>
        <v>0.28399999999999997</v>
      </c>
      <c r="CH137" s="197">
        <f t="shared" si="628"/>
        <v>169.23611111111677</v>
      </c>
      <c r="CI137" s="41">
        <f t="shared" si="609"/>
        <v>0.46366057838662128</v>
      </c>
      <c r="CJ137" s="40">
        <f t="shared" ca="1" si="559"/>
        <v>8.5694721104882979E-2</v>
      </c>
      <c r="CK137" s="40">
        <f t="shared" si="560"/>
        <v>2.5189751902588361E-2</v>
      </c>
      <c r="CL137" s="40">
        <f t="shared" si="561"/>
        <v>0.19338305926412305</v>
      </c>
      <c r="CM137" s="42">
        <f t="shared" ca="1" si="562"/>
        <v>0.57339289919922642</v>
      </c>
      <c r="CN137" s="42">
        <f t="shared" ca="1" si="563"/>
        <v>0.3800098399351034</v>
      </c>
      <c r="CO137" s="42">
        <f t="shared" ca="1" si="564"/>
        <v>0.71681065145986345</v>
      </c>
      <c r="CP137" s="42">
        <f t="shared" ca="1" si="565"/>
        <v>0.28318934854013655</v>
      </c>
      <c r="CQ137" s="42">
        <f t="shared" ca="1" si="566"/>
        <v>0.64803094454742105</v>
      </c>
      <c r="CR137" s="42">
        <f t="shared" ca="1" si="567"/>
        <v>0.35196905545257895</v>
      </c>
      <c r="CS137" s="42">
        <f t="shared" si="568"/>
        <v>0.98162450344672281</v>
      </c>
      <c r="CT137" s="42">
        <f t="shared" si="569"/>
        <v>93.254327827438672</v>
      </c>
      <c r="CU137" s="42">
        <f t="shared" si="570"/>
        <v>0.98801719747153338</v>
      </c>
      <c r="CV137" s="42">
        <f t="shared" ca="1" si="571"/>
        <v>102.25977993830371</v>
      </c>
      <c r="CW137" s="42">
        <f t="shared" ca="1" si="572"/>
        <v>0.33846714847641929</v>
      </c>
      <c r="CX137" s="42">
        <f t="shared" ca="1" si="573"/>
        <v>12.86920933056782</v>
      </c>
      <c r="CY137" s="42">
        <f t="shared" ca="1" si="574"/>
        <v>0.70822125097311839</v>
      </c>
      <c r="CZ137" s="42">
        <f t="shared" ca="1" si="575"/>
        <v>1.6707914740355278E-2</v>
      </c>
      <c r="DA137" s="42">
        <f t="shared" ca="1" si="610"/>
        <v>-2.1176229689058485E-2</v>
      </c>
      <c r="DB137" s="42">
        <f t="shared" ca="1" si="576"/>
        <v>0.23567931253346636</v>
      </c>
      <c r="DC137" s="42">
        <f t="shared" ca="1" si="577"/>
        <v>0.28019792405581301</v>
      </c>
      <c r="DD137" s="42">
        <f t="shared" ca="1" si="622"/>
        <v>3859.60466528391</v>
      </c>
      <c r="DE137" s="40"/>
      <c r="DF137" s="36">
        <f t="shared" si="623"/>
        <v>200</v>
      </c>
      <c r="DG137" s="35">
        <f t="shared" si="611"/>
        <v>0.28399999999999997</v>
      </c>
      <c r="DH137" s="197">
        <f t="shared" si="629"/>
        <v>169.23611111111677</v>
      </c>
      <c r="DI137" s="41">
        <f t="shared" si="612"/>
        <v>0.46366057838662128</v>
      </c>
      <c r="DJ137" s="40">
        <f t="shared" ca="1" si="578"/>
        <v>-0.65874575384261302</v>
      </c>
      <c r="DK137" s="40">
        <f t="shared" si="579"/>
        <v>2.5189751902588361E-2</v>
      </c>
      <c r="DL137" s="40">
        <f t="shared" si="580"/>
        <v>0.19338305926412305</v>
      </c>
      <c r="DM137" s="42">
        <f t="shared" ca="1" si="581"/>
        <v>-3.2761711617909217</v>
      </c>
      <c r="DN137" s="42">
        <f t="shared" ca="1" si="582"/>
        <v>-3.469554221055045</v>
      </c>
      <c r="DO137" s="42">
        <f t="shared" ca="1" si="583"/>
        <v>5.261238469117459E-4</v>
      </c>
      <c r="DP137" s="42">
        <f t="shared" ca="1" si="584"/>
        <v>0.99947387615308825</v>
      </c>
      <c r="DQ137" s="42">
        <f t="shared" ca="1" si="585"/>
        <v>2.6066141483710209E-4</v>
      </c>
      <c r="DR137" s="42">
        <f t="shared" ca="1" si="586"/>
        <v>0.99973933858516295</v>
      </c>
      <c r="DS137" s="42">
        <f t="shared" si="587"/>
        <v>0.98162450344672281</v>
      </c>
      <c r="DT137" s="42">
        <f t="shared" si="588"/>
        <v>196.32490068934456</v>
      </c>
      <c r="DU137" s="42">
        <f t="shared" si="589"/>
        <v>0.98801719747153338</v>
      </c>
      <c r="DV137" s="42">
        <f t="shared" ca="1" si="590"/>
        <v>102.25977993830371</v>
      </c>
      <c r="DW137" s="42">
        <f t="shared" ca="1" si="591"/>
        <v>1.8629625791942361E-3</v>
      </c>
      <c r="DX137" s="42">
        <f t="shared" si="592"/>
        <v>0</v>
      </c>
      <c r="DY137" s="92">
        <f t="shared" si="593"/>
        <v>0</v>
      </c>
      <c r="DZ137" s="42">
        <f t="shared" si="594"/>
        <v>0</v>
      </c>
      <c r="EA137" s="42">
        <f t="shared" si="613"/>
        <v>0</v>
      </c>
      <c r="EB137" s="42">
        <f t="shared" si="595"/>
        <v>0</v>
      </c>
      <c r="EC137" s="42">
        <f t="shared" si="596"/>
        <v>0</v>
      </c>
      <c r="ED137" s="42">
        <f t="shared" ca="1" si="624"/>
        <v>0</v>
      </c>
      <c r="EE137" s="40"/>
      <c r="EF137" s="120">
        <f t="shared" ca="1" si="630"/>
        <v>103.5</v>
      </c>
      <c r="EG137" s="42">
        <f t="shared" ca="1" si="597"/>
        <v>-49.797864462177586</v>
      </c>
      <c r="EH137" s="36">
        <f t="shared" ca="1" si="614"/>
        <v>-49.797864462177586</v>
      </c>
      <c r="EI137" s="36">
        <f t="shared" ca="1" si="631"/>
        <v>-12.545</v>
      </c>
      <c r="EJ137" s="153">
        <f t="shared" ca="1" si="598"/>
        <v>-1</v>
      </c>
      <c r="EK137" s="153" t="str">
        <f t="shared" ca="1" si="632"/>
        <v/>
      </c>
      <c r="EL137" s="153" t="str">
        <f t="shared" ca="1" si="501"/>
        <v/>
      </c>
      <c r="EM137" s="153">
        <f t="shared" ca="1" si="633"/>
        <v>3</v>
      </c>
      <c r="EN137" s="153">
        <f t="shared" ca="1" si="634"/>
        <v>0</v>
      </c>
    </row>
    <row r="138" spans="1:144" x14ac:dyDescent="0.3">
      <c r="A138" s="36">
        <f ca="1">IF($M$22=1,A137+'Auto X'!$E$6,A$48)</f>
        <v>104</v>
      </c>
      <c r="B138" s="35">
        <f>IF($M$22=2,B137+'Auto X'!$E$6,B$48)</f>
        <v>0.28399999999999997</v>
      </c>
      <c r="C138" s="39">
        <f>IF($M$22=3,C137+'Auto X'!$E$6,C$48)</f>
        <v>45295.440972222219</v>
      </c>
      <c r="D138" s="35">
        <f>IF($M$22=4,D137+'Auto X'!$E$6,D$48)</f>
        <v>2.5999999999999999E-2</v>
      </c>
      <c r="E138" s="35">
        <f>IF($M$22=5,E137+'Auto X'!$E$6,E$48)</f>
        <v>0.04</v>
      </c>
      <c r="F138" s="36">
        <f t="shared" si="615"/>
        <v>75</v>
      </c>
      <c r="G138" s="35">
        <f t="shared" si="599"/>
        <v>0.28399999999999997</v>
      </c>
      <c r="H138" s="197">
        <f t="shared" si="625"/>
        <v>169.23611111111677</v>
      </c>
      <c r="I138" s="41">
        <f t="shared" si="600"/>
        <v>0.46366057838662128</v>
      </c>
      <c r="J138" s="40">
        <f t="shared" ca="1" si="502"/>
        <v>0.32690278560506225</v>
      </c>
      <c r="K138" s="40">
        <f t="shared" si="503"/>
        <v>2.5189751902588361E-2</v>
      </c>
      <c r="L138" s="40">
        <f t="shared" si="504"/>
        <v>0.19338305926412305</v>
      </c>
      <c r="M138" s="42">
        <f t="shared" ca="1" si="505"/>
        <v>1.820700007784869</v>
      </c>
      <c r="N138" s="42">
        <f t="shared" ca="1" si="506"/>
        <v>1.6273169485207459</v>
      </c>
      <c r="O138" s="42">
        <f t="shared" ca="1" si="507"/>
        <v>0.96567376449548725</v>
      </c>
      <c r="P138" s="42">
        <f t="shared" ca="1" si="508"/>
        <v>3.4326235504512706E-2</v>
      </c>
      <c r="Q138" s="42">
        <f t="shared" ca="1" si="509"/>
        <v>0.94816509994160414</v>
      </c>
      <c r="R138" s="42">
        <f t="shared" ca="1" si="510"/>
        <v>5.1834900058395847E-2</v>
      </c>
      <c r="S138" s="42">
        <f t="shared" si="511"/>
        <v>0.98162450344672281</v>
      </c>
      <c r="T138" s="42">
        <f t="shared" si="512"/>
        <v>73.621837758504213</v>
      </c>
      <c r="U138" s="42">
        <f t="shared" si="513"/>
        <v>0.98801719747153338</v>
      </c>
      <c r="V138" s="42">
        <f t="shared" ca="1" si="514"/>
        <v>102.75378853703947</v>
      </c>
      <c r="W138" s="42">
        <f t="shared" ca="1" si="515"/>
        <v>7.6046309223223349E-2</v>
      </c>
      <c r="X138" s="42">
        <f t="shared" ca="1" si="516"/>
        <v>0.28902985802418479</v>
      </c>
      <c r="Y138" s="42">
        <f t="shared" ca="1" si="517"/>
        <v>-3.3914911002916534E-2</v>
      </c>
      <c r="Z138" s="42">
        <f t="shared" ca="1" si="518"/>
        <v>3.735862465980773E-3</v>
      </c>
      <c r="AA138" s="42">
        <f t="shared" ca="1" si="601"/>
        <v>-4.2975226234148473E-3</v>
      </c>
      <c r="AB138" s="42">
        <f t="shared" ca="1" si="519"/>
        <v>5.3207894141036612E-2</v>
      </c>
      <c r="AC138" s="42">
        <f t="shared" ca="1" si="520"/>
        <v>-1.7694125053029731E-2</v>
      </c>
      <c r="AD138" s="42">
        <f t="shared" ca="1" si="616"/>
        <v>-1655.4850709879076</v>
      </c>
      <c r="AF138" s="36">
        <f t="shared" si="617"/>
        <v>80</v>
      </c>
      <c r="AG138" s="35">
        <f t="shared" si="602"/>
        <v>0.28399999999999997</v>
      </c>
      <c r="AH138" s="197">
        <f t="shared" si="626"/>
        <v>169.23611111111677</v>
      </c>
      <c r="AI138" s="41">
        <f t="shared" si="603"/>
        <v>0.46366057838662128</v>
      </c>
      <c r="AJ138" s="40">
        <f t="shared" ca="1" si="521"/>
        <v>0.26236426446749106</v>
      </c>
      <c r="AK138" s="40">
        <f t="shared" si="522"/>
        <v>2.5189751902588361E-2</v>
      </c>
      <c r="AL138" s="40">
        <f t="shared" si="523"/>
        <v>0.19338305926412305</v>
      </c>
      <c r="AM138" s="42">
        <f t="shared" ca="1" si="524"/>
        <v>1.4869659083081184</v>
      </c>
      <c r="AN138" s="42">
        <f t="shared" ca="1" si="525"/>
        <v>1.2935828490439953</v>
      </c>
      <c r="AO138" s="42">
        <f t="shared" ca="1" si="526"/>
        <v>0.93148809237217278</v>
      </c>
      <c r="AP138" s="42">
        <f t="shared" ca="1" si="527"/>
        <v>6.8511907627827232E-2</v>
      </c>
      <c r="AQ138" s="42">
        <f t="shared" ca="1" si="528"/>
        <v>0.90209522509920448</v>
      </c>
      <c r="AR138" s="42">
        <f t="shared" ca="1" si="529"/>
        <v>9.7904774900795494E-2</v>
      </c>
      <c r="AS138" s="42">
        <f t="shared" si="530"/>
        <v>0.98162450344672281</v>
      </c>
      <c r="AT138" s="42">
        <f t="shared" si="531"/>
        <v>78.529960275737821</v>
      </c>
      <c r="AU138" s="42">
        <f t="shared" si="532"/>
        <v>0.98801719747153338</v>
      </c>
      <c r="AV138" s="42">
        <f t="shared" ca="1" si="533"/>
        <v>102.75378853703947</v>
      </c>
      <c r="AW138" s="42">
        <f t="shared" ca="1" si="534"/>
        <v>0.13206350951151696</v>
      </c>
      <c r="AX138" s="42">
        <f t="shared" ca="1" si="535"/>
        <v>0.64860001510558263</v>
      </c>
      <c r="AY138" s="42">
        <f t="shared" ca="1" si="536"/>
        <v>-6.7690942967874423E-2</v>
      </c>
      <c r="AZ138" s="42">
        <f t="shared" ca="1" si="537"/>
        <v>6.4877719030590796E-3</v>
      </c>
      <c r="BA138" s="42">
        <f t="shared" ca="1" si="604"/>
        <v>-7.4120108317544519E-3</v>
      </c>
      <c r="BB138" s="42">
        <f t="shared" ca="1" si="538"/>
        <v>9.2401870725327656E-2</v>
      </c>
      <c r="BC138" s="42">
        <f t="shared" ca="1" si="539"/>
        <v>-3.5648349220195531E-2</v>
      </c>
      <c r="BD138" s="42">
        <f t="shared" ca="1" si="618"/>
        <v>2500.6999924472088</v>
      </c>
      <c r="BE138" s="40"/>
      <c r="BF138" s="36">
        <f t="shared" si="619"/>
        <v>90</v>
      </c>
      <c r="BG138" s="35">
        <f t="shared" si="605"/>
        <v>0.28399999999999997</v>
      </c>
      <c r="BH138" s="197">
        <f t="shared" si="627"/>
        <v>169.23611111111677</v>
      </c>
      <c r="BI138" s="41">
        <f t="shared" si="606"/>
        <v>0.46366057838662128</v>
      </c>
      <c r="BJ138" s="40">
        <f t="shared" ca="1" si="540"/>
        <v>0.14458122881110749</v>
      </c>
      <c r="BK138" s="40">
        <f t="shared" si="541"/>
        <v>2.5189751902588361E-2</v>
      </c>
      <c r="BL138" s="40">
        <f t="shared" si="542"/>
        <v>0.19338305926412305</v>
      </c>
      <c r="BM138" s="42">
        <f t="shared" ca="1" si="543"/>
        <v>0.87789996372858192</v>
      </c>
      <c r="BN138" s="42">
        <f t="shared" ca="1" si="544"/>
        <v>0.6845169044644589</v>
      </c>
      <c r="BO138" s="42">
        <f t="shared" ca="1" si="545"/>
        <v>0.81000099555003746</v>
      </c>
      <c r="BP138" s="42">
        <f t="shared" ca="1" si="546"/>
        <v>0.18999900444996251</v>
      </c>
      <c r="BQ138" s="42">
        <f t="shared" ca="1" si="547"/>
        <v>0.75317559071046369</v>
      </c>
      <c r="BR138" s="42">
        <f t="shared" ca="1" si="548"/>
        <v>0.24682440928953631</v>
      </c>
      <c r="BS138" s="42">
        <f t="shared" si="549"/>
        <v>0.98162450344672281</v>
      </c>
      <c r="BT138" s="42">
        <f t="shared" si="550"/>
        <v>88.34620531020505</v>
      </c>
      <c r="BU138" s="42">
        <f t="shared" si="551"/>
        <v>0.98801719747153338</v>
      </c>
      <c r="BV138" s="42">
        <f t="shared" ca="1" si="552"/>
        <v>102.75378853703947</v>
      </c>
      <c r="BW138" s="42">
        <f t="shared" ca="1" si="553"/>
        <v>0.27136440149940161</v>
      </c>
      <c r="BX138" s="42">
        <f t="shared" ca="1" si="554"/>
        <v>16.690465639998408</v>
      </c>
      <c r="BY138" s="42">
        <f t="shared" ca="1" si="555"/>
        <v>0.80029491357250004</v>
      </c>
      <c r="BZ138" s="42">
        <f t="shared" ca="1" si="556"/>
        <v>1.3331088550124643E-2</v>
      </c>
      <c r="CA138" s="42">
        <f t="shared" ca="1" si="607"/>
        <v>-1.7294429941151292E-2</v>
      </c>
      <c r="CB138" s="42">
        <f t="shared" ca="1" si="557"/>
        <v>0.18986757537756421</v>
      </c>
      <c r="CC138" s="42">
        <f t="shared" ca="1" si="558"/>
        <v>0.30852070108533541</v>
      </c>
      <c r="CD138" s="42">
        <f t="shared" ca="1" si="620"/>
        <v>-4945.2328199992035</v>
      </c>
      <c r="CE138" s="40"/>
      <c r="CF138" s="36">
        <f t="shared" si="621"/>
        <v>95</v>
      </c>
      <c r="CG138" s="35">
        <f t="shared" si="608"/>
        <v>0.28399999999999997</v>
      </c>
      <c r="CH138" s="197">
        <f t="shared" si="628"/>
        <v>169.23611111111677</v>
      </c>
      <c r="CI138" s="41">
        <f t="shared" si="609"/>
        <v>0.46366057838662128</v>
      </c>
      <c r="CJ138" s="40">
        <f t="shared" ca="1" si="559"/>
        <v>9.0514007540831901E-2</v>
      </c>
      <c r="CK138" s="40">
        <f t="shared" si="560"/>
        <v>2.5189751902588361E-2</v>
      </c>
      <c r="CL138" s="40">
        <f t="shared" si="561"/>
        <v>0.19338305926412305</v>
      </c>
      <c r="CM138" s="42">
        <f t="shared" ca="1" si="562"/>
        <v>0.59831383309223474</v>
      </c>
      <c r="CN138" s="42">
        <f t="shared" ca="1" si="563"/>
        <v>0.40493077382811171</v>
      </c>
      <c r="CO138" s="42">
        <f t="shared" ca="1" si="564"/>
        <v>0.72518472589911132</v>
      </c>
      <c r="CP138" s="42">
        <f t="shared" ca="1" si="565"/>
        <v>0.27481527410088868</v>
      </c>
      <c r="CQ138" s="42">
        <f t="shared" ca="1" si="566"/>
        <v>0.65723580149359184</v>
      </c>
      <c r="CR138" s="42">
        <f t="shared" ca="1" si="567"/>
        <v>0.34276419850640816</v>
      </c>
      <c r="CS138" s="42">
        <f t="shared" si="568"/>
        <v>0.98162450344672281</v>
      </c>
      <c r="CT138" s="42">
        <f t="shared" si="569"/>
        <v>93.254327827438672</v>
      </c>
      <c r="CU138" s="42">
        <f t="shared" si="570"/>
        <v>0.98801719747153338</v>
      </c>
      <c r="CV138" s="42">
        <f t="shared" ca="1" si="571"/>
        <v>102.75378853703947</v>
      </c>
      <c r="CW138" s="42">
        <f t="shared" ca="1" si="572"/>
        <v>0.33356142267776823</v>
      </c>
      <c r="CX138" s="42">
        <f t="shared" ca="1" si="573"/>
        <v>13.225395082915391</v>
      </c>
      <c r="CY138" s="42">
        <f t="shared" ca="1" si="574"/>
        <v>0.71649498053200211</v>
      </c>
      <c r="CZ138" s="42">
        <f t="shared" ca="1" si="575"/>
        <v>1.6386588801083728E-2</v>
      </c>
      <c r="DA138" s="42">
        <f t="shared" ca="1" si="610"/>
        <v>-2.0991311003358437E-2</v>
      </c>
      <c r="DB138" s="42">
        <f t="shared" ca="1" si="576"/>
        <v>0.2333854338055405</v>
      </c>
      <c r="DC138" s="42">
        <f t="shared" ca="1" si="577"/>
        <v>0.28417795283260089</v>
      </c>
      <c r="DD138" s="42">
        <f t="shared" ca="1" si="622"/>
        <v>4037.697541457695</v>
      </c>
      <c r="DE138" s="40"/>
      <c r="DF138" s="36">
        <f t="shared" si="623"/>
        <v>200</v>
      </c>
      <c r="DG138" s="35">
        <f t="shared" si="611"/>
        <v>0.28399999999999997</v>
      </c>
      <c r="DH138" s="197">
        <f t="shared" si="629"/>
        <v>169.23611111111677</v>
      </c>
      <c r="DI138" s="41">
        <f t="shared" si="612"/>
        <v>0.46366057838662128</v>
      </c>
      <c r="DJ138" s="40">
        <f t="shared" ca="1" si="578"/>
        <v>-0.65392646740666394</v>
      </c>
      <c r="DK138" s="40">
        <f t="shared" si="579"/>
        <v>2.5189751902588361E-2</v>
      </c>
      <c r="DL138" s="40">
        <f t="shared" si="580"/>
        <v>0.19338305926412305</v>
      </c>
      <c r="DM138" s="42">
        <f t="shared" ca="1" si="581"/>
        <v>-3.2512502278979127</v>
      </c>
      <c r="DN138" s="42">
        <f t="shared" ca="1" si="582"/>
        <v>-3.444633287162036</v>
      </c>
      <c r="DO138" s="42">
        <f t="shared" ca="1" si="583"/>
        <v>5.7449341734750619E-4</v>
      </c>
      <c r="DP138" s="42">
        <f t="shared" ca="1" si="584"/>
        <v>0.9994255065826525</v>
      </c>
      <c r="DQ138" s="42">
        <f t="shared" ca="1" si="585"/>
        <v>2.85917311790883E-4</v>
      </c>
      <c r="DR138" s="42">
        <f t="shared" ca="1" si="586"/>
        <v>0.99971408268820916</v>
      </c>
      <c r="DS138" s="42">
        <f t="shared" si="587"/>
        <v>0.98162450344672281</v>
      </c>
      <c r="DT138" s="42">
        <f t="shared" si="588"/>
        <v>196.32490068934456</v>
      </c>
      <c r="DU138" s="42">
        <f t="shared" si="589"/>
        <v>0.98801719747153338</v>
      </c>
      <c r="DV138" s="42">
        <f t="shared" ca="1" si="590"/>
        <v>102.75378853703947</v>
      </c>
      <c r="DW138" s="42">
        <f t="shared" ca="1" si="591"/>
        <v>2.0208186944269645E-3</v>
      </c>
      <c r="DX138" s="42">
        <f t="shared" si="592"/>
        <v>0</v>
      </c>
      <c r="DY138" s="92">
        <f t="shared" si="593"/>
        <v>0</v>
      </c>
      <c r="DZ138" s="42">
        <f t="shared" si="594"/>
        <v>0</v>
      </c>
      <c r="EA138" s="42">
        <f t="shared" si="613"/>
        <v>0</v>
      </c>
      <c r="EB138" s="42">
        <f t="shared" si="595"/>
        <v>0</v>
      </c>
      <c r="EC138" s="42">
        <f t="shared" si="596"/>
        <v>0</v>
      </c>
      <c r="ED138" s="42">
        <f t="shared" ca="1" si="624"/>
        <v>0</v>
      </c>
      <c r="EE138" s="40"/>
      <c r="EF138" s="120">
        <f t="shared" ca="1" si="630"/>
        <v>104</v>
      </c>
      <c r="EG138" s="42">
        <f t="shared" ca="1" si="597"/>
        <v>-62.320357082207465</v>
      </c>
      <c r="EH138" s="36">
        <f t="shared" ca="1" si="614"/>
        <v>-62.320357082207465</v>
      </c>
      <c r="EI138" s="36">
        <f t="shared" ca="1" si="631"/>
        <v>-12.522</v>
      </c>
      <c r="EJ138" s="153">
        <f t="shared" ca="1" si="598"/>
        <v>-1</v>
      </c>
      <c r="EK138" s="153" t="str">
        <f t="shared" ca="1" si="632"/>
        <v/>
      </c>
      <c r="EL138" s="153" t="str">
        <f t="shared" ca="1" si="501"/>
        <v/>
      </c>
      <c r="EM138" s="153">
        <f t="shared" ca="1" si="633"/>
        <v>3</v>
      </c>
      <c r="EN138" s="153">
        <f t="shared" ca="1" si="634"/>
        <v>0</v>
      </c>
    </row>
    <row r="139" spans="1:144" x14ac:dyDescent="0.3">
      <c r="A139" s="36">
        <f ca="1">IF($M$22=1,A138+'Auto X'!$E$6,A$48)</f>
        <v>104.5</v>
      </c>
      <c r="B139" s="35">
        <f>IF($M$22=2,B138+'Auto X'!$E$6,B$48)</f>
        <v>0.28399999999999997</v>
      </c>
      <c r="C139" s="39">
        <f>IF($M$22=3,C138+'Auto X'!$E$6,C$48)</f>
        <v>45295.440972222219</v>
      </c>
      <c r="D139" s="35">
        <f>IF($M$22=4,D138+'Auto X'!$E$6,D$48)</f>
        <v>2.5999999999999999E-2</v>
      </c>
      <c r="E139" s="35">
        <f>IF($M$22=5,E138+'Auto X'!$E$6,E$48)</f>
        <v>0.04</v>
      </c>
      <c r="F139" s="36">
        <f t="shared" si="615"/>
        <v>75</v>
      </c>
      <c r="G139" s="35">
        <f t="shared" si="599"/>
        <v>0.28399999999999997</v>
      </c>
      <c r="H139" s="197">
        <f t="shared" si="625"/>
        <v>169.23611111111677</v>
      </c>
      <c r="I139" s="41">
        <f t="shared" si="600"/>
        <v>0.46366057838662128</v>
      </c>
      <c r="J139" s="40">
        <f t="shared" ca="1" si="502"/>
        <v>0.33169895786855524</v>
      </c>
      <c r="K139" s="40">
        <f t="shared" si="503"/>
        <v>2.5189751902588361E-2</v>
      </c>
      <c r="L139" s="40">
        <f t="shared" si="504"/>
        <v>0.19338305926412305</v>
      </c>
      <c r="M139" s="42">
        <f t="shared" ca="1" si="505"/>
        <v>1.8455014163557324</v>
      </c>
      <c r="N139" s="42">
        <f t="shared" ca="1" si="506"/>
        <v>1.6521183570916094</v>
      </c>
      <c r="O139" s="42">
        <f t="shared" ca="1" si="507"/>
        <v>0.96751768367394608</v>
      </c>
      <c r="P139" s="42">
        <f t="shared" ca="1" si="508"/>
        <v>3.2482316326053973E-2</v>
      </c>
      <c r="Q139" s="42">
        <f t="shared" ca="1" si="509"/>
        <v>0.95074478727505563</v>
      </c>
      <c r="R139" s="42">
        <f t="shared" ca="1" si="510"/>
        <v>4.9255212724944389E-2</v>
      </c>
      <c r="S139" s="42">
        <f t="shared" si="511"/>
        <v>0.98162450344672281</v>
      </c>
      <c r="T139" s="42">
        <f t="shared" si="512"/>
        <v>73.621837758504213</v>
      </c>
      <c r="U139" s="42">
        <f t="shared" si="513"/>
        <v>0.98801719747153338</v>
      </c>
      <c r="V139" s="42">
        <f t="shared" ca="1" si="514"/>
        <v>103.24779713577524</v>
      </c>
      <c r="W139" s="42">
        <f t="shared" ca="1" si="515"/>
        <v>7.2666392915206712E-2</v>
      </c>
      <c r="X139" s="42">
        <f t="shared" ca="1" si="516"/>
        <v>0.27253167346396712</v>
      </c>
      <c r="Y139" s="42">
        <f t="shared" ca="1" si="517"/>
        <v>-3.2093087143851624E-2</v>
      </c>
      <c r="Z139" s="42">
        <f t="shared" ca="1" si="518"/>
        <v>3.5527397078748716E-3</v>
      </c>
      <c r="AA139" s="42">
        <f t="shared" ca="1" si="601"/>
        <v>-4.1280661114179266E-3</v>
      </c>
      <c r="AB139" s="42">
        <f t="shared" ca="1" si="519"/>
        <v>5.1087480336970678E-2</v>
      </c>
      <c r="AC139" s="42">
        <f t="shared" ca="1" si="520"/>
        <v>-1.6813534751430149E-2</v>
      </c>
      <c r="AD139" s="42">
        <f t="shared" ca="1" si="616"/>
        <v>-1663.7341632680166</v>
      </c>
      <c r="AF139" s="36">
        <f t="shared" si="617"/>
        <v>80</v>
      </c>
      <c r="AG139" s="35">
        <f t="shared" si="602"/>
        <v>0.28399999999999997</v>
      </c>
      <c r="AH139" s="197">
        <f t="shared" si="626"/>
        <v>169.23611111111677</v>
      </c>
      <c r="AI139" s="41">
        <f t="shared" si="603"/>
        <v>0.46366057838662128</v>
      </c>
      <c r="AJ139" s="40">
        <f t="shared" ca="1" si="521"/>
        <v>0.267160436730984</v>
      </c>
      <c r="AK139" s="40">
        <f t="shared" si="522"/>
        <v>2.5189751902588361E-2</v>
      </c>
      <c r="AL139" s="40">
        <f t="shared" si="523"/>
        <v>0.19338305926412305</v>
      </c>
      <c r="AM139" s="42">
        <f t="shared" ca="1" si="524"/>
        <v>1.5117673168789816</v>
      </c>
      <c r="AN139" s="42">
        <f t="shared" ca="1" si="525"/>
        <v>1.3183842576148586</v>
      </c>
      <c r="AO139" s="42">
        <f t="shared" ca="1" si="526"/>
        <v>0.93470346670064508</v>
      </c>
      <c r="AP139" s="42">
        <f t="shared" ca="1" si="527"/>
        <v>6.5296533299354892E-2</v>
      </c>
      <c r="AQ139" s="42">
        <f t="shared" ca="1" si="528"/>
        <v>0.9063124760310477</v>
      </c>
      <c r="AR139" s="42">
        <f t="shared" ca="1" si="529"/>
        <v>9.3687523968952288E-2</v>
      </c>
      <c r="AS139" s="42">
        <f t="shared" si="530"/>
        <v>0.98162450344672281</v>
      </c>
      <c r="AT139" s="42">
        <f t="shared" si="531"/>
        <v>78.529960275737821</v>
      </c>
      <c r="AU139" s="42">
        <f t="shared" si="532"/>
        <v>0.98801719747153338</v>
      </c>
      <c r="AV139" s="42">
        <f t="shared" ca="1" si="533"/>
        <v>103.24779713577524</v>
      </c>
      <c r="AW139" s="42">
        <f t="shared" ca="1" si="534"/>
        <v>0.12724273170731967</v>
      </c>
      <c r="AX139" s="42">
        <f t="shared" ca="1" si="535"/>
        <v>0.61555431185287102</v>
      </c>
      <c r="AY139" s="42">
        <f t="shared" ca="1" si="536"/>
        <v>-6.4514097835035311E-2</v>
      </c>
      <c r="AZ139" s="42">
        <f t="shared" ca="1" si="537"/>
        <v>6.2210368141234944E-3</v>
      </c>
      <c r="BA139" s="42">
        <f t="shared" ca="1" si="604"/>
        <v>-7.1799659290818774E-3</v>
      </c>
      <c r="BB139" s="42">
        <f t="shared" ca="1" si="538"/>
        <v>8.9456904262545045E-2</v>
      </c>
      <c r="BC139" s="42">
        <f t="shared" ca="1" si="539"/>
        <v>-3.4112795575137099E-2</v>
      </c>
      <c r="BD139" s="42">
        <f t="shared" ca="1" si="618"/>
        <v>2517.2228440735648</v>
      </c>
      <c r="BE139" s="40"/>
      <c r="BF139" s="36">
        <f t="shared" si="619"/>
        <v>90</v>
      </c>
      <c r="BG139" s="35">
        <f t="shared" si="605"/>
        <v>0.28399999999999997</v>
      </c>
      <c r="BH139" s="197">
        <f t="shared" si="627"/>
        <v>169.23611111111677</v>
      </c>
      <c r="BI139" s="41">
        <f t="shared" si="606"/>
        <v>0.46366057838662128</v>
      </c>
      <c r="BJ139" s="40">
        <f t="shared" ca="1" si="540"/>
        <v>0.14937740107460071</v>
      </c>
      <c r="BK139" s="40">
        <f t="shared" si="541"/>
        <v>2.5189751902588361E-2</v>
      </c>
      <c r="BL139" s="40">
        <f t="shared" si="542"/>
        <v>0.19338305926412305</v>
      </c>
      <c r="BM139" s="42">
        <f t="shared" ca="1" si="543"/>
        <v>0.90270137229944647</v>
      </c>
      <c r="BN139" s="42">
        <f t="shared" ca="1" si="544"/>
        <v>0.70931831303532344</v>
      </c>
      <c r="BO139" s="42">
        <f t="shared" ca="1" si="545"/>
        <v>0.81665779603147004</v>
      </c>
      <c r="BP139" s="42">
        <f t="shared" ca="1" si="546"/>
        <v>0.18334220396852999</v>
      </c>
      <c r="BQ139" s="42">
        <f t="shared" ca="1" si="547"/>
        <v>0.76093651671383855</v>
      </c>
      <c r="BR139" s="42">
        <f t="shared" ca="1" si="548"/>
        <v>0.23906348328616145</v>
      </c>
      <c r="BS139" s="42">
        <f t="shared" si="549"/>
        <v>0.98162450344672281</v>
      </c>
      <c r="BT139" s="42">
        <f t="shared" si="550"/>
        <v>88.34620531020505</v>
      </c>
      <c r="BU139" s="42">
        <f t="shared" si="551"/>
        <v>0.98801719747153338</v>
      </c>
      <c r="BV139" s="42">
        <f t="shared" ca="1" si="552"/>
        <v>103.24779713577524</v>
      </c>
      <c r="BW139" s="42">
        <f t="shared" ca="1" si="553"/>
        <v>0.26543815136539833</v>
      </c>
      <c r="BX139" s="42">
        <f t="shared" ca="1" si="554"/>
        <v>17.092264720373478</v>
      </c>
      <c r="BY139" s="42">
        <f t="shared" ca="1" si="555"/>
        <v>0.80687194692829212</v>
      </c>
      <c r="BZ139" s="42">
        <f t="shared" ca="1" si="556"/>
        <v>1.2977562563772246E-2</v>
      </c>
      <c r="CA139" s="42">
        <f t="shared" ca="1" si="607"/>
        <v>-1.701911164841385E-2</v>
      </c>
      <c r="CB139" s="42">
        <f t="shared" ca="1" si="557"/>
        <v>0.18661400125344393</v>
      </c>
      <c r="CC139" s="42">
        <f t="shared" ca="1" si="558"/>
        <v>0.31169978224670714</v>
      </c>
      <c r="CD139" s="42">
        <f t="shared" ca="1" si="620"/>
        <v>-5146.1323601867389</v>
      </c>
      <c r="CE139" s="40"/>
      <c r="CF139" s="36">
        <f t="shared" si="621"/>
        <v>95</v>
      </c>
      <c r="CG139" s="35">
        <f t="shared" si="608"/>
        <v>0.28399999999999997</v>
      </c>
      <c r="CH139" s="197">
        <f t="shared" si="628"/>
        <v>169.23611111111677</v>
      </c>
      <c r="CI139" s="41">
        <f t="shared" si="609"/>
        <v>0.46366057838662128</v>
      </c>
      <c r="CJ139" s="40">
        <f t="shared" ca="1" si="559"/>
        <v>9.5310179804324935E-2</v>
      </c>
      <c r="CK139" s="40">
        <f t="shared" si="560"/>
        <v>2.5189751902588361E-2</v>
      </c>
      <c r="CL139" s="40">
        <f t="shared" si="561"/>
        <v>0.19338305926412305</v>
      </c>
      <c r="CM139" s="42">
        <f t="shared" ca="1" si="562"/>
        <v>0.62311524166309828</v>
      </c>
      <c r="CN139" s="42">
        <f t="shared" ca="1" si="563"/>
        <v>0.42973218239897526</v>
      </c>
      <c r="CO139" s="42">
        <f t="shared" ca="1" si="564"/>
        <v>0.73339560276253013</v>
      </c>
      <c r="CP139" s="42">
        <f t="shared" ca="1" si="565"/>
        <v>0.26660439723746987</v>
      </c>
      <c r="CQ139" s="42">
        <f t="shared" ca="1" si="566"/>
        <v>0.66630476489269841</v>
      </c>
      <c r="CR139" s="42">
        <f t="shared" ca="1" si="567"/>
        <v>0.33369523510730159</v>
      </c>
      <c r="CS139" s="42">
        <f t="shared" si="568"/>
        <v>0.98162450344672281</v>
      </c>
      <c r="CT139" s="42">
        <f t="shared" si="569"/>
        <v>93.254327827438672</v>
      </c>
      <c r="CU139" s="42">
        <f t="shared" si="570"/>
        <v>0.98801719747153338</v>
      </c>
      <c r="CV139" s="42">
        <f t="shared" ca="1" si="571"/>
        <v>103.24779713577524</v>
      </c>
      <c r="CW139" s="42">
        <f t="shared" ca="1" si="572"/>
        <v>0.32854717784553872</v>
      </c>
      <c r="CX139" s="42">
        <f t="shared" ca="1" si="573"/>
        <v>13.585677436007167</v>
      </c>
      <c r="CY139" s="42">
        <f t="shared" ca="1" si="574"/>
        <v>0.72460746807938103</v>
      </c>
      <c r="CZ139" s="42">
        <f t="shared" ca="1" si="575"/>
        <v>1.6063032136521625E-2</v>
      </c>
      <c r="DA139" s="42">
        <f t="shared" ca="1" si="610"/>
        <v>-2.0796443668678909E-2</v>
      </c>
      <c r="DB139" s="42">
        <f t="shared" ca="1" si="576"/>
        <v>0.23098225761029464</v>
      </c>
      <c r="DC139" s="42">
        <f t="shared" ca="1" si="577"/>
        <v>0.28809922347430228</v>
      </c>
      <c r="DD139" s="42">
        <f t="shared" ca="1" si="622"/>
        <v>4217.8387180035834</v>
      </c>
      <c r="DE139" s="40"/>
      <c r="DF139" s="36">
        <f t="shared" si="623"/>
        <v>200</v>
      </c>
      <c r="DG139" s="35">
        <f t="shared" si="611"/>
        <v>0.28399999999999997</v>
      </c>
      <c r="DH139" s="197">
        <f t="shared" si="629"/>
        <v>169.23611111111677</v>
      </c>
      <c r="DI139" s="41">
        <f t="shared" si="612"/>
        <v>0.46366057838662128</v>
      </c>
      <c r="DJ139" s="40">
        <f t="shared" ca="1" si="578"/>
        <v>-0.649130295143171</v>
      </c>
      <c r="DK139" s="40">
        <f t="shared" si="579"/>
        <v>2.5189751902588361E-2</v>
      </c>
      <c r="DL139" s="40">
        <f t="shared" si="580"/>
        <v>0.19338305926412305</v>
      </c>
      <c r="DM139" s="42">
        <f t="shared" ca="1" si="581"/>
        <v>-3.2264488193270497</v>
      </c>
      <c r="DN139" s="42">
        <f t="shared" ca="1" si="582"/>
        <v>-3.419831878591173</v>
      </c>
      <c r="DO139" s="42">
        <f t="shared" ca="1" si="583"/>
        <v>6.2668322838491737E-4</v>
      </c>
      <c r="DP139" s="42">
        <f t="shared" ca="1" si="584"/>
        <v>0.99937331677161512</v>
      </c>
      <c r="DQ139" s="42">
        <f t="shared" ca="1" si="585"/>
        <v>3.1329923917940058E-4</v>
      </c>
      <c r="DR139" s="42">
        <f t="shared" ca="1" si="586"/>
        <v>0.99968670076082056</v>
      </c>
      <c r="DS139" s="42">
        <f t="shared" si="587"/>
        <v>0.98162450344672281</v>
      </c>
      <c r="DT139" s="42">
        <f t="shared" si="588"/>
        <v>196.32490068934456</v>
      </c>
      <c r="DU139" s="42">
        <f t="shared" si="589"/>
        <v>0.98801719747153338</v>
      </c>
      <c r="DV139" s="42">
        <f t="shared" ca="1" si="590"/>
        <v>103.24779713577524</v>
      </c>
      <c r="DW139" s="42">
        <f t="shared" ca="1" si="591"/>
        <v>2.1898449755636592E-3</v>
      </c>
      <c r="DX139" s="42">
        <f t="shared" si="592"/>
        <v>0</v>
      </c>
      <c r="DY139" s="92">
        <f t="shared" si="593"/>
        <v>0</v>
      </c>
      <c r="DZ139" s="42">
        <f t="shared" si="594"/>
        <v>0</v>
      </c>
      <c r="EA139" s="42">
        <f t="shared" si="613"/>
        <v>0</v>
      </c>
      <c r="EB139" s="42">
        <f t="shared" si="595"/>
        <v>0</v>
      </c>
      <c r="EC139" s="42">
        <f t="shared" si="596"/>
        <v>0</v>
      </c>
      <c r="ED139" s="42">
        <f t="shared" ca="1" si="624"/>
        <v>0</v>
      </c>
      <c r="EE139" s="40"/>
      <c r="EF139" s="120">
        <f t="shared" ca="1" si="630"/>
        <v>104.5</v>
      </c>
      <c r="EG139" s="42">
        <f t="shared" ca="1" si="597"/>
        <v>-74.804961377607469</v>
      </c>
      <c r="EH139" s="36">
        <f t="shared" ca="1" si="614"/>
        <v>-74.804961377607469</v>
      </c>
      <c r="EI139" s="36">
        <f t="shared" ca="1" si="631"/>
        <v>-12.484999999999999</v>
      </c>
      <c r="EJ139" s="153">
        <f t="shared" ca="1" si="598"/>
        <v>-1</v>
      </c>
      <c r="EK139" s="153" t="str">
        <f t="shared" ca="1" si="632"/>
        <v/>
      </c>
      <c r="EL139" s="153" t="str">
        <f t="shared" ca="1" si="501"/>
        <v/>
      </c>
      <c r="EM139" s="153">
        <f t="shared" ca="1" si="633"/>
        <v>3</v>
      </c>
      <c r="EN139" s="153">
        <f t="shared" ca="1" si="634"/>
        <v>0</v>
      </c>
    </row>
    <row r="140" spans="1:144" x14ac:dyDescent="0.3">
      <c r="A140" s="36">
        <f ca="1">IF($M$22=1,A139+'Auto X'!$E$6,A$48)</f>
        <v>105</v>
      </c>
      <c r="B140" s="35">
        <f>IF($M$22=2,B139+'Auto X'!$E$6,B$48)</f>
        <v>0.28399999999999997</v>
      </c>
      <c r="C140" s="39">
        <f>IF($M$22=3,C139+'Auto X'!$E$6,C$48)</f>
        <v>45295.440972222219</v>
      </c>
      <c r="D140" s="35">
        <f>IF($M$22=4,D139+'Auto X'!$E$6,D$48)</f>
        <v>2.5999999999999999E-2</v>
      </c>
      <c r="E140" s="35">
        <f>IF($M$22=5,E139+'Auto X'!$E$6,E$48)</f>
        <v>0.04</v>
      </c>
      <c r="F140" s="36">
        <f t="shared" si="615"/>
        <v>75</v>
      </c>
      <c r="G140" s="35">
        <f t="shared" si="599"/>
        <v>0.28399999999999997</v>
      </c>
      <c r="H140" s="197">
        <f t="shared" si="625"/>
        <v>169.23611111111677</v>
      </c>
      <c r="I140" s="41">
        <f t="shared" si="600"/>
        <v>0.46366057838662128</v>
      </c>
      <c r="J140" s="40">
        <f t="shared" ca="1" si="502"/>
        <v>0.33647223662121289</v>
      </c>
      <c r="K140" s="40">
        <f t="shared" si="503"/>
        <v>2.5189751902588361E-2</v>
      </c>
      <c r="L140" s="40">
        <f t="shared" si="504"/>
        <v>0.19338305926412305</v>
      </c>
      <c r="M140" s="42">
        <f t="shared" ca="1" si="505"/>
        <v>1.8701844406641766</v>
      </c>
      <c r="N140" s="42">
        <f t="shared" ca="1" si="506"/>
        <v>1.6768013814000535</v>
      </c>
      <c r="O140" s="42">
        <f t="shared" ca="1" si="507"/>
        <v>0.96927089518833565</v>
      </c>
      <c r="P140" s="42">
        <f t="shared" ca="1" si="508"/>
        <v>3.0729104811664392E-2</v>
      </c>
      <c r="Q140" s="42">
        <f t="shared" ca="1" si="509"/>
        <v>0.95320933623244231</v>
      </c>
      <c r="R140" s="42">
        <f t="shared" ca="1" si="510"/>
        <v>4.6790663767557736E-2</v>
      </c>
      <c r="S140" s="42">
        <f t="shared" si="511"/>
        <v>0.98162450344672281</v>
      </c>
      <c r="T140" s="42">
        <f t="shared" si="512"/>
        <v>73.621837758504213</v>
      </c>
      <c r="U140" s="42">
        <f t="shared" si="513"/>
        <v>0.98801719747153338</v>
      </c>
      <c r="V140" s="42">
        <f t="shared" ca="1" si="514"/>
        <v>103.741805734511</v>
      </c>
      <c r="W140" s="42">
        <f t="shared" ca="1" si="515"/>
        <v>6.9409366662653141E-2</v>
      </c>
      <c r="X140" s="42">
        <f t="shared" ca="1" si="516"/>
        <v>0.25692183474074248</v>
      </c>
      <c r="Y140" s="42">
        <f t="shared" ca="1" si="517"/>
        <v>-3.0360884016829626E-2</v>
      </c>
      <c r="Z140" s="42">
        <f t="shared" ca="1" si="518"/>
        <v>3.3773405951141185E-3</v>
      </c>
      <c r="AA140" s="42">
        <f t="shared" ca="1" si="601"/>
        <v>-3.9635971742767373E-3</v>
      </c>
      <c r="AB140" s="42">
        <f t="shared" ca="1" si="519"/>
        <v>4.9031137750668974E-2</v>
      </c>
      <c r="AC140" s="42">
        <f t="shared" ca="1" si="520"/>
        <v>-1.5972247560711431E-2</v>
      </c>
      <c r="AD140" s="42">
        <f t="shared" ca="1" si="616"/>
        <v>-1671.5390826296289</v>
      </c>
      <c r="AF140" s="36">
        <f t="shared" si="617"/>
        <v>80</v>
      </c>
      <c r="AG140" s="35">
        <f t="shared" si="602"/>
        <v>0.28399999999999997</v>
      </c>
      <c r="AH140" s="197">
        <f t="shared" si="626"/>
        <v>169.23611111111677</v>
      </c>
      <c r="AI140" s="41">
        <f t="shared" si="603"/>
        <v>0.46366057838662128</v>
      </c>
      <c r="AJ140" s="40">
        <f t="shared" ca="1" si="521"/>
        <v>0.27193371548364176</v>
      </c>
      <c r="AK140" s="40">
        <f t="shared" si="522"/>
        <v>2.5189751902588361E-2</v>
      </c>
      <c r="AL140" s="40">
        <f t="shared" si="523"/>
        <v>0.19338305926412305</v>
      </c>
      <c r="AM140" s="42">
        <f t="shared" ca="1" si="524"/>
        <v>1.5364503411874262</v>
      </c>
      <c r="AN140" s="42">
        <f t="shared" ca="1" si="525"/>
        <v>1.3430672819233032</v>
      </c>
      <c r="AO140" s="42">
        <f t="shared" ca="1" si="526"/>
        <v>0.93778601590631538</v>
      </c>
      <c r="AP140" s="42">
        <f t="shared" ca="1" si="527"/>
        <v>6.2213984093684636E-2</v>
      </c>
      <c r="AQ140" s="42">
        <f t="shared" ca="1" si="528"/>
        <v>0.91037490567415036</v>
      </c>
      <c r="AR140" s="42">
        <f t="shared" ca="1" si="529"/>
        <v>8.9625094325849614E-2</v>
      </c>
      <c r="AS140" s="42">
        <f t="shared" si="530"/>
        <v>0.98162450344672281</v>
      </c>
      <c r="AT140" s="42">
        <f t="shared" si="531"/>
        <v>78.529960275737821</v>
      </c>
      <c r="AU140" s="42">
        <f t="shared" si="532"/>
        <v>0.98801719747153338</v>
      </c>
      <c r="AV140" s="42">
        <f t="shared" ca="1" si="533"/>
        <v>103.741805734511</v>
      </c>
      <c r="AW140" s="42">
        <f t="shared" ca="1" si="534"/>
        <v>0.1225448297657261</v>
      </c>
      <c r="AX140" s="42">
        <f t="shared" ca="1" si="535"/>
        <v>0.58406404530123535</v>
      </c>
      <c r="AY140" s="42">
        <f t="shared" ca="1" si="536"/>
        <v>-6.146848620778083E-2</v>
      </c>
      <c r="AZ140" s="42">
        <f t="shared" ca="1" si="537"/>
        <v>5.9628209878455551E-3</v>
      </c>
      <c r="BA140" s="42">
        <f t="shared" ca="1" si="604"/>
        <v>-6.9519056776949292E-3</v>
      </c>
      <c r="BB140" s="42">
        <f t="shared" ca="1" si="538"/>
        <v>8.6566305352971537E-2</v>
      </c>
      <c r="BC140" s="42">
        <f t="shared" ca="1" si="539"/>
        <v>-3.2633614291624223E-2</v>
      </c>
      <c r="BD140" s="42">
        <f t="shared" ca="1" si="618"/>
        <v>2532.9679773493826</v>
      </c>
      <c r="BE140" s="40"/>
      <c r="BF140" s="36">
        <f t="shared" si="619"/>
        <v>90</v>
      </c>
      <c r="BG140" s="35">
        <f t="shared" si="605"/>
        <v>0.28399999999999997</v>
      </c>
      <c r="BH140" s="197">
        <f t="shared" si="627"/>
        <v>169.23611111111677</v>
      </c>
      <c r="BI140" s="41">
        <f t="shared" si="606"/>
        <v>0.46366057838662128</v>
      </c>
      <c r="BJ140" s="40">
        <f t="shared" ca="1" si="540"/>
        <v>0.15415067982725836</v>
      </c>
      <c r="BK140" s="40">
        <f t="shared" si="541"/>
        <v>2.5189751902588361E-2</v>
      </c>
      <c r="BL140" s="40">
        <f t="shared" si="542"/>
        <v>0.19338305926412305</v>
      </c>
      <c r="BM140" s="42">
        <f t="shared" ca="1" si="543"/>
        <v>0.92738439660789063</v>
      </c>
      <c r="BN140" s="42">
        <f t="shared" ca="1" si="544"/>
        <v>0.7340013373437676</v>
      </c>
      <c r="BO140" s="42">
        <f t="shared" ca="1" si="545"/>
        <v>0.82313650546214867</v>
      </c>
      <c r="BP140" s="42">
        <f t="shared" ca="1" si="546"/>
        <v>0.17686349453785136</v>
      </c>
      <c r="BQ140" s="42">
        <f t="shared" ca="1" si="547"/>
        <v>0.76852603849196643</v>
      </c>
      <c r="BR140" s="42">
        <f t="shared" ca="1" si="548"/>
        <v>0.23147396150803359</v>
      </c>
      <c r="BS140" s="42">
        <f t="shared" si="549"/>
        <v>0.98162450344672281</v>
      </c>
      <c r="BT140" s="42">
        <f t="shared" si="550"/>
        <v>88.34620531020505</v>
      </c>
      <c r="BU140" s="42">
        <f t="shared" si="551"/>
        <v>0.98801719747153338</v>
      </c>
      <c r="BV140" s="42">
        <f t="shared" ca="1" si="552"/>
        <v>103.741805734511</v>
      </c>
      <c r="BW140" s="42">
        <f t="shared" ca="1" si="553"/>
        <v>0.25951015537715316</v>
      </c>
      <c r="BX140" s="42">
        <f t="shared" ca="1" si="554"/>
        <v>17.497308259788667</v>
      </c>
      <c r="BY140" s="42">
        <f t="shared" ca="1" si="555"/>
        <v>0.8132730232632237</v>
      </c>
      <c r="BZ140" s="42">
        <f t="shared" ca="1" si="556"/>
        <v>1.2627318541306077E-2</v>
      </c>
      <c r="CA140" s="42">
        <f t="shared" ca="1" si="607"/>
        <v>-1.6739532602275183E-2</v>
      </c>
      <c r="CB140" s="42">
        <f t="shared" ca="1" si="557"/>
        <v>0.18331932400185846</v>
      </c>
      <c r="CC140" s="42">
        <f t="shared" ca="1" si="558"/>
        <v>0.31480865169065936</v>
      </c>
      <c r="CD140" s="42">
        <f t="shared" ca="1" si="620"/>
        <v>-5348.654129894333</v>
      </c>
      <c r="CE140" s="40"/>
      <c r="CF140" s="36">
        <f t="shared" si="621"/>
        <v>95</v>
      </c>
      <c r="CG140" s="35">
        <f t="shared" si="608"/>
        <v>0.28399999999999997</v>
      </c>
      <c r="CH140" s="197">
        <f t="shared" si="628"/>
        <v>169.23611111111677</v>
      </c>
      <c r="CI140" s="41">
        <f t="shared" si="609"/>
        <v>0.46366057838662128</v>
      </c>
      <c r="CJ140" s="40">
        <f t="shared" ca="1" si="559"/>
        <v>0.10008345855698263</v>
      </c>
      <c r="CK140" s="40">
        <f t="shared" si="560"/>
        <v>2.5189751902588361E-2</v>
      </c>
      <c r="CL140" s="40">
        <f t="shared" si="561"/>
        <v>0.19338305926412305</v>
      </c>
      <c r="CM140" s="42">
        <f t="shared" ca="1" si="562"/>
        <v>0.64779826597154266</v>
      </c>
      <c r="CN140" s="42">
        <f t="shared" ca="1" si="563"/>
        <v>0.45441520670741964</v>
      </c>
      <c r="CO140" s="42">
        <f t="shared" ca="1" si="564"/>
        <v>0.74144228145522173</v>
      </c>
      <c r="CP140" s="42">
        <f t="shared" ca="1" si="565"/>
        <v>0.25855771854477821</v>
      </c>
      <c r="CQ140" s="42">
        <f t="shared" ca="1" si="566"/>
        <v>0.67523499532823716</v>
      </c>
      <c r="CR140" s="42">
        <f t="shared" ca="1" si="567"/>
        <v>0.32476500467176284</v>
      </c>
      <c r="CS140" s="42">
        <f t="shared" si="568"/>
        <v>0.98162450344672281</v>
      </c>
      <c r="CT140" s="42">
        <f t="shared" si="569"/>
        <v>93.254327827438672</v>
      </c>
      <c r="CU140" s="42">
        <f t="shared" si="570"/>
        <v>0.98801719747153338</v>
      </c>
      <c r="CV140" s="42">
        <f t="shared" ca="1" si="571"/>
        <v>103.741805734511</v>
      </c>
      <c r="CW140" s="42">
        <f t="shared" ca="1" si="572"/>
        <v>0.32343412112618375</v>
      </c>
      <c r="CX140" s="42">
        <f t="shared" ca="1" si="573"/>
        <v>13.949975511181798</v>
      </c>
      <c r="CY140" s="42">
        <f t="shared" ca="1" si="574"/>
        <v>0.73255772501028804</v>
      </c>
      <c r="CZ140" s="42">
        <f t="shared" ca="1" si="575"/>
        <v>1.5737748947250843E-2</v>
      </c>
      <c r="DA140" s="42">
        <f t="shared" ca="1" si="610"/>
        <v>-2.0592106763831563E-2</v>
      </c>
      <c r="DB140" s="42">
        <f t="shared" ca="1" si="576"/>
        <v>0.22847554600634773</v>
      </c>
      <c r="DC140" s="42">
        <f t="shared" ca="1" si="577"/>
        <v>0.2919605082639129</v>
      </c>
      <c r="DD140" s="42">
        <f t="shared" ca="1" si="622"/>
        <v>4399.9877555908988</v>
      </c>
      <c r="DE140" s="40"/>
      <c r="DF140" s="36">
        <f t="shared" si="623"/>
        <v>200</v>
      </c>
      <c r="DG140" s="35">
        <f t="shared" si="611"/>
        <v>0.28399999999999997</v>
      </c>
      <c r="DH140" s="197">
        <f t="shared" si="629"/>
        <v>169.23611111111677</v>
      </c>
      <c r="DI140" s="41">
        <f t="shared" si="612"/>
        <v>0.46366057838662128</v>
      </c>
      <c r="DJ140" s="40">
        <f t="shared" ca="1" si="578"/>
        <v>-0.64435701639051324</v>
      </c>
      <c r="DK140" s="40">
        <f t="shared" si="579"/>
        <v>2.5189751902588361E-2</v>
      </c>
      <c r="DL140" s="40">
        <f t="shared" si="580"/>
        <v>0.19338305926412305</v>
      </c>
      <c r="DM140" s="42">
        <f t="shared" ca="1" si="581"/>
        <v>-3.2017657950186047</v>
      </c>
      <c r="DN140" s="42">
        <f t="shared" ca="1" si="582"/>
        <v>-3.3951488542827279</v>
      </c>
      <c r="DO140" s="42">
        <f t="shared" ca="1" si="583"/>
        <v>6.8294000051507067E-4</v>
      </c>
      <c r="DP140" s="42">
        <f t="shared" ca="1" si="584"/>
        <v>0.99931705999948495</v>
      </c>
      <c r="DQ140" s="42">
        <f t="shared" ca="1" si="585"/>
        <v>3.4295648640954903E-4</v>
      </c>
      <c r="DR140" s="42">
        <f t="shared" ca="1" si="586"/>
        <v>0.99965704351359042</v>
      </c>
      <c r="DS140" s="42">
        <f t="shared" si="587"/>
        <v>0.98162450344672281</v>
      </c>
      <c r="DT140" s="42">
        <f t="shared" si="588"/>
        <v>196.32490068934456</v>
      </c>
      <c r="DU140" s="42">
        <f t="shared" si="589"/>
        <v>0.98801719747153338</v>
      </c>
      <c r="DV140" s="42">
        <f t="shared" ca="1" si="590"/>
        <v>103.741805734511</v>
      </c>
      <c r="DW140" s="42">
        <f t="shared" ca="1" si="591"/>
        <v>2.3706510989253229E-3</v>
      </c>
      <c r="DX140" s="42">
        <f t="shared" si="592"/>
        <v>0</v>
      </c>
      <c r="DY140" s="92">
        <f t="shared" si="593"/>
        <v>0</v>
      </c>
      <c r="DZ140" s="42">
        <f t="shared" si="594"/>
        <v>0</v>
      </c>
      <c r="EA140" s="42">
        <f t="shared" si="613"/>
        <v>0</v>
      </c>
      <c r="EB140" s="42">
        <f t="shared" si="595"/>
        <v>0</v>
      </c>
      <c r="EC140" s="42">
        <f t="shared" si="596"/>
        <v>0</v>
      </c>
      <c r="ED140" s="42">
        <f t="shared" ca="1" si="624"/>
        <v>0</v>
      </c>
      <c r="EE140" s="40"/>
      <c r="EF140" s="120">
        <f t="shared" ca="1" si="630"/>
        <v>105</v>
      </c>
      <c r="EG140" s="42">
        <f t="shared" ca="1" si="597"/>
        <v>-87.237479583680397</v>
      </c>
      <c r="EH140" s="36">
        <f t="shared" ca="1" si="614"/>
        <v>-87.237479583680397</v>
      </c>
      <c r="EI140" s="36">
        <f t="shared" ca="1" si="631"/>
        <v>-12.433</v>
      </c>
      <c r="EJ140" s="153">
        <f t="shared" ca="1" si="598"/>
        <v>-1</v>
      </c>
      <c r="EK140" s="153" t="str">
        <f t="shared" ca="1" si="632"/>
        <v/>
      </c>
      <c r="EL140" s="153" t="str">
        <f t="shared" ca="1" si="501"/>
        <v/>
      </c>
      <c r="EM140" s="153">
        <f t="shared" ca="1" si="633"/>
        <v>3</v>
      </c>
      <c r="EN140" s="153">
        <f t="shared" ca="1" si="634"/>
        <v>0</v>
      </c>
    </row>
    <row r="141" spans="1:144" x14ac:dyDescent="0.3">
      <c r="A141" s="36">
        <f ca="1">IF($M$22=1,A140+'Auto X'!$E$6,A$48)</f>
        <v>105.5</v>
      </c>
      <c r="B141" s="35">
        <f>IF($M$22=2,B140+'Auto X'!$E$6,B$48)</f>
        <v>0.28399999999999997</v>
      </c>
      <c r="C141" s="39">
        <f>IF($M$22=3,C140+'Auto X'!$E$6,C$48)</f>
        <v>45295.440972222219</v>
      </c>
      <c r="D141" s="35">
        <f>IF($M$22=4,D140+'Auto X'!$E$6,D$48)</f>
        <v>2.5999999999999999E-2</v>
      </c>
      <c r="E141" s="35">
        <f>IF($M$22=5,E140+'Auto X'!$E$6,E$48)</f>
        <v>0.04</v>
      </c>
      <c r="F141" s="36">
        <f t="shared" si="615"/>
        <v>75</v>
      </c>
      <c r="G141" s="35">
        <f t="shared" si="599"/>
        <v>0.28399999999999997</v>
      </c>
      <c r="H141" s="197">
        <f t="shared" si="625"/>
        <v>169.23611111111677</v>
      </c>
      <c r="I141" s="41">
        <f t="shared" si="600"/>
        <v>0.46366057838662128</v>
      </c>
      <c r="J141" s="40">
        <f t="shared" ca="1" si="502"/>
        <v>0.34122283937981079</v>
      </c>
      <c r="K141" s="40">
        <f t="shared" si="503"/>
        <v>2.5189751902588361E-2</v>
      </c>
      <c r="L141" s="40">
        <f t="shared" si="504"/>
        <v>0.19338305926412305</v>
      </c>
      <c r="M141" s="42">
        <f t="shared" ca="1" si="505"/>
        <v>1.8947502055076704</v>
      </c>
      <c r="N141" s="42">
        <f t="shared" ca="1" si="506"/>
        <v>1.7013671462435473</v>
      </c>
      <c r="O141" s="42">
        <f t="shared" ca="1" si="507"/>
        <v>0.9709372485342368</v>
      </c>
      <c r="P141" s="42">
        <f t="shared" ca="1" si="508"/>
        <v>2.9062751465763217E-2</v>
      </c>
      <c r="Q141" s="42">
        <f t="shared" ca="1" si="509"/>
        <v>0.95556296674183716</v>
      </c>
      <c r="R141" s="42">
        <f t="shared" ca="1" si="510"/>
        <v>4.4437033258162832E-2</v>
      </c>
      <c r="S141" s="42">
        <f t="shared" si="511"/>
        <v>0.98162450344672281</v>
      </c>
      <c r="T141" s="42">
        <f t="shared" si="512"/>
        <v>73.621837758504213</v>
      </c>
      <c r="U141" s="42">
        <f t="shared" si="513"/>
        <v>0.98801719747153338</v>
      </c>
      <c r="V141" s="42">
        <f t="shared" ca="1" si="514"/>
        <v>104.23581433324676</v>
      </c>
      <c r="W141" s="42">
        <f t="shared" ca="1" si="515"/>
        <v>6.6272668683122385E-2</v>
      </c>
      <c r="X141" s="42">
        <f t="shared" ca="1" si="516"/>
        <v>0.24215648720313032</v>
      </c>
      <c r="Y141" s="42">
        <f t="shared" ca="1" si="517"/>
        <v>-2.871449825401506E-2</v>
      </c>
      <c r="Z141" s="42">
        <f t="shared" ca="1" si="518"/>
        <v>3.2094312516686837E-3</v>
      </c>
      <c r="AA141" s="42">
        <f t="shared" ca="1" si="601"/>
        <v>-3.8040823436275716E-3</v>
      </c>
      <c r="AB141" s="42">
        <f t="shared" ca="1" si="519"/>
        <v>4.7038288253626152E-2</v>
      </c>
      <c r="AC141" s="42">
        <f t="shared" ca="1" si="520"/>
        <v>-1.5168822985474617E-2</v>
      </c>
      <c r="AD141" s="42">
        <f t="shared" ca="1" si="616"/>
        <v>-1678.9217563984348</v>
      </c>
      <c r="AF141" s="36">
        <f t="shared" si="617"/>
        <v>80</v>
      </c>
      <c r="AG141" s="35">
        <f t="shared" si="602"/>
        <v>0.28399999999999997</v>
      </c>
      <c r="AH141" s="197">
        <f t="shared" si="626"/>
        <v>169.23611111111677</v>
      </c>
      <c r="AI141" s="41">
        <f t="shared" si="603"/>
        <v>0.46366057838662128</v>
      </c>
      <c r="AJ141" s="40">
        <f t="shared" ca="1" si="521"/>
        <v>0.27668431824223966</v>
      </c>
      <c r="AK141" s="40">
        <f t="shared" si="522"/>
        <v>2.5189751902588361E-2</v>
      </c>
      <c r="AL141" s="40">
        <f t="shared" si="523"/>
        <v>0.19338305926412305</v>
      </c>
      <c r="AM141" s="42">
        <f t="shared" ca="1" si="524"/>
        <v>1.5610161060309202</v>
      </c>
      <c r="AN141" s="42">
        <f t="shared" ca="1" si="525"/>
        <v>1.3676330467667972</v>
      </c>
      <c r="AO141" s="42">
        <f t="shared" ca="1" si="526"/>
        <v>0.94074002461958894</v>
      </c>
      <c r="AP141" s="42">
        <f t="shared" ca="1" si="527"/>
        <v>5.9259975380411022E-2</v>
      </c>
      <c r="AQ141" s="42">
        <f t="shared" ca="1" si="528"/>
        <v>0.91428651655027582</v>
      </c>
      <c r="AR141" s="42">
        <f t="shared" ca="1" si="529"/>
        <v>8.5713483449724223E-2</v>
      </c>
      <c r="AS141" s="42">
        <f t="shared" si="530"/>
        <v>0.98162450344672281</v>
      </c>
      <c r="AT141" s="42">
        <f t="shared" si="531"/>
        <v>78.529960275737821</v>
      </c>
      <c r="AU141" s="42">
        <f t="shared" si="532"/>
        <v>0.98801719747153338</v>
      </c>
      <c r="AV141" s="42">
        <f t="shared" ca="1" si="533"/>
        <v>104.23581433324676</v>
      </c>
      <c r="AW141" s="42">
        <f t="shared" ca="1" si="534"/>
        <v>0.11797008839256459</v>
      </c>
      <c r="AX141" s="42">
        <f t="shared" ca="1" si="535"/>
        <v>0.55406465925665671</v>
      </c>
      <c r="AY141" s="42">
        <f t="shared" ca="1" si="536"/>
        <v>-5.8549874797585798E-2</v>
      </c>
      <c r="AZ141" s="42">
        <f t="shared" ca="1" si="537"/>
        <v>5.713017084909333E-3</v>
      </c>
      <c r="BA141" s="42">
        <f t="shared" ca="1" si="604"/>
        <v>-6.7279677317381853E-3</v>
      </c>
      <c r="BB141" s="42">
        <f t="shared" ca="1" si="538"/>
        <v>8.3731516074112736E-2</v>
      </c>
      <c r="BC141" s="42">
        <f t="shared" ca="1" si="539"/>
        <v>-3.120934800157936E-2</v>
      </c>
      <c r="BD141" s="42">
        <f t="shared" ca="1" si="618"/>
        <v>2547.9676703716718</v>
      </c>
      <c r="BE141" s="40"/>
      <c r="BF141" s="36">
        <f t="shared" si="619"/>
        <v>90</v>
      </c>
      <c r="BG141" s="35">
        <f t="shared" si="605"/>
        <v>0.28399999999999997</v>
      </c>
      <c r="BH141" s="197">
        <f t="shared" si="627"/>
        <v>169.23611111111677</v>
      </c>
      <c r="BI141" s="41">
        <f t="shared" si="606"/>
        <v>0.46366057838662128</v>
      </c>
      <c r="BJ141" s="40">
        <f t="shared" ca="1" si="540"/>
        <v>0.15890128258585617</v>
      </c>
      <c r="BK141" s="40">
        <f t="shared" si="541"/>
        <v>2.5189751902588361E-2</v>
      </c>
      <c r="BL141" s="40">
        <f t="shared" si="542"/>
        <v>0.19338305926412305</v>
      </c>
      <c r="BM141" s="42">
        <f t="shared" ca="1" si="543"/>
        <v>0.95195016145138422</v>
      </c>
      <c r="BN141" s="42">
        <f t="shared" ca="1" si="544"/>
        <v>0.7585671021872612</v>
      </c>
      <c r="BO141" s="42">
        <f t="shared" ca="1" si="545"/>
        <v>0.8294388708852235</v>
      </c>
      <c r="BP141" s="42">
        <f t="shared" ca="1" si="546"/>
        <v>0.1705611291147765</v>
      </c>
      <c r="BQ141" s="42">
        <f t="shared" ca="1" si="547"/>
        <v>0.77594422082328007</v>
      </c>
      <c r="BR141" s="42">
        <f t="shared" ca="1" si="548"/>
        <v>0.22405577917671995</v>
      </c>
      <c r="BS141" s="42">
        <f t="shared" si="549"/>
        <v>0.98162450344672281</v>
      </c>
      <c r="BT141" s="42">
        <f t="shared" si="550"/>
        <v>88.34620531020505</v>
      </c>
      <c r="BU141" s="42">
        <f t="shared" si="551"/>
        <v>0.98801719747153338</v>
      </c>
      <c r="BV141" s="42">
        <f t="shared" ca="1" si="552"/>
        <v>104.23581433324676</v>
      </c>
      <c r="BW141" s="42">
        <f t="shared" ca="1" si="553"/>
        <v>0.25358832662213343</v>
      </c>
      <c r="BX141" s="42">
        <f t="shared" ca="1" si="554"/>
        <v>17.905508704249414</v>
      </c>
      <c r="BY141" s="42">
        <f t="shared" ca="1" si="555"/>
        <v>0.81949986868597158</v>
      </c>
      <c r="BZ141" s="42">
        <f t="shared" ca="1" si="556"/>
        <v>1.2280693032159571E-2</v>
      </c>
      <c r="CA141" s="42">
        <f t="shared" ca="1" si="607"/>
        <v>-1.6456169038232101E-2</v>
      </c>
      <c r="CB141" s="42">
        <f t="shared" ca="1" si="557"/>
        <v>0.17998914246898884</v>
      </c>
      <c r="CC141" s="42">
        <f t="shared" ca="1" si="558"/>
        <v>0.31784733595215653</v>
      </c>
      <c r="CD141" s="42">
        <f t="shared" ca="1" si="620"/>
        <v>-5552.7543521247062</v>
      </c>
      <c r="CE141" s="40"/>
      <c r="CF141" s="36">
        <f t="shared" si="621"/>
        <v>95</v>
      </c>
      <c r="CG141" s="35">
        <f t="shared" si="608"/>
        <v>0.28399999999999997</v>
      </c>
      <c r="CH141" s="197">
        <f t="shared" si="628"/>
        <v>169.23611111111677</v>
      </c>
      <c r="CI141" s="41">
        <f t="shared" si="609"/>
        <v>0.46366057838662128</v>
      </c>
      <c r="CJ141" s="40">
        <f t="shared" ca="1" si="559"/>
        <v>0.10483406131558026</v>
      </c>
      <c r="CK141" s="40">
        <f t="shared" si="560"/>
        <v>2.5189751902588361E-2</v>
      </c>
      <c r="CL141" s="40">
        <f t="shared" si="561"/>
        <v>0.19338305926412305</v>
      </c>
      <c r="CM141" s="42">
        <f t="shared" ca="1" si="562"/>
        <v>0.67236403081503537</v>
      </c>
      <c r="CN141" s="42">
        <f t="shared" ca="1" si="563"/>
        <v>0.47898097155091235</v>
      </c>
      <c r="CO141" s="42">
        <f t="shared" ca="1" si="564"/>
        <v>0.74932401219779798</v>
      </c>
      <c r="CP141" s="42">
        <f t="shared" ca="1" si="565"/>
        <v>0.25067598780220202</v>
      </c>
      <c r="CQ141" s="42">
        <f t="shared" ca="1" si="566"/>
        <v>0.68402391716491695</v>
      </c>
      <c r="CR141" s="42">
        <f t="shared" ca="1" si="567"/>
        <v>0.31597608283508305</v>
      </c>
      <c r="CS141" s="42">
        <f t="shared" si="568"/>
        <v>0.98162450344672281</v>
      </c>
      <c r="CT141" s="42">
        <f t="shared" si="569"/>
        <v>93.254327827438672</v>
      </c>
      <c r="CU141" s="42">
        <f t="shared" si="570"/>
        <v>0.98801719747153338</v>
      </c>
      <c r="CV141" s="42">
        <f t="shared" ca="1" si="571"/>
        <v>104.23581433324676</v>
      </c>
      <c r="CW141" s="42">
        <f t="shared" ca="1" si="572"/>
        <v>0.31823180087634423</v>
      </c>
      <c r="CX141" s="42">
        <f t="shared" ca="1" si="573"/>
        <v>14.31820799778729</v>
      </c>
      <c r="CY141" s="42">
        <f t="shared" ca="1" si="574"/>
        <v>0.74034501052979351</v>
      </c>
      <c r="CZ141" s="42">
        <f t="shared" ca="1" si="575"/>
        <v>1.5411226185726993E-2</v>
      </c>
      <c r="DA141" s="42">
        <f t="shared" ca="1" si="610"/>
        <v>-2.0378781844580102E-2</v>
      </c>
      <c r="DB141" s="42">
        <f t="shared" ca="1" si="576"/>
        <v>0.22587107896115563</v>
      </c>
      <c r="DC141" s="42">
        <f t="shared" ca="1" si="577"/>
        <v>0.2957606935390874</v>
      </c>
      <c r="DD141" s="42">
        <f t="shared" ca="1" si="622"/>
        <v>4584.1039988936445</v>
      </c>
      <c r="DE141" s="40"/>
      <c r="DF141" s="36">
        <f t="shared" si="623"/>
        <v>200</v>
      </c>
      <c r="DG141" s="35">
        <f t="shared" si="611"/>
        <v>0.28399999999999997</v>
      </c>
      <c r="DH141" s="197">
        <f t="shared" si="629"/>
        <v>169.23611111111677</v>
      </c>
      <c r="DI141" s="41">
        <f t="shared" si="612"/>
        <v>0.46366057838662128</v>
      </c>
      <c r="DJ141" s="40">
        <f t="shared" ca="1" si="578"/>
        <v>-0.6396064136319155</v>
      </c>
      <c r="DK141" s="40">
        <f t="shared" si="579"/>
        <v>2.5189751902588361E-2</v>
      </c>
      <c r="DL141" s="40">
        <f t="shared" si="580"/>
        <v>0.19338305926412305</v>
      </c>
      <c r="DM141" s="42">
        <f t="shared" ca="1" si="581"/>
        <v>-3.1772000301751118</v>
      </c>
      <c r="DN141" s="42">
        <f t="shared" ca="1" si="582"/>
        <v>-3.370583089439235</v>
      </c>
      <c r="DO141" s="42">
        <f t="shared" ca="1" si="583"/>
        <v>7.4352216609653446E-4</v>
      </c>
      <c r="DP141" s="42">
        <f t="shared" ca="1" si="584"/>
        <v>0.99925647783390348</v>
      </c>
      <c r="DQ141" s="42">
        <f t="shared" ca="1" si="585"/>
        <v>3.7504640890972734E-4</v>
      </c>
      <c r="DR141" s="42">
        <f t="shared" ca="1" si="586"/>
        <v>0.99962495359109027</v>
      </c>
      <c r="DS141" s="42">
        <f t="shared" si="587"/>
        <v>0.98162450344672281</v>
      </c>
      <c r="DT141" s="42">
        <f t="shared" si="588"/>
        <v>196.32490068934456</v>
      </c>
      <c r="DU141" s="42">
        <f t="shared" si="589"/>
        <v>0.98801719747153338</v>
      </c>
      <c r="DV141" s="42">
        <f t="shared" ca="1" si="590"/>
        <v>104.23581433324676</v>
      </c>
      <c r="DW141" s="42">
        <f t="shared" ca="1" si="591"/>
        <v>2.5638671647719457E-3</v>
      </c>
      <c r="DX141" s="42">
        <f t="shared" si="592"/>
        <v>0</v>
      </c>
      <c r="DY141" s="92">
        <f t="shared" si="593"/>
        <v>0</v>
      </c>
      <c r="DZ141" s="42">
        <f t="shared" si="594"/>
        <v>0</v>
      </c>
      <c r="EA141" s="42">
        <f t="shared" si="613"/>
        <v>0</v>
      </c>
      <c r="EB141" s="42">
        <f t="shared" si="595"/>
        <v>0</v>
      </c>
      <c r="EC141" s="42">
        <f t="shared" si="596"/>
        <v>0</v>
      </c>
      <c r="ED141" s="42">
        <f t="shared" ca="1" si="624"/>
        <v>0</v>
      </c>
      <c r="EE141" s="40"/>
      <c r="EF141" s="120">
        <f t="shared" ca="1" si="630"/>
        <v>105.5</v>
      </c>
      <c r="EG141" s="42">
        <f t="shared" ca="1" si="597"/>
        <v>-99.604439257824197</v>
      </c>
      <c r="EH141" s="36">
        <f t="shared" ca="1" si="614"/>
        <v>-99.604439257824197</v>
      </c>
      <c r="EI141" s="36">
        <f t="shared" ca="1" si="631"/>
        <v>-12.367000000000001</v>
      </c>
      <c r="EJ141" s="153">
        <f t="shared" ca="1" si="598"/>
        <v>-1</v>
      </c>
      <c r="EK141" s="153" t="str">
        <f t="shared" ca="1" si="632"/>
        <v/>
      </c>
      <c r="EL141" s="153" t="str">
        <f t="shared" ca="1" si="501"/>
        <v/>
      </c>
      <c r="EM141" s="153">
        <f t="shared" ca="1" si="633"/>
        <v>3</v>
      </c>
      <c r="EN141" s="153">
        <f t="shared" ca="1" si="634"/>
        <v>0</v>
      </c>
    </row>
    <row r="142" spans="1:144" x14ac:dyDescent="0.3">
      <c r="A142" s="36">
        <f ca="1">IF($M$22=1,A141+'Auto X'!$E$6,A$48)</f>
        <v>106</v>
      </c>
      <c r="B142" s="35">
        <f>IF($M$22=2,B141+'Auto X'!$E$6,B$48)</f>
        <v>0.28399999999999997</v>
      </c>
      <c r="C142" s="39">
        <f>IF($M$22=3,C141+'Auto X'!$E$6,C$48)</f>
        <v>45295.440972222219</v>
      </c>
      <c r="D142" s="35">
        <f>IF($M$22=4,D141+'Auto X'!$E$6,D$48)</f>
        <v>2.5999999999999999E-2</v>
      </c>
      <c r="E142" s="35">
        <f>IF($M$22=5,E141+'Auto X'!$E$6,E$48)</f>
        <v>0.04</v>
      </c>
      <c r="F142" s="36">
        <f t="shared" si="615"/>
        <v>75</v>
      </c>
      <c r="G142" s="35">
        <f t="shared" si="599"/>
        <v>0.28399999999999997</v>
      </c>
      <c r="H142" s="197">
        <f t="shared" si="625"/>
        <v>169.23611111111677</v>
      </c>
      <c r="I142" s="41">
        <f t="shared" si="600"/>
        <v>0.46366057838662128</v>
      </c>
      <c r="J142" s="40">
        <f t="shared" ca="1" si="502"/>
        <v>0.34595098057575668</v>
      </c>
      <c r="K142" s="40">
        <f t="shared" si="503"/>
        <v>2.5189751902588361E-2</v>
      </c>
      <c r="L142" s="40">
        <f t="shared" si="504"/>
        <v>0.19338305926412305</v>
      </c>
      <c r="M142" s="42">
        <f t="shared" ca="1" si="505"/>
        <v>1.9191998197289875</v>
      </c>
      <c r="N142" s="42">
        <f t="shared" ca="1" si="506"/>
        <v>1.7258167604648644</v>
      </c>
      <c r="O142" s="42">
        <f t="shared" ca="1" si="507"/>
        <v>0.9725204748263474</v>
      </c>
      <c r="P142" s="42">
        <f t="shared" ca="1" si="508"/>
        <v>2.7479525173652566E-2</v>
      </c>
      <c r="Q142" s="42">
        <f t="shared" ca="1" si="509"/>
        <v>0.95780980821854877</v>
      </c>
      <c r="R142" s="42">
        <f t="shared" ca="1" si="510"/>
        <v>4.2190191781451225E-2</v>
      </c>
      <c r="S142" s="42">
        <f t="shared" si="511"/>
        <v>0.98162450344672281</v>
      </c>
      <c r="T142" s="42">
        <f t="shared" si="512"/>
        <v>73.621837758504213</v>
      </c>
      <c r="U142" s="42">
        <f t="shared" si="513"/>
        <v>0.98801719747153338</v>
      </c>
      <c r="V142" s="42">
        <f t="shared" ca="1" si="514"/>
        <v>104.72982293198254</v>
      </c>
      <c r="W142" s="42">
        <f t="shared" ca="1" si="515"/>
        <v>6.325364609731815E-2</v>
      </c>
      <c r="X142" s="42">
        <f t="shared" ca="1" si="516"/>
        <v>0.2281936486425904</v>
      </c>
      <c r="Y142" s="42">
        <f t="shared" ca="1" si="517"/>
        <v>-2.7150243449920692E-2</v>
      </c>
      <c r="Z142" s="42">
        <f t="shared" ca="1" si="518"/>
        <v>3.0487778234645707E-3</v>
      </c>
      <c r="AA142" s="42">
        <f t="shared" ca="1" si="601"/>
        <v>-3.6494794189954778E-3</v>
      </c>
      <c r="AB142" s="42">
        <f t="shared" ca="1" si="519"/>
        <v>4.5108254283527757E-2</v>
      </c>
      <c r="AC142" s="42">
        <f t="shared" ca="1" si="520"/>
        <v>-1.4401851427345222E-2</v>
      </c>
      <c r="AD142" s="42">
        <f t="shared" ca="1" si="616"/>
        <v>-1685.9031756787049</v>
      </c>
      <c r="AF142" s="36">
        <f t="shared" si="617"/>
        <v>80</v>
      </c>
      <c r="AG142" s="35">
        <f t="shared" si="602"/>
        <v>0.28399999999999997</v>
      </c>
      <c r="AH142" s="197">
        <f t="shared" si="626"/>
        <v>169.23611111111677</v>
      </c>
      <c r="AI142" s="41">
        <f t="shared" si="603"/>
        <v>0.46366057838662128</v>
      </c>
      <c r="AJ142" s="40">
        <f t="shared" ca="1" si="521"/>
        <v>0.28141245943818549</v>
      </c>
      <c r="AK142" s="40">
        <f t="shared" si="522"/>
        <v>2.5189751902588361E-2</v>
      </c>
      <c r="AL142" s="40">
        <f t="shared" si="523"/>
        <v>0.19338305926412305</v>
      </c>
      <c r="AM142" s="42">
        <f t="shared" ca="1" si="524"/>
        <v>1.5854657202522369</v>
      </c>
      <c r="AN142" s="42">
        <f t="shared" ca="1" si="525"/>
        <v>1.3920826609881138</v>
      </c>
      <c r="AO142" s="42">
        <f t="shared" ca="1" si="526"/>
        <v>0.94356972025951757</v>
      </c>
      <c r="AP142" s="42">
        <f t="shared" ca="1" si="527"/>
        <v>5.6430279740482439E-2</v>
      </c>
      <c r="AQ142" s="42">
        <f t="shared" ca="1" si="528"/>
        <v>0.91805131591944567</v>
      </c>
      <c r="AR142" s="42">
        <f t="shared" ca="1" si="529"/>
        <v>8.194868408055439E-2</v>
      </c>
      <c r="AS142" s="42">
        <f t="shared" si="530"/>
        <v>0.98162450344672281</v>
      </c>
      <c r="AT142" s="42">
        <f t="shared" si="531"/>
        <v>78.529960275737821</v>
      </c>
      <c r="AU142" s="42">
        <f t="shared" si="532"/>
        <v>0.98801719747153338</v>
      </c>
      <c r="AV142" s="42">
        <f t="shared" ca="1" si="533"/>
        <v>104.72982293198254</v>
      </c>
      <c r="AW142" s="42">
        <f t="shared" ca="1" si="534"/>
        <v>0.11351851719761814</v>
      </c>
      <c r="AX142" s="42">
        <f t="shared" ca="1" si="535"/>
        <v>0.52549370027195774</v>
      </c>
      <c r="AY142" s="42">
        <f t="shared" ca="1" si="536"/>
        <v>-5.5754086841726093E-2</v>
      </c>
      <c r="AZ142" s="42">
        <f t="shared" ca="1" si="537"/>
        <v>5.4715065318480258E-3</v>
      </c>
      <c r="BA142" s="42">
        <f t="shared" ca="1" si="604"/>
        <v>-6.5082734705049373E-3</v>
      </c>
      <c r="BB142" s="42">
        <f t="shared" ca="1" si="538"/>
        <v>8.0953786154254359E-2</v>
      </c>
      <c r="BC142" s="42">
        <f t="shared" ca="1" si="539"/>
        <v>-2.9838537611666015E-2</v>
      </c>
      <c r="BD142" s="42">
        <f t="shared" ca="1" si="618"/>
        <v>2562.2531498640215</v>
      </c>
      <c r="BE142" s="40"/>
      <c r="BF142" s="36">
        <f t="shared" si="619"/>
        <v>90</v>
      </c>
      <c r="BG142" s="35">
        <f t="shared" si="605"/>
        <v>0.28399999999999997</v>
      </c>
      <c r="BH142" s="197">
        <f t="shared" si="627"/>
        <v>169.23611111111677</v>
      </c>
      <c r="BI142" s="41">
        <f t="shared" si="606"/>
        <v>0.46366057838662128</v>
      </c>
      <c r="BJ142" s="40">
        <f t="shared" ca="1" si="540"/>
        <v>0.16362942378180212</v>
      </c>
      <c r="BK142" s="40">
        <f t="shared" si="541"/>
        <v>2.5189751902588361E-2</v>
      </c>
      <c r="BL142" s="40">
        <f t="shared" si="542"/>
        <v>0.19338305926412305</v>
      </c>
      <c r="BM142" s="42">
        <f t="shared" ca="1" si="543"/>
        <v>0.97639977567270153</v>
      </c>
      <c r="BN142" s="42">
        <f t="shared" ca="1" si="544"/>
        <v>0.78301671640857851</v>
      </c>
      <c r="BO142" s="42">
        <f t="shared" ca="1" si="545"/>
        <v>0.83556680368530323</v>
      </c>
      <c r="BP142" s="42">
        <f t="shared" ca="1" si="546"/>
        <v>0.16443319631469677</v>
      </c>
      <c r="BQ142" s="42">
        <f t="shared" ca="1" si="547"/>
        <v>0.78319135214642832</v>
      </c>
      <c r="BR142" s="42">
        <f t="shared" ca="1" si="548"/>
        <v>0.21680864785357168</v>
      </c>
      <c r="BS142" s="42">
        <f t="shared" si="549"/>
        <v>0.98162450344672281</v>
      </c>
      <c r="BT142" s="42">
        <f t="shared" si="550"/>
        <v>88.34620531020505</v>
      </c>
      <c r="BU142" s="42">
        <f t="shared" si="551"/>
        <v>0.98801719747153338</v>
      </c>
      <c r="BV142" s="42">
        <f t="shared" ca="1" si="552"/>
        <v>104.72982293198254</v>
      </c>
      <c r="BW142" s="42">
        <f t="shared" ca="1" si="553"/>
        <v>0.24768022152738239</v>
      </c>
      <c r="BX142" s="42">
        <f t="shared" ca="1" si="554"/>
        <v>18.316779403898977</v>
      </c>
      <c r="BY142" s="42">
        <f t="shared" ca="1" si="555"/>
        <v>0.8255543716774002</v>
      </c>
      <c r="BZ142" s="42">
        <f t="shared" ca="1" si="556"/>
        <v>1.1937999045014601E-2</v>
      </c>
      <c r="CA142" s="42">
        <f t="shared" ca="1" si="607"/>
        <v>-1.6169485477778502E-2</v>
      </c>
      <c r="CB142" s="42">
        <f t="shared" ca="1" si="557"/>
        <v>0.17662890762800385</v>
      </c>
      <c r="CC142" s="42">
        <f t="shared" ca="1" si="558"/>
        <v>0.32081595318332051</v>
      </c>
      <c r="CD142" s="42">
        <f t="shared" ca="1" si="620"/>
        <v>-5758.389701949488</v>
      </c>
      <c r="CE142" s="40"/>
      <c r="CF142" s="36">
        <f t="shared" si="621"/>
        <v>95</v>
      </c>
      <c r="CG142" s="35">
        <f t="shared" si="608"/>
        <v>0.28399999999999997</v>
      </c>
      <c r="CH142" s="197">
        <f t="shared" si="628"/>
        <v>169.23611111111677</v>
      </c>
      <c r="CI142" s="41">
        <f t="shared" si="609"/>
        <v>0.46366057838662128</v>
      </c>
      <c r="CJ142" s="40">
        <f t="shared" ca="1" si="559"/>
        <v>0.10956220251152624</v>
      </c>
      <c r="CK142" s="40">
        <f t="shared" si="560"/>
        <v>2.5189751902588361E-2</v>
      </c>
      <c r="CL142" s="40">
        <f t="shared" si="561"/>
        <v>0.19338305926412305</v>
      </c>
      <c r="CM142" s="42">
        <f t="shared" ca="1" si="562"/>
        <v>0.69681364503635257</v>
      </c>
      <c r="CN142" s="42">
        <f t="shared" ca="1" si="563"/>
        <v>0.50343058577222954</v>
      </c>
      <c r="CO142" s="42">
        <f t="shared" ca="1" si="564"/>
        <v>0.757040287172977</v>
      </c>
      <c r="CP142" s="42">
        <f t="shared" ca="1" si="565"/>
        <v>0.242959712827023</v>
      </c>
      <c r="CQ142" s="42">
        <f t="shared" ca="1" si="566"/>
        <v>0.69266921394384817</v>
      </c>
      <c r="CR142" s="42">
        <f t="shared" ca="1" si="567"/>
        <v>0.30733078605615177</v>
      </c>
      <c r="CS142" s="42">
        <f t="shared" si="568"/>
        <v>0.98162450344672281</v>
      </c>
      <c r="CT142" s="42">
        <f t="shared" si="569"/>
        <v>93.254327827438672</v>
      </c>
      <c r="CU142" s="42">
        <f t="shared" si="570"/>
        <v>0.98801719747153338</v>
      </c>
      <c r="CV142" s="42">
        <f t="shared" ca="1" si="571"/>
        <v>104.72982293198254</v>
      </c>
      <c r="CW142" s="42">
        <f t="shared" ca="1" si="572"/>
        <v>0.31294958829962749</v>
      </c>
      <c r="CX142" s="42">
        <f t="shared" ca="1" si="573"/>
        <v>14.690293274909223</v>
      </c>
      <c r="CY142" s="42">
        <f t="shared" ca="1" si="574"/>
        <v>0.74796882290568956</v>
      </c>
      <c r="CZ142" s="42">
        <f t="shared" ca="1" si="575"/>
        <v>1.5083933077981487E-2</v>
      </c>
      <c r="DA142" s="42">
        <f t="shared" ca="1" si="610"/>
        <v>-2.0156951595618439E-2</v>
      </c>
      <c r="DB142" s="42">
        <f t="shared" ca="1" si="576"/>
        <v>0.22317463858488062</v>
      </c>
      <c r="DC142" s="42">
        <f t="shared" ca="1" si="577"/>
        <v>0.29949877770109401</v>
      </c>
      <c r="DD142" s="42">
        <f t="shared" ca="1" si="622"/>
        <v>4770.1466374546117</v>
      </c>
      <c r="DE142" s="40"/>
      <c r="DF142" s="36">
        <f t="shared" si="623"/>
        <v>200</v>
      </c>
      <c r="DG142" s="35">
        <f t="shared" si="611"/>
        <v>0.28399999999999997</v>
      </c>
      <c r="DH142" s="197">
        <f t="shared" si="629"/>
        <v>169.23611111111677</v>
      </c>
      <c r="DI142" s="41">
        <f t="shared" si="612"/>
        <v>0.46366057838662128</v>
      </c>
      <c r="DJ142" s="40">
        <f t="shared" ca="1" si="578"/>
        <v>-0.6348782724359695</v>
      </c>
      <c r="DK142" s="40">
        <f t="shared" si="579"/>
        <v>2.5189751902588361E-2</v>
      </c>
      <c r="DL142" s="40">
        <f t="shared" si="580"/>
        <v>0.19338305926412305</v>
      </c>
      <c r="DM142" s="42">
        <f t="shared" ca="1" si="581"/>
        <v>-3.1527504159537942</v>
      </c>
      <c r="DN142" s="42">
        <f t="shared" ca="1" si="582"/>
        <v>-3.3461334752179175</v>
      </c>
      <c r="DO142" s="42">
        <f t="shared" ca="1" si="583"/>
        <v>8.087001459003842E-4</v>
      </c>
      <c r="DP142" s="42">
        <f t="shared" ca="1" si="584"/>
        <v>0.9991912998540996</v>
      </c>
      <c r="DQ142" s="42">
        <f t="shared" ca="1" si="585"/>
        <v>4.097346931846937E-4</v>
      </c>
      <c r="DR142" s="42">
        <f t="shared" ca="1" si="586"/>
        <v>0.99959026530681527</v>
      </c>
      <c r="DS142" s="42">
        <f t="shared" si="587"/>
        <v>0.98162450344672281</v>
      </c>
      <c r="DT142" s="42">
        <f t="shared" si="588"/>
        <v>196.32490068934456</v>
      </c>
      <c r="DU142" s="42">
        <f t="shared" si="589"/>
        <v>0.98801719747153338</v>
      </c>
      <c r="DV142" s="42">
        <f t="shared" ca="1" si="590"/>
        <v>104.72982293198254</v>
      </c>
      <c r="DW142" s="42">
        <f t="shared" ca="1" si="591"/>
        <v>2.7701435809366418E-3</v>
      </c>
      <c r="DX142" s="42">
        <f t="shared" si="592"/>
        <v>0</v>
      </c>
      <c r="DY142" s="92">
        <f t="shared" si="593"/>
        <v>0</v>
      </c>
      <c r="DZ142" s="42">
        <f t="shared" si="594"/>
        <v>0</v>
      </c>
      <c r="EA142" s="42">
        <f t="shared" si="613"/>
        <v>0</v>
      </c>
      <c r="EB142" s="42">
        <f t="shared" si="595"/>
        <v>0</v>
      </c>
      <c r="EC142" s="42">
        <f t="shared" si="596"/>
        <v>0</v>
      </c>
      <c r="ED142" s="42">
        <f t="shared" ca="1" si="624"/>
        <v>0</v>
      </c>
      <c r="EE142" s="40"/>
      <c r="EF142" s="120">
        <f t="shared" ca="1" si="630"/>
        <v>106</v>
      </c>
      <c r="EG142" s="42">
        <f t="shared" ca="1" si="597"/>
        <v>-111.89309030955974</v>
      </c>
      <c r="EH142" s="36">
        <f t="shared" ca="1" si="614"/>
        <v>-111.89309030955974</v>
      </c>
      <c r="EI142" s="36">
        <f t="shared" ca="1" si="631"/>
        <v>-12.289</v>
      </c>
      <c r="EJ142" s="153">
        <f t="shared" ca="1" si="598"/>
        <v>-1</v>
      </c>
      <c r="EK142" s="153" t="str">
        <f t="shared" ca="1" si="632"/>
        <v/>
      </c>
      <c r="EL142" s="153" t="str">
        <f t="shared" ca="1" si="501"/>
        <v/>
      </c>
      <c r="EM142" s="153">
        <f t="shared" ca="1" si="633"/>
        <v>3</v>
      </c>
      <c r="EN142" s="153">
        <f t="shared" ca="1" si="634"/>
        <v>0</v>
      </c>
    </row>
    <row r="143" spans="1:144" x14ac:dyDescent="0.3">
      <c r="A143" s="36">
        <f ca="1">IF($M$22=1,A142+'Auto X'!$E$6,A$48)</f>
        <v>106.5</v>
      </c>
      <c r="B143" s="35">
        <f>IF($M$22=2,B142+'Auto X'!$E$6,B$48)</f>
        <v>0.28399999999999997</v>
      </c>
      <c r="C143" s="39">
        <f>IF($M$22=3,C142+'Auto X'!$E$6,C$48)</f>
        <v>45295.440972222219</v>
      </c>
      <c r="D143" s="35">
        <f>IF($M$22=4,D142+'Auto X'!$E$6,D$48)</f>
        <v>2.5999999999999999E-2</v>
      </c>
      <c r="E143" s="35">
        <f>IF($M$22=5,E142+'Auto X'!$E$6,E$48)</f>
        <v>0.04</v>
      </c>
      <c r="F143" s="36">
        <f t="shared" si="615"/>
        <v>75</v>
      </c>
      <c r="G143" s="35">
        <f t="shared" si="599"/>
        <v>0.28399999999999997</v>
      </c>
      <c r="H143" s="197">
        <f t="shared" si="625"/>
        <v>169.23611111111677</v>
      </c>
      <c r="I143" s="41">
        <f t="shared" si="600"/>
        <v>0.46366057838662128</v>
      </c>
      <c r="J143" s="40">
        <f t="shared" ca="1" si="502"/>
        <v>0.35065687161316933</v>
      </c>
      <c r="K143" s="40">
        <f t="shared" si="503"/>
        <v>2.5189751902588361E-2</v>
      </c>
      <c r="L143" s="40">
        <f t="shared" si="504"/>
        <v>0.19338305926412305</v>
      </c>
      <c r="M143" s="42">
        <f t="shared" ca="1" si="505"/>
        <v>1.9435343765165358</v>
      </c>
      <c r="N143" s="42">
        <f t="shared" ca="1" si="506"/>
        <v>1.7501513172524128</v>
      </c>
      <c r="O143" s="42">
        <f t="shared" ca="1" si="507"/>
        <v>0.97402418698547766</v>
      </c>
      <c r="P143" s="42">
        <f t="shared" ca="1" si="508"/>
        <v>2.5975813014522342E-2</v>
      </c>
      <c r="Q143" s="42">
        <f t="shared" ca="1" si="509"/>
        <v>0.95995389665456743</v>
      </c>
      <c r="R143" s="42">
        <f t="shared" ca="1" si="510"/>
        <v>4.0046103345432522E-2</v>
      </c>
      <c r="S143" s="42">
        <f t="shared" si="511"/>
        <v>0.98162450344672281</v>
      </c>
      <c r="T143" s="42">
        <f t="shared" si="512"/>
        <v>73.621837758504213</v>
      </c>
      <c r="U143" s="42">
        <f t="shared" si="513"/>
        <v>0.98801719747153338</v>
      </c>
      <c r="V143" s="42">
        <f t="shared" ca="1" si="514"/>
        <v>105.2238315307183</v>
      </c>
      <c r="W143" s="42">
        <f t="shared" ca="1" si="515"/>
        <v>6.0349569216186442E-2</v>
      </c>
      <c r="X143" s="42">
        <f t="shared" ca="1" si="516"/>
        <v>0.21499315084418713</v>
      </c>
      <c r="Y143" s="42">
        <f t="shared" ca="1" si="517"/>
        <v>-2.5664549976652948E-2</v>
      </c>
      <c r="Z143" s="42">
        <f t="shared" ca="1" si="518"/>
        <v>2.8951471632625392E-3</v>
      </c>
      <c r="AA143" s="42">
        <f t="shared" ca="1" si="601"/>
        <v>-3.4997381941011753E-3</v>
      </c>
      <c r="AB143" s="42">
        <f t="shared" ca="1" si="519"/>
        <v>4.3240267548735487E-2</v>
      </c>
      <c r="AC143" s="42">
        <f t="shared" ca="1" si="520"/>
        <v>-1.3669955178506504E-2</v>
      </c>
      <c r="AD143" s="42">
        <f t="shared" ca="1" si="616"/>
        <v>-1692.5034245779066</v>
      </c>
      <c r="AF143" s="36">
        <f t="shared" si="617"/>
        <v>80</v>
      </c>
      <c r="AG143" s="35">
        <f t="shared" si="602"/>
        <v>0.28399999999999997</v>
      </c>
      <c r="AH143" s="197">
        <f t="shared" si="626"/>
        <v>169.23611111111677</v>
      </c>
      <c r="AI143" s="41">
        <f t="shared" si="603"/>
        <v>0.46366057838662128</v>
      </c>
      <c r="AJ143" s="40">
        <f t="shared" ca="1" si="521"/>
        <v>0.28611835047559825</v>
      </c>
      <c r="AK143" s="40">
        <f t="shared" si="522"/>
        <v>2.5189751902588361E-2</v>
      </c>
      <c r="AL143" s="40">
        <f t="shared" si="523"/>
        <v>0.19338305926412305</v>
      </c>
      <c r="AM143" s="42">
        <f t="shared" ca="1" si="524"/>
        <v>1.6098002770397859</v>
      </c>
      <c r="AN143" s="42">
        <f t="shared" ca="1" si="525"/>
        <v>1.4164172177756629</v>
      </c>
      <c r="AO143" s="42">
        <f t="shared" ca="1" si="526"/>
        <v>0.94627926763363035</v>
      </c>
      <c r="AP143" s="42">
        <f t="shared" ca="1" si="527"/>
        <v>5.372073236636965E-2</v>
      </c>
      <c r="AQ143" s="42">
        <f t="shared" ca="1" si="528"/>
        <v>0.92167330712183226</v>
      </c>
      <c r="AR143" s="42">
        <f t="shared" ca="1" si="529"/>
        <v>7.8326692878167709E-2</v>
      </c>
      <c r="AS143" s="42">
        <f t="shared" si="530"/>
        <v>0.98162450344672281</v>
      </c>
      <c r="AT143" s="42">
        <f t="shared" si="531"/>
        <v>78.529960275737821</v>
      </c>
      <c r="AU143" s="42">
        <f t="shared" si="532"/>
        <v>0.98801719747153338</v>
      </c>
      <c r="AV143" s="42">
        <f t="shared" ca="1" si="533"/>
        <v>105.2238315307183</v>
      </c>
      <c r="AW143" s="42">
        <f t="shared" ca="1" si="534"/>
        <v>0.10918986851051164</v>
      </c>
      <c r="AX143" s="42">
        <f t="shared" ca="1" si="535"/>
        <v>0.49829078802674065</v>
      </c>
      <c r="AY143" s="42">
        <f t="shared" ca="1" si="536"/>
        <v>-5.3077007438738839E-2</v>
      </c>
      <c r="AZ143" s="42">
        <f t="shared" ca="1" si="537"/>
        <v>5.2381606394371781E-3</v>
      </c>
      <c r="BA143" s="42">
        <f t="shared" ca="1" si="604"/>
        <v>-6.2929286573100681E-3</v>
      </c>
      <c r="BB143" s="42">
        <f t="shared" ca="1" si="538"/>
        <v>7.8234181110599169E-2</v>
      </c>
      <c r="BC143" s="42">
        <f t="shared" ca="1" si="539"/>
        <v>-2.8519725455813671E-2</v>
      </c>
      <c r="BD143" s="42">
        <f t="shared" ca="1" si="618"/>
        <v>2575.8546059866298</v>
      </c>
      <c r="BE143" s="40"/>
      <c r="BF143" s="36">
        <f t="shared" si="619"/>
        <v>90</v>
      </c>
      <c r="BG143" s="35">
        <f t="shared" si="605"/>
        <v>0.28399999999999997</v>
      </c>
      <c r="BH143" s="197">
        <f t="shared" si="627"/>
        <v>169.23611111111677</v>
      </c>
      <c r="BI143" s="41">
        <f t="shared" si="606"/>
        <v>0.46366057838662128</v>
      </c>
      <c r="BJ143" s="40">
        <f t="shared" ca="1" si="540"/>
        <v>0.16833531481921474</v>
      </c>
      <c r="BK143" s="40">
        <f t="shared" si="541"/>
        <v>2.5189751902588361E-2</v>
      </c>
      <c r="BL143" s="40">
        <f t="shared" si="542"/>
        <v>0.19338305926412305</v>
      </c>
      <c r="BM143" s="42">
        <f t="shared" ca="1" si="543"/>
        <v>1.0007343324602496</v>
      </c>
      <c r="BN143" s="42">
        <f t="shared" ca="1" si="544"/>
        <v>0.80735127319612654</v>
      </c>
      <c r="BO143" s="42">
        <f t="shared" ca="1" si="545"/>
        <v>0.84152236778534306</v>
      </c>
      <c r="BP143" s="42">
        <f t="shared" ca="1" si="546"/>
        <v>0.15847763221465697</v>
      </c>
      <c r="BQ143" s="42">
        <f t="shared" ca="1" si="547"/>
        <v>0.7902679342112221</v>
      </c>
      <c r="BR143" s="42">
        <f t="shared" ca="1" si="548"/>
        <v>0.20973206578877787</v>
      </c>
      <c r="BS143" s="42">
        <f t="shared" si="549"/>
        <v>0.98162450344672281</v>
      </c>
      <c r="BT143" s="42">
        <f t="shared" si="550"/>
        <v>88.34620531020505</v>
      </c>
      <c r="BU143" s="42">
        <f t="shared" si="551"/>
        <v>0.98801719747153338</v>
      </c>
      <c r="BV143" s="42">
        <f t="shared" ca="1" si="552"/>
        <v>105.2238315307183</v>
      </c>
      <c r="BW143" s="42">
        <f t="shared" ca="1" si="553"/>
        <v>0.24179303759363185</v>
      </c>
      <c r="BX143" s="42">
        <f t="shared" ca="1" si="554"/>
        <v>18.731034691279859</v>
      </c>
      <c r="BY143" s="42">
        <f t="shared" ca="1" si="555"/>
        <v>0.83143857142888367</v>
      </c>
      <c r="BZ143" s="42">
        <f t="shared" ca="1" si="556"/>
        <v>1.1599526491699971E-2</v>
      </c>
      <c r="CA143" s="42">
        <f t="shared" ca="1" si="607"/>
        <v>-1.5879934048207093E-2</v>
      </c>
      <c r="CB143" s="42">
        <f t="shared" ca="1" si="557"/>
        <v>0.1732439149568262</v>
      </c>
      <c r="CC143" s="42">
        <f t="shared" ca="1" si="558"/>
        <v>0.32371470891418347</v>
      </c>
      <c r="CD143" s="42">
        <f t="shared" ca="1" si="620"/>
        <v>-5965.5173456399289</v>
      </c>
      <c r="CE143" s="40"/>
      <c r="CF143" s="36">
        <f t="shared" si="621"/>
        <v>95</v>
      </c>
      <c r="CG143" s="35">
        <f t="shared" si="608"/>
        <v>0.28399999999999997</v>
      </c>
      <c r="CH143" s="197">
        <f t="shared" si="628"/>
        <v>169.23611111111677</v>
      </c>
      <c r="CI143" s="41">
        <f t="shared" si="609"/>
        <v>0.46366057838662128</v>
      </c>
      <c r="CJ143" s="40">
        <f t="shared" ca="1" si="559"/>
        <v>0.11426809354893891</v>
      </c>
      <c r="CK143" s="40">
        <f t="shared" si="560"/>
        <v>2.5189751902588361E-2</v>
      </c>
      <c r="CL143" s="40">
        <f t="shared" si="561"/>
        <v>0.19338305926412305</v>
      </c>
      <c r="CM143" s="42">
        <f t="shared" ca="1" si="562"/>
        <v>0.72114820182390138</v>
      </c>
      <c r="CN143" s="42">
        <f t="shared" ca="1" si="563"/>
        <v>0.52776514255977836</v>
      </c>
      <c r="CO143" s="42">
        <f t="shared" ca="1" si="564"/>
        <v>0.76459083145215856</v>
      </c>
      <c r="CP143" s="42">
        <f t="shared" ca="1" si="565"/>
        <v>0.23540916854784139</v>
      </c>
      <c r="CQ143" s="42">
        <f t="shared" ca="1" si="566"/>
        <v>0.7011688232955724</v>
      </c>
      <c r="CR143" s="42">
        <f t="shared" ca="1" si="567"/>
        <v>0.2988311767044276</v>
      </c>
      <c r="CS143" s="42">
        <f t="shared" si="568"/>
        <v>0.98162450344672281</v>
      </c>
      <c r="CT143" s="42">
        <f t="shared" si="569"/>
        <v>93.254327827438672</v>
      </c>
      <c r="CU143" s="42">
        <f t="shared" si="570"/>
        <v>0.98801719747153338</v>
      </c>
      <c r="CV143" s="42">
        <f t="shared" ca="1" si="571"/>
        <v>105.2238315307183</v>
      </c>
      <c r="CW143" s="42">
        <f t="shared" ca="1" si="572"/>
        <v>0.30759666060457536</v>
      </c>
      <c r="CX143" s="42">
        <f t="shared" ca="1" si="573"/>
        <v>15.06614952866903</v>
      </c>
      <c r="CY143" s="42">
        <f t="shared" ca="1" si="574"/>
        <v>0.75542889050379125</v>
      </c>
      <c r="CZ143" s="42">
        <f t="shared" ca="1" si="575"/>
        <v>1.4756320731772746E-2</v>
      </c>
      <c r="DA143" s="42">
        <f t="shared" ca="1" si="610"/>
        <v>-1.9927098541494007E-2</v>
      </c>
      <c r="DB143" s="42">
        <f t="shared" ca="1" si="576"/>
        <v>0.22039199408356439</v>
      </c>
      <c r="DC143" s="42">
        <f t="shared" ca="1" si="577"/>
        <v>0.3031738690152932</v>
      </c>
      <c r="DD143" s="42">
        <f t="shared" ca="1" si="622"/>
        <v>4958.0747643345148</v>
      </c>
      <c r="DE143" s="40"/>
      <c r="DF143" s="36">
        <f t="shared" si="623"/>
        <v>200</v>
      </c>
      <c r="DG143" s="35">
        <f t="shared" si="611"/>
        <v>0.28399999999999997</v>
      </c>
      <c r="DH143" s="197">
        <f t="shared" si="629"/>
        <v>169.23611111111677</v>
      </c>
      <c r="DI143" s="41">
        <f t="shared" si="612"/>
        <v>0.46366057838662128</v>
      </c>
      <c r="DJ143" s="40">
        <f t="shared" ca="1" si="578"/>
        <v>-0.63017238139855691</v>
      </c>
      <c r="DK143" s="40">
        <f t="shared" si="579"/>
        <v>2.5189751902588361E-2</v>
      </c>
      <c r="DL143" s="40">
        <f t="shared" si="580"/>
        <v>0.19338305926412305</v>
      </c>
      <c r="DM143" s="42">
        <f t="shared" ca="1" si="581"/>
        <v>-3.1284158591662461</v>
      </c>
      <c r="DN143" s="42">
        <f t="shared" ca="1" si="582"/>
        <v>-3.3217989184303693</v>
      </c>
      <c r="DO143" s="42">
        <f t="shared" ca="1" si="583"/>
        <v>8.7875661566321427E-4</v>
      </c>
      <c r="DP143" s="42">
        <f t="shared" ca="1" si="584"/>
        <v>0.99912124338433683</v>
      </c>
      <c r="DQ143" s="42">
        <f t="shared" ca="1" si="585"/>
        <v>4.4719562000669096E-4</v>
      </c>
      <c r="DR143" s="42">
        <f t="shared" ca="1" si="586"/>
        <v>0.99955280437999328</v>
      </c>
      <c r="DS143" s="42">
        <f t="shared" si="587"/>
        <v>0.98162450344672281</v>
      </c>
      <c r="DT143" s="42">
        <f t="shared" si="588"/>
        <v>196.32490068934456</v>
      </c>
      <c r="DU143" s="42">
        <f t="shared" si="589"/>
        <v>0.98801719747153338</v>
      </c>
      <c r="DV143" s="42">
        <f t="shared" ca="1" si="590"/>
        <v>105.2238315307183</v>
      </c>
      <c r="DW143" s="42">
        <f t="shared" ca="1" si="591"/>
        <v>2.99015089246327E-3</v>
      </c>
      <c r="DX143" s="42">
        <f t="shared" si="592"/>
        <v>0</v>
      </c>
      <c r="DY143" s="92">
        <f t="shared" si="593"/>
        <v>0</v>
      </c>
      <c r="DZ143" s="42">
        <f t="shared" si="594"/>
        <v>0</v>
      </c>
      <c r="EA143" s="42">
        <f t="shared" si="613"/>
        <v>0</v>
      </c>
      <c r="EB143" s="42">
        <f t="shared" si="595"/>
        <v>0</v>
      </c>
      <c r="EC143" s="42">
        <f t="shared" si="596"/>
        <v>0</v>
      </c>
      <c r="ED143" s="42">
        <f t="shared" ca="1" si="624"/>
        <v>0</v>
      </c>
      <c r="EE143" s="40"/>
      <c r="EF143" s="120">
        <f t="shared" ca="1" si="630"/>
        <v>106.5</v>
      </c>
      <c r="EG143" s="42">
        <f t="shared" ca="1" si="597"/>
        <v>-124.09139989669075</v>
      </c>
      <c r="EH143" s="36">
        <f t="shared" ca="1" si="614"/>
        <v>-124.09139989669075</v>
      </c>
      <c r="EI143" s="36">
        <f t="shared" ca="1" si="631"/>
        <v>-12.198</v>
      </c>
      <c r="EJ143" s="153">
        <f t="shared" ca="1" si="598"/>
        <v>-1</v>
      </c>
      <c r="EK143" s="153" t="str">
        <f t="shared" ca="1" si="632"/>
        <v/>
      </c>
      <c r="EL143" s="153" t="str">
        <f t="shared" ca="1" si="501"/>
        <v/>
      </c>
      <c r="EM143" s="153">
        <f t="shared" ca="1" si="633"/>
        <v>3</v>
      </c>
      <c r="EN143" s="153">
        <f t="shared" ca="1" si="634"/>
        <v>0</v>
      </c>
    </row>
    <row r="144" spans="1:144" x14ac:dyDescent="0.3">
      <c r="A144" s="36">
        <f ca="1">IF($M$22=1,A143+'Auto X'!$E$6,A$48)</f>
        <v>107</v>
      </c>
      <c r="B144" s="35">
        <f>IF($M$22=2,B143+'Auto X'!$E$6,B$48)</f>
        <v>0.28399999999999997</v>
      </c>
      <c r="C144" s="39">
        <f>IF($M$22=3,C143+'Auto X'!$E$6,C$48)</f>
        <v>45295.440972222219</v>
      </c>
      <c r="D144" s="35">
        <f>IF($M$22=4,D143+'Auto X'!$E$6,D$48)</f>
        <v>2.5999999999999999E-2</v>
      </c>
      <c r="E144" s="35">
        <f>IF($M$22=5,E143+'Auto X'!$E$6,E$48)</f>
        <v>0.04</v>
      </c>
      <c r="F144" s="36">
        <f t="shared" si="615"/>
        <v>75</v>
      </c>
      <c r="G144" s="35">
        <f t="shared" si="599"/>
        <v>0.28399999999999997</v>
      </c>
      <c r="H144" s="197">
        <f t="shared" si="625"/>
        <v>169.23611111111677</v>
      </c>
      <c r="I144" s="41">
        <f t="shared" si="600"/>
        <v>0.46366057838662128</v>
      </c>
      <c r="J144" s="40">
        <f t="shared" ca="1" si="502"/>
        <v>0.35534072092559577</v>
      </c>
      <c r="K144" s="40">
        <f t="shared" si="503"/>
        <v>2.5189751902588361E-2</v>
      </c>
      <c r="L144" s="40">
        <f t="shared" si="504"/>
        <v>0.19338305926412305</v>
      </c>
      <c r="M144" s="42">
        <f t="shared" ca="1" si="505"/>
        <v>1.9677549536976489</v>
      </c>
      <c r="N144" s="42">
        <f t="shared" ca="1" si="506"/>
        <v>1.7743718944335258</v>
      </c>
      <c r="O144" s="42">
        <f t="shared" ca="1" si="507"/>
        <v>0.97545188025683227</v>
      </c>
      <c r="P144" s="42">
        <f t="shared" ca="1" si="508"/>
        <v>2.4548119743167687E-2</v>
      </c>
      <c r="Q144" s="42">
        <f t="shared" ca="1" si="509"/>
        <v>0.96199917218887243</v>
      </c>
      <c r="R144" s="42">
        <f t="shared" ca="1" si="510"/>
        <v>3.8000827811127569E-2</v>
      </c>
      <c r="S144" s="42">
        <f t="shared" si="511"/>
        <v>0.98162450344672281</v>
      </c>
      <c r="T144" s="42">
        <f t="shared" si="512"/>
        <v>73.621837758504213</v>
      </c>
      <c r="U144" s="42">
        <f t="shared" si="513"/>
        <v>0.98801719747153338</v>
      </c>
      <c r="V144" s="42">
        <f t="shared" ca="1" si="514"/>
        <v>105.71784012945407</v>
      </c>
      <c r="W144" s="42">
        <f t="shared" ca="1" si="515"/>
        <v>5.7557644972574977E-2</v>
      </c>
      <c r="X144" s="42">
        <f t="shared" ca="1" si="516"/>
        <v>0.20251658131279182</v>
      </c>
      <c r="Y144" s="42">
        <f t="shared" ca="1" si="517"/>
        <v>-2.4253964471840198E-2</v>
      </c>
      <c r="Z144" s="42">
        <f t="shared" ca="1" si="518"/>
        <v>2.7483074554886591E-3</v>
      </c>
      <c r="AA144" s="42">
        <f t="shared" ca="1" si="601"/>
        <v>-3.3548011570390295E-3</v>
      </c>
      <c r="AB144" s="42">
        <f t="shared" ca="1" si="519"/>
        <v>4.1433477405332236E-2</v>
      </c>
      <c r="AC144" s="42">
        <f t="shared" ca="1" si="520"/>
        <v>-1.2971789251088413E-2</v>
      </c>
      <c r="AD144" s="42">
        <f t="shared" ca="1" si="616"/>
        <v>-1698.741709343604</v>
      </c>
      <c r="AF144" s="36">
        <f t="shared" si="617"/>
        <v>80</v>
      </c>
      <c r="AG144" s="35">
        <f t="shared" si="602"/>
        <v>0.28399999999999997</v>
      </c>
      <c r="AH144" s="197">
        <f t="shared" si="626"/>
        <v>169.23611111111677</v>
      </c>
      <c r="AI144" s="41">
        <f t="shared" si="603"/>
        <v>0.46366057838662128</v>
      </c>
      <c r="AJ144" s="40">
        <f t="shared" ca="1" si="521"/>
        <v>0.29080219978802452</v>
      </c>
      <c r="AK144" s="40">
        <f t="shared" si="522"/>
        <v>2.5189751902588361E-2</v>
      </c>
      <c r="AL144" s="40">
        <f t="shared" si="523"/>
        <v>0.19338305926412305</v>
      </c>
      <c r="AM144" s="42">
        <f t="shared" ca="1" si="524"/>
        <v>1.634020854220898</v>
      </c>
      <c r="AN144" s="42">
        <f t="shared" ca="1" si="525"/>
        <v>1.440637794956775</v>
      </c>
      <c r="AO144" s="42">
        <f t="shared" ca="1" si="526"/>
        <v>0.9488727640914224</v>
      </c>
      <c r="AP144" s="42">
        <f t="shared" ca="1" si="527"/>
        <v>5.1127235908577574E-2</v>
      </c>
      <c r="AQ144" s="42">
        <f t="shared" ca="1" si="528"/>
        <v>0.92515648149338114</v>
      </c>
      <c r="AR144" s="42">
        <f t="shared" ca="1" si="529"/>
        <v>7.4843518506618842E-2</v>
      </c>
      <c r="AS144" s="42">
        <f t="shared" si="530"/>
        <v>0.98162450344672281</v>
      </c>
      <c r="AT144" s="42">
        <f t="shared" si="531"/>
        <v>78.529960275737821</v>
      </c>
      <c r="AU144" s="42">
        <f t="shared" si="532"/>
        <v>0.98801719747153338</v>
      </c>
      <c r="AV144" s="42">
        <f t="shared" ca="1" si="533"/>
        <v>105.71784012945407</v>
      </c>
      <c r="AW144" s="42">
        <f t="shared" ca="1" si="534"/>
        <v>0.10498365483092635</v>
      </c>
      <c r="AX144" s="42">
        <f t="shared" ca="1" si="535"/>
        <v>0.47239758317733838</v>
      </c>
      <c r="AY144" s="42">
        <f t="shared" ca="1" si="536"/>
        <v>-5.0514588336858783E-2</v>
      </c>
      <c r="AZ144" s="42">
        <f t="shared" ca="1" si="537"/>
        <v>5.0128416722706451E-3</v>
      </c>
      <c r="BA144" s="42">
        <f t="shared" ca="1" si="604"/>
        <v>-6.0820241083552554E-3</v>
      </c>
      <c r="BB144" s="42">
        <f t="shared" ca="1" si="538"/>
        <v>7.5573590483748829E-2</v>
      </c>
      <c r="BC144" s="42">
        <f t="shared" ca="1" si="539"/>
        <v>-2.7251458238840578E-2</v>
      </c>
      <c r="BD144" s="42">
        <f t="shared" ca="1" si="618"/>
        <v>2588.8012084113311</v>
      </c>
      <c r="BE144" s="40"/>
      <c r="BF144" s="36">
        <f t="shared" si="619"/>
        <v>90</v>
      </c>
      <c r="BG144" s="35">
        <f t="shared" si="605"/>
        <v>0.28399999999999997</v>
      </c>
      <c r="BH144" s="197">
        <f t="shared" si="627"/>
        <v>169.23611111111677</v>
      </c>
      <c r="BI144" s="41">
        <f t="shared" si="606"/>
        <v>0.46366057838662128</v>
      </c>
      <c r="BJ144" s="40">
        <f t="shared" ca="1" si="540"/>
        <v>0.17301916413164109</v>
      </c>
      <c r="BK144" s="40">
        <f t="shared" si="541"/>
        <v>2.5189751902588361E-2</v>
      </c>
      <c r="BL144" s="40">
        <f t="shared" si="542"/>
        <v>0.19338305926412305</v>
      </c>
      <c r="BM144" s="42">
        <f t="shared" ca="1" si="543"/>
        <v>1.0249549096413624</v>
      </c>
      <c r="BN144" s="42">
        <f t="shared" ca="1" si="544"/>
        <v>0.83157185037723935</v>
      </c>
      <c r="BO144" s="42">
        <f t="shared" ca="1" si="545"/>
        <v>0.84730776808151664</v>
      </c>
      <c r="BP144" s="42">
        <f t="shared" ca="1" si="546"/>
        <v>0.15269223191848333</v>
      </c>
      <c r="BQ144" s="42">
        <f t="shared" ca="1" si="547"/>
        <v>0.79717467168370781</v>
      </c>
      <c r="BR144" s="42">
        <f t="shared" ca="1" si="548"/>
        <v>0.20282532831629216</v>
      </c>
      <c r="BS144" s="42">
        <f t="shared" si="549"/>
        <v>0.98162450344672281</v>
      </c>
      <c r="BT144" s="42">
        <f t="shared" si="550"/>
        <v>88.34620531020505</v>
      </c>
      <c r="BU144" s="42">
        <f t="shared" si="551"/>
        <v>0.98801719747153338</v>
      </c>
      <c r="BV144" s="42">
        <f t="shared" ca="1" si="552"/>
        <v>105.71784012945407</v>
      </c>
      <c r="BW144" s="42">
        <f t="shared" ca="1" si="553"/>
        <v>0.23593361247454048</v>
      </c>
      <c r="BX144" s="42">
        <f t="shared" ca="1" si="554"/>
        <v>19.148189953822182</v>
      </c>
      <c r="BY144" s="42">
        <f t="shared" ca="1" si="555"/>
        <v>0.83715464641575998</v>
      </c>
      <c r="BZ144" s="42">
        <f t="shared" ca="1" si="556"/>
        <v>1.1265542682872266E-2</v>
      </c>
      <c r="CA144" s="42">
        <f t="shared" ca="1" si="607"/>
        <v>-1.5587953880076435E-2</v>
      </c>
      <c r="CB144" s="42">
        <f t="shared" ca="1" si="557"/>
        <v>0.16983929773846954</v>
      </c>
      <c r="CC144" s="42">
        <f t="shared" ca="1" si="558"/>
        <v>0.32654389179465043</v>
      </c>
      <c r="CD144" s="42">
        <f t="shared" ca="1" si="620"/>
        <v>-6174.0949769110912</v>
      </c>
      <c r="CE144" s="40"/>
      <c r="CF144" s="36">
        <f t="shared" si="621"/>
        <v>95</v>
      </c>
      <c r="CG144" s="35">
        <f t="shared" si="608"/>
        <v>0.28399999999999997</v>
      </c>
      <c r="CH144" s="197">
        <f t="shared" si="628"/>
        <v>169.23611111111677</v>
      </c>
      <c r="CI144" s="41">
        <f t="shared" si="609"/>
        <v>0.46366057838662128</v>
      </c>
      <c r="CJ144" s="40">
        <f t="shared" ca="1" si="559"/>
        <v>0.11895194286136529</v>
      </c>
      <c r="CK144" s="40">
        <f t="shared" si="560"/>
        <v>2.5189751902588361E-2</v>
      </c>
      <c r="CL144" s="40">
        <f t="shared" si="561"/>
        <v>0.19338305926412305</v>
      </c>
      <c r="CM144" s="42">
        <f t="shared" ca="1" si="562"/>
        <v>0.74536877900501397</v>
      </c>
      <c r="CN144" s="42">
        <f t="shared" ca="1" si="563"/>
        <v>0.55198571974089095</v>
      </c>
      <c r="CO144" s="42">
        <f t="shared" ca="1" si="564"/>
        <v>0.77197559374478053</v>
      </c>
      <c r="CP144" s="42">
        <f t="shared" ca="1" si="565"/>
        <v>0.22802440625521947</v>
      </c>
      <c r="CQ144" s="42">
        <f t="shared" ca="1" si="566"/>
        <v>0.70952093141234507</v>
      </c>
      <c r="CR144" s="42">
        <f t="shared" ca="1" si="567"/>
        <v>0.29047906858765493</v>
      </c>
      <c r="CS144" s="42">
        <f t="shared" si="568"/>
        <v>0.98162450344672281</v>
      </c>
      <c r="CT144" s="42">
        <f t="shared" si="569"/>
        <v>93.254327827438672</v>
      </c>
      <c r="CU144" s="42">
        <f t="shared" si="570"/>
        <v>0.98801719747153338</v>
      </c>
      <c r="CV144" s="42">
        <f t="shared" ca="1" si="571"/>
        <v>105.71784012945407</v>
      </c>
      <c r="CW144" s="42">
        <f t="shared" ca="1" si="572"/>
        <v>0.30218198566395665</v>
      </c>
      <c r="CX144" s="42">
        <f t="shared" ca="1" si="573"/>
        <v>15.445694864994636</v>
      </c>
      <c r="CY144" s="42">
        <f t="shared" ca="1" si="574"/>
        <v>0.76272516264814105</v>
      </c>
      <c r="CZ144" s="42">
        <f t="shared" ca="1" si="575"/>
        <v>1.4428821827410241E-2</v>
      </c>
      <c r="DA144" s="42">
        <f t="shared" ca="1" si="610"/>
        <v>-1.9689703818436672E-2</v>
      </c>
      <c r="DB144" s="42">
        <f t="shared" ca="1" si="576"/>
        <v>0.21752888745312138</v>
      </c>
      <c r="DC144" s="42">
        <f t="shared" ca="1" si="577"/>
        <v>0.30678518322104276</v>
      </c>
      <c r="DD144" s="42">
        <f t="shared" ca="1" si="622"/>
        <v>5147.8474324973176</v>
      </c>
      <c r="DE144" s="40"/>
      <c r="DF144" s="36">
        <f t="shared" si="623"/>
        <v>200</v>
      </c>
      <c r="DG144" s="35">
        <f t="shared" si="611"/>
        <v>0.28399999999999997</v>
      </c>
      <c r="DH144" s="197">
        <f t="shared" si="629"/>
        <v>169.23611111111677</v>
      </c>
      <c r="DI144" s="41">
        <f t="shared" si="612"/>
        <v>0.46366057838662128</v>
      </c>
      <c r="DJ144" s="40">
        <f t="shared" ca="1" si="578"/>
        <v>-0.62548853208613042</v>
      </c>
      <c r="DK144" s="40">
        <f t="shared" si="579"/>
        <v>2.5189751902588361E-2</v>
      </c>
      <c r="DL144" s="40">
        <f t="shared" si="580"/>
        <v>0.19338305926412305</v>
      </c>
      <c r="DM144" s="42">
        <f t="shared" ca="1" si="581"/>
        <v>-3.1041952819851328</v>
      </c>
      <c r="DN144" s="42">
        <f t="shared" ca="1" si="582"/>
        <v>-3.2975783412492561</v>
      </c>
      <c r="DO144" s="42">
        <f t="shared" ca="1" si="583"/>
        <v>9.5398676160234801E-4</v>
      </c>
      <c r="DP144" s="42">
        <f t="shared" ca="1" si="584"/>
        <v>0.9990460132383977</v>
      </c>
      <c r="DQ144" s="42">
        <f t="shared" ca="1" si="585"/>
        <v>4.8761232503017303E-4</v>
      </c>
      <c r="DR144" s="42">
        <f t="shared" ca="1" si="586"/>
        <v>0.99951238767496986</v>
      </c>
      <c r="DS144" s="42">
        <f t="shared" si="587"/>
        <v>0.98162450344672281</v>
      </c>
      <c r="DT144" s="42">
        <f t="shared" si="588"/>
        <v>196.32490068934456</v>
      </c>
      <c r="DU144" s="42">
        <f t="shared" si="589"/>
        <v>0.98801719747153338</v>
      </c>
      <c r="DV144" s="42">
        <f t="shared" ca="1" si="590"/>
        <v>105.71784012945407</v>
      </c>
      <c r="DW144" s="42">
        <f t="shared" ca="1" si="591"/>
        <v>3.2245795557157373E-3</v>
      </c>
      <c r="DX144" s="42">
        <f t="shared" si="592"/>
        <v>0</v>
      </c>
      <c r="DY144" s="92">
        <f t="shared" si="593"/>
        <v>0</v>
      </c>
      <c r="DZ144" s="42">
        <f t="shared" si="594"/>
        <v>0</v>
      </c>
      <c r="EA144" s="42">
        <f t="shared" si="613"/>
        <v>0</v>
      </c>
      <c r="EB144" s="42">
        <f t="shared" si="595"/>
        <v>0</v>
      </c>
      <c r="EC144" s="42">
        <f t="shared" si="596"/>
        <v>0</v>
      </c>
      <c r="ED144" s="42">
        <f t="shared" ca="1" si="624"/>
        <v>0</v>
      </c>
      <c r="EE144" s="40"/>
      <c r="EF144" s="120">
        <f t="shared" ca="1" si="630"/>
        <v>107</v>
      </c>
      <c r="EG144" s="42">
        <f t="shared" ca="1" si="597"/>
        <v>-136.18804534604624</v>
      </c>
      <c r="EH144" s="36">
        <f t="shared" ca="1" si="614"/>
        <v>-136.18804534604624</v>
      </c>
      <c r="EI144" s="36">
        <f t="shared" ca="1" si="631"/>
        <v>-12.097</v>
      </c>
      <c r="EJ144" s="153">
        <f t="shared" ca="1" si="598"/>
        <v>-1</v>
      </c>
      <c r="EK144" s="153" t="str">
        <f t="shared" ca="1" si="632"/>
        <v/>
      </c>
      <c r="EL144" s="153" t="str">
        <f t="shared" ca="1" si="501"/>
        <v/>
      </c>
      <c r="EM144" s="153">
        <f t="shared" ca="1" si="633"/>
        <v>3</v>
      </c>
      <c r="EN144" s="153">
        <f t="shared" ca="1" si="634"/>
        <v>0</v>
      </c>
    </row>
    <row r="145" spans="1:144" x14ac:dyDescent="0.3">
      <c r="A145" s="36">
        <f ca="1">IF($M$22=1,A144+'Auto X'!$E$6,A$48)</f>
        <v>107.5</v>
      </c>
      <c r="B145" s="35">
        <f>IF($M$22=2,B144+'Auto X'!$E$6,B$48)</f>
        <v>0.28399999999999997</v>
      </c>
      <c r="C145" s="39">
        <f>IF($M$22=3,C144+'Auto X'!$E$6,C$48)</f>
        <v>45295.440972222219</v>
      </c>
      <c r="D145" s="35">
        <f>IF($M$22=4,D144+'Auto X'!$E$6,D$48)</f>
        <v>2.5999999999999999E-2</v>
      </c>
      <c r="E145" s="35">
        <f>IF($M$22=5,E144+'Auto X'!$E$6,E$48)</f>
        <v>0.04</v>
      </c>
      <c r="F145" s="36">
        <f t="shared" si="615"/>
        <v>75</v>
      </c>
      <c r="G145" s="35">
        <f t="shared" si="599"/>
        <v>0.28399999999999997</v>
      </c>
      <c r="H145" s="197">
        <f t="shared" si="625"/>
        <v>169.23611111111677</v>
      </c>
      <c r="I145" s="41">
        <f t="shared" si="600"/>
        <v>0.46366057838662128</v>
      </c>
      <c r="J145" s="40">
        <f t="shared" ca="1" si="502"/>
        <v>0.36000273403140703</v>
      </c>
      <c r="K145" s="40">
        <f t="shared" si="503"/>
        <v>2.5189751902588361E-2</v>
      </c>
      <c r="L145" s="40">
        <f t="shared" si="504"/>
        <v>0.19338305926412305</v>
      </c>
      <c r="M145" s="42">
        <f t="shared" ca="1" si="505"/>
        <v>1.9918626140250402</v>
      </c>
      <c r="N145" s="42">
        <f t="shared" ca="1" si="506"/>
        <v>1.7984795547609171</v>
      </c>
      <c r="O145" s="42">
        <f t="shared" ca="1" si="507"/>
        <v>0.9768069330298621</v>
      </c>
      <c r="P145" s="42">
        <f t="shared" ca="1" si="508"/>
        <v>2.3193066970137843E-2</v>
      </c>
      <c r="Q145" s="42">
        <f t="shared" ca="1" si="509"/>
        <v>0.96394947712916235</v>
      </c>
      <c r="R145" s="42">
        <f t="shared" ca="1" si="510"/>
        <v>3.6050522870837674E-2</v>
      </c>
      <c r="S145" s="42">
        <f t="shared" si="511"/>
        <v>0.98162450344672281</v>
      </c>
      <c r="T145" s="42">
        <f t="shared" si="512"/>
        <v>73.621837758504213</v>
      </c>
      <c r="U145" s="42">
        <f t="shared" si="513"/>
        <v>0.98801719747153338</v>
      </c>
      <c r="V145" s="42">
        <f t="shared" ca="1" si="514"/>
        <v>106.21184872818984</v>
      </c>
      <c r="W145" s="42">
        <f t="shared" ca="1" si="515"/>
        <v>5.4875029512155858E-2</v>
      </c>
      <c r="X145" s="42">
        <f t="shared" ca="1" si="516"/>
        <v>0.19072722533099995</v>
      </c>
      <c r="Y145" s="42">
        <f t="shared" ca="1" si="517"/>
        <v>-2.2915149028605235E-2</v>
      </c>
      <c r="Z145" s="42">
        <f t="shared" ca="1" si="518"/>
        <v>2.6080287836702898E-3</v>
      </c>
      <c r="AA145" s="42">
        <f t="shared" ca="1" si="601"/>
        <v>-3.214604163433873E-3</v>
      </c>
      <c r="AB145" s="42">
        <f t="shared" ca="1" si="519"/>
        <v>3.9686958897217288E-2</v>
      </c>
      <c r="AC145" s="42">
        <f t="shared" ca="1" si="520"/>
        <v>-1.230604205246057E-2</v>
      </c>
      <c r="AD145" s="42">
        <f t="shared" ca="1" si="616"/>
        <v>-1704.6363873345001</v>
      </c>
      <c r="AF145" s="36">
        <f t="shared" si="617"/>
        <v>80</v>
      </c>
      <c r="AG145" s="35">
        <f t="shared" si="602"/>
        <v>0.28399999999999997</v>
      </c>
      <c r="AH145" s="197">
        <f t="shared" si="626"/>
        <v>169.23611111111677</v>
      </c>
      <c r="AI145" s="41">
        <f t="shared" si="603"/>
        <v>0.46366057838662128</v>
      </c>
      <c r="AJ145" s="40">
        <f t="shared" ca="1" si="521"/>
        <v>0.2954642128938359</v>
      </c>
      <c r="AK145" s="40">
        <f t="shared" si="522"/>
        <v>2.5189751902588361E-2</v>
      </c>
      <c r="AL145" s="40">
        <f t="shared" si="523"/>
        <v>0.19338305926412305</v>
      </c>
      <c r="AM145" s="42">
        <f t="shared" ca="1" si="524"/>
        <v>1.65812851454829</v>
      </c>
      <c r="AN145" s="42">
        <f t="shared" ca="1" si="525"/>
        <v>1.464745455284167</v>
      </c>
      <c r="AO145" s="42">
        <f t="shared" ca="1" si="526"/>
        <v>0.95135423520663387</v>
      </c>
      <c r="AP145" s="42">
        <f t="shared" ca="1" si="527"/>
        <v>4.8645764793366159E-2</v>
      </c>
      <c r="AQ145" s="42">
        <f t="shared" ca="1" si="528"/>
        <v>0.9285048108425058</v>
      </c>
      <c r="AR145" s="42">
        <f t="shared" ca="1" si="529"/>
        <v>7.1495189157494143E-2</v>
      </c>
      <c r="AS145" s="42">
        <f t="shared" si="530"/>
        <v>0.98162450344672281</v>
      </c>
      <c r="AT145" s="42">
        <f t="shared" si="531"/>
        <v>78.529960275737821</v>
      </c>
      <c r="AU145" s="42">
        <f t="shared" si="532"/>
        <v>0.98801719747153338</v>
      </c>
      <c r="AV145" s="42">
        <f t="shared" ca="1" si="533"/>
        <v>106.21184872818984</v>
      </c>
      <c r="AW145" s="42">
        <f t="shared" ca="1" si="534"/>
        <v>0.10089916586706701</v>
      </c>
      <c r="AX145" s="42">
        <f t="shared" ca="1" si="535"/>
        <v>0.44775775294426712</v>
      </c>
      <c r="AY145" s="42">
        <f t="shared" ca="1" si="536"/>
        <v>-4.8062852200000991E-2</v>
      </c>
      <c r="AZ145" s="42">
        <f t="shared" ca="1" si="537"/>
        <v>4.7954038689189474E-3</v>
      </c>
      <c r="BA145" s="42">
        <f t="shared" ca="1" si="604"/>
        <v>-5.8756363680108354E-3</v>
      </c>
      <c r="BB145" s="42">
        <f t="shared" ca="1" si="538"/>
        <v>7.2972736126597493E-2</v>
      </c>
      <c r="BC145" s="42">
        <f t="shared" ca="1" si="539"/>
        <v>-2.603228977578273E-2</v>
      </c>
      <c r="BD145" s="42">
        <f t="shared" ca="1" si="618"/>
        <v>2601.1211235278665</v>
      </c>
      <c r="BE145" s="40"/>
      <c r="BF145" s="36">
        <f t="shared" si="619"/>
        <v>90</v>
      </c>
      <c r="BG145" s="35">
        <f t="shared" si="605"/>
        <v>0.28399999999999997</v>
      </c>
      <c r="BH145" s="197">
        <f t="shared" si="627"/>
        <v>169.23611111111677</v>
      </c>
      <c r="BI145" s="41">
        <f t="shared" si="606"/>
        <v>0.46366057838662128</v>
      </c>
      <c r="BJ145" s="40">
        <f t="shared" ca="1" si="540"/>
        <v>0.17768117723745241</v>
      </c>
      <c r="BK145" s="40">
        <f t="shared" si="541"/>
        <v>2.5189751902588361E-2</v>
      </c>
      <c r="BL145" s="40">
        <f t="shared" si="542"/>
        <v>0.19338305926412305</v>
      </c>
      <c r="BM145" s="42">
        <f t="shared" ca="1" si="543"/>
        <v>1.0490625699687539</v>
      </c>
      <c r="BN145" s="42">
        <f t="shared" ca="1" si="544"/>
        <v>0.85567951070463089</v>
      </c>
      <c r="BO145" s="42">
        <f t="shared" ca="1" si="545"/>
        <v>0.85292533914084534</v>
      </c>
      <c r="BP145" s="42">
        <f t="shared" ca="1" si="546"/>
        <v>0.1470746608591546</v>
      </c>
      <c r="BQ145" s="42">
        <f t="shared" ca="1" si="547"/>
        <v>0.80391246174306286</v>
      </c>
      <c r="BR145" s="42">
        <f t="shared" ca="1" si="548"/>
        <v>0.19608753825693712</v>
      </c>
      <c r="BS145" s="42">
        <f t="shared" si="549"/>
        <v>0.98162450344672281</v>
      </c>
      <c r="BT145" s="42">
        <f t="shared" si="550"/>
        <v>88.34620531020505</v>
      </c>
      <c r="BU145" s="42">
        <f t="shared" si="551"/>
        <v>0.98801719747153338</v>
      </c>
      <c r="BV145" s="42">
        <f t="shared" ca="1" si="552"/>
        <v>106.21184872818984</v>
      </c>
      <c r="BW145" s="42">
        <f t="shared" ca="1" si="553"/>
        <v>0.23010842431802486</v>
      </c>
      <c r="BX145" s="42">
        <f t="shared" ca="1" si="554"/>
        <v>19.568161700682481</v>
      </c>
      <c r="BY145" s="42">
        <f t="shared" ca="1" si="555"/>
        <v>0.84270490323039515</v>
      </c>
      <c r="BZ145" s="42">
        <f t="shared" ca="1" si="556"/>
        <v>1.0936292869846844E-2</v>
      </c>
      <c r="CA145" s="42">
        <f t="shared" ca="1" si="607"/>
        <v>-1.5293970580081258E-2</v>
      </c>
      <c r="CB145" s="42">
        <f t="shared" ca="1" si="557"/>
        <v>0.16642002125556782</v>
      </c>
      <c r="CC145" s="42">
        <f t="shared" ca="1" si="558"/>
        <v>0.32930386933311157</v>
      </c>
      <c r="CD145" s="42">
        <f t="shared" ca="1" si="620"/>
        <v>-6384.08085034124</v>
      </c>
      <c r="CE145" s="40"/>
      <c r="CF145" s="36">
        <f t="shared" si="621"/>
        <v>95</v>
      </c>
      <c r="CG145" s="35">
        <f t="shared" si="608"/>
        <v>0.28399999999999997</v>
      </c>
      <c r="CH145" s="197">
        <f t="shared" si="628"/>
        <v>169.23611111111677</v>
      </c>
      <c r="CI145" s="41">
        <f t="shared" si="609"/>
        <v>0.46366057838662128</v>
      </c>
      <c r="CJ145" s="40">
        <f t="shared" ca="1" si="559"/>
        <v>0.12361395596717663</v>
      </c>
      <c r="CK145" s="40">
        <f t="shared" si="560"/>
        <v>2.5189751902588361E-2</v>
      </c>
      <c r="CL145" s="40">
        <f t="shared" si="561"/>
        <v>0.19338305926412305</v>
      </c>
      <c r="CM145" s="42">
        <f t="shared" ca="1" si="562"/>
        <v>0.76947643933240562</v>
      </c>
      <c r="CN145" s="42">
        <f t="shared" ca="1" si="563"/>
        <v>0.57609338006828259</v>
      </c>
      <c r="CO145" s="42">
        <f t="shared" ca="1" si="564"/>
        <v>0.77919473701130992</v>
      </c>
      <c r="CP145" s="42">
        <f t="shared" ca="1" si="565"/>
        <v>0.22080526298869002</v>
      </c>
      <c r="CQ145" s="42">
        <f t="shared" ca="1" si="566"/>
        <v>0.71772396712046227</v>
      </c>
      <c r="CR145" s="42">
        <f t="shared" ca="1" si="567"/>
        <v>0.28227603287953773</v>
      </c>
      <c r="CS145" s="42">
        <f t="shared" si="568"/>
        <v>0.98162450344672281</v>
      </c>
      <c r="CT145" s="42">
        <f t="shared" si="569"/>
        <v>93.254327827438672</v>
      </c>
      <c r="CU145" s="42">
        <f t="shared" si="570"/>
        <v>0.98801719747153338</v>
      </c>
      <c r="CV145" s="42">
        <f t="shared" ca="1" si="571"/>
        <v>106.21184872818984</v>
      </c>
      <c r="CW145" s="42">
        <f t="shared" ca="1" si="572"/>
        <v>0.29671430814969246</v>
      </c>
      <c r="CX145" s="42">
        <f t="shared" ca="1" si="573"/>
        <v>15.828847417785511</v>
      </c>
      <c r="CY145" s="42">
        <f t="shared" ca="1" si="574"/>
        <v>0.76985780034648288</v>
      </c>
      <c r="CZ145" s="42">
        <f t="shared" ca="1" si="575"/>
        <v>1.4101850387338631E-2</v>
      </c>
      <c r="DA145" s="42">
        <f t="shared" ca="1" si="610"/>
        <v>-1.9445246008652075E-2</v>
      </c>
      <c r="DB145" s="42">
        <f t="shared" ca="1" si="576"/>
        <v>0.21459101993092455</v>
      </c>
      <c r="DC145" s="42">
        <f t="shared" ca="1" si="577"/>
        <v>0.3103320409686699</v>
      </c>
      <c r="DD145" s="42">
        <f t="shared" ca="1" si="622"/>
        <v>5339.4237088927548</v>
      </c>
      <c r="DE145" s="40"/>
      <c r="DF145" s="36">
        <f t="shared" si="623"/>
        <v>200</v>
      </c>
      <c r="DG145" s="35">
        <f t="shared" si="611"/>
        <v>0.28399999999999997</v>
      </c>
      <c r="DH145" s="197">
        <f t="shared" si="629"/>
        <v>169.23611111111677</v>
      </c>
      <c r="DI145" s="41">
        <f t="shared" si="612"/>
        <v>0.46366057838662128</v>
      </c>
      <c r="DJ145" s="40">
        <f t="shared" ca="1" si="578"/>
        <v>-0.62082651898031926</v>
      </c>
      <c r="DK145" s="40">
        <f t="shared" si="579"/>
        <v>2.5189751902588361E-2</v>
      </c>
      <c r="DL145" s="40">
        <f t="shared" si="580"/>
        <v>0.19338305926412305</v>
      </c>
      <c r="DM145" s="42">
        <f t="shared" ca="1" si="581"/>
        <v>-3.080087621657742</v>
      </c>
      <c r="DN145" s="42">
        <f t="shared" ca="1" si="582"/>
        <v>-3.2734706809218652</v>
      </c>
      <c r="DO145" s="42">
        <f t="shared" ca="1" si="583"/>
        <v>1.0346985238462547E-3</v>
      </c>
      <c r="DP145" s="42">
        <f t="shared" ca="1" si="584"/>
        <v>0.9989653014761537</v>
      </c>
      <c r="DQ145" s="42">
        <f t="shared" ca="1" si="585"/>
        <v>5.3117705609837852E-4</v>
      </c>
      <c r="DR145" s="42">
        <f t="shared" ca="1" si="586"/>
        <v>0.9994688229439016</v>
      </c>
      <c r="DS145" s="42">
        <f t="shared" si="587"/>
        <v>0.98162450344672281</v>
      </c>
      <c r="DT145" s="42">
        <f t="shared" si="588"/>
        <v>196.32490068934456</v>
      </c>
      <c r="DU145" s="42">
        <f t="shared" si="589"/>
        <v>0.98801719747153338</v>
      </c>
      <c r="DV145" s="42">
        <f t="shared" ca="1" si="590"/>
        <v>106.21184872818984</v>
      </c>
      <c r="DW145" s="42">
        <f t="shared" ca="1" si="591"/>
        <v>3.474139655571004E-3</v>
      </c>
      <c r="DX145" s="42">
        <f t="shared" si="592"/>
        <v>0</v>
      </c>
      <c r="DY145" s="92">
        <f t="shared" si="593"/>
        <v>0</v>
      </c>
      <c r="DZ145" s="42">
        <f t="shared" si="594"/>
        <v>0</v>
      </c>
      <c r="EA145" s="42">
        <f t="shared" si="613"/>
        <v>0</v>
      </c>
      <c r="EB145" s="42">
        <f t="shared" si="595"/>
        <v>0</v>
      </c>
      <c r="EC145" s="42">
        <f t="shared" si="596"/>
        <v>0</v>
      </c>
      <c r="ED145" s="42">
        <f t="shared" ca="1" si="624"/>
        <v>0</v>
      </c>
      <c r="EE145" s="40"/>
      <c r="EF145" s="120">
        <f t="shared" ca="1" si="630"/>
        <v>107.5</v>
      </c>
      <c r="EG145" s="42">
        <f t="shared" ca="1" si="597"/>
        <v>-148.17240525511897</v>
      </c>
      <c r="EH145" s="36">
        <f t="shared" ca="1" si="614"/>
        <v>-148.17240525511897</v>
      </c>
      <c r="EI145" s="36">
        <f t="shared" ca="1" si="631"/>
        <v>-11.984</v>
      </c>
      <c r="EJ145" s="153">
        <f t="shared" ca="1" si="598"/>
        <v>-1</v>
      </c>
      <c r="EK145" s="153" t="str">
        <f t="shared" ca="1" si="632"/>
        <v/>
      </c>
      <c r="EL145" s="153" t="str">
        <f t="shared" ca="1" si="501"/>
        <v/>
      </c>
      <c r="EM145" s="153">
        <f t="shared" ca="1" si="633"/>
        <v>3</v>
      </c>
      <c r="EN145" s="153">
        <f t="shared" ca="1" si="634"/>
        <v>0</v>
      </c>
    </row>
    <row r="146" spans="1:144" x14ac:dyDescent="0.3">
      <c r="A146" s="36">
        <f ca="1">IF($M$22=1,A145+'Auto X'!$E$6,A$48)</f>
        <v>108</v>
      </c>
      <c r="B146" s="35">
        <f>IF($M$22=2,B145+'Auto X'!$E$6,B$48)</f>
        <v>0.28399999999999997</v>
      </c>
      <c r="C146" s="39">
        <f>IF($M$22=3,C145+'Auto X'!$E$6,C$48)</f>
        <v>45295.440972222219</v>
      </c>
      <c r="D146" s="35">
        <f>IF($M$22=4,D145+'Auto X'!$E$6,D$48)</f>
        <v>2.5999999999999999E-2</v>
      </c>
      <c r="E146" s="35">
        <f>IF($M$22=5,E145+'Auto X'!$E$6,E$48)</f>
        <v>0.04</v>
      </c>
      <c r="F146" s="36">
        <f t="shared" si="615"/>
        <v>75</v>
      </c>
      <c r="G146" s="35">
        <f t="shared" si="599"/>
        <v>0.28399999999999997</v>
      </c>
      <c r="H146" s="197">
        <f t="shared" si="625"/>
        <v>169.23611111111677</v>
      </c>
      <c r="I146" s="41">
        <f t="shared" ref="I146:I150" si="635">H146/365</f>
        <v>0.46366057838662128</v>
      </c>
      <c r="J146" s="40">
        <f t="shared" ca="1" si="502"/>
        <v>0.36464311358790924</v>
      </c>
      <c r="K146" s="40">
        <f t="shared" si="503"/>
        <v>2.5189751902588361E-2</v>
      </c>
      <c r="L146" s="40">
        <f t="shared" si="504"/>
        <v>0.19338305926412305</v>
      </c>
      <c r="M146" s="42">
        <f t="shared" ca="1" si="505"/>
        <v>2.0158584054566173</v>
      </c>
      <c r="N146" s="42">
        <f t="shared" ca="1" si="506"/>
        <v>1.8224753461924943</v>
      </c>
      <c r="O146" s="42">
        <f t="shared" ca="1" si="507"/>
        <v>0.97809260793131958</v>
      </c>
      <c r="P146" s="42">
        <f t="shared" ca="1" si="508"/>
        <v>2.1907392068680379E-2</v>
      </c>
      <c r="Q146" s="42">
        <f t="shared" ca="1" si="509"/>
        <v>0.965808554396137</v>
      </c>
      <c r="R146" s="42">
        <f t="shared" ca="1" si="510"/>
        <v>3.4191445603862981E-2</v>
      </c>
      <c r="S146" s="42">
        <f t="shared" si="511"/>
        <v>0.98162450344672281</v>
      </c>
      <c r="T146" s="42">
        <f t="shared" si="512"/>
        <v>73.621837758504213</v>
      </c>
      <c r="U146" s="42">
        <f t="shared" si="513"/>
        <v>0.98801719747153338</v>
      </c>
      <c r="V146" s="42">
        <f t="shared" ca="1" si="514"/>
        <v>106.70585732692561</v>
      </c>
      <c r="W146" s="42">
        <f t="shared" ca="1" si="515"/>
        <v>5.2298839961289804E-2</v>
      </c>
      <c r="X146" s="42">
        <f t="shared" ca="1" si="516"/>
        <v>0.17959000849069229</v>
      </c>
      <c r="Y146" s="42">
        <f t="shared" ca="1" si="517"/>
        <v>-2.1644880115607727E-2</v>
      </c>
      <c r="Z146" s="42">
        <f t="shared" ca="1" si="518"/>
        <v>2.474083643173797E-3</v>
      </c>
      <c r="AA146" s="42">
        <f t="shared" ca="1" si="601"/>
        <v>-3.0790770819017132E-3</v>
      </c>
      <c r="AB146" s="42">
        <f t="shared" ca="1" si="519"/>
        <v>3.7999720452299393E-2</v>
      </c>
      <c r="AC146" s="42">
        <f t="shared" ca="1" si="520"/>
        <v>-1.1671435916285201E-2</v>
      </c>
      <c r="AD146" s="42">
        <f t="shared" ca="1" si="616"/>
        <v>-1710.204995754654</v>
      </c>
      <c r="AF146" s="36">
        <f t="shared" si="617"/>
        <v>80</v>
      </c>
      <c r="AG146" s="35">
        <f t="shared" si="602"/>
        <v>0.28399999999999997</v>
      </c>
      <c r="AH146" s="197">
        <f t="shared" si="626"/>
        <v>169.23611111111677</v>
      </c>
      <c r="AI146" s="41">
        <f t="shared" ref="AI146:AI150" si="636">AH146/365</f>
        <v>0.46366057838662128</v>
      </c>
      <c r="AJ146" s="40">
        <f t="shared" ca="1" si="521"/>
        <v>0.30010459245033816</v>
      </c>
      <c r="AK146" s="40">
        <f t="shared" si="522"/>
        <v>2.5189751902588361E-2</v>
      </c>
      <c r="AL146" s="40">
        <f t="shared" si="523"/>
        <v>0.19338305926412305</v>
      </c>
      <c r="AM146" s="42">
        <f t="shared" ca="1" si="524"/>
        <v>1.6821243059798672</v>
      </c>
      <c r="AN146" s="42">
        <f t="shared" ca="1" si="525"/>
        <v>1.4887412467157441</v>
      </c>
      <c r="AO146" s="42">
        <f t="shared" ca="1" si="526"/>
        <v>0.95372763096321955</v>
      </c>
      <c r="AP146" s="42">
        <f t="shared" ca="1" si="527"/>
        <v>4.6272369036780496E-2</v>
      </c>
      <c r="AQ146" s="42">
        <f t="shared" ca="1" si="528"/>
        <v>0.93172224047379082</v>
      </c>
      <c r="AR146" s="42">
        <f t="shared" ca="1" si="529"/>
        <v>6.8277759526209125E-2</v>
      </c>
      <c r="AS146" s="42">
        <f t="shared" si="530"/>
        <v>0.98162450344672281</v>
      </c>
      <c r="AT146" s="42">
        <f t="shared" si="531"/>
        <v>78.529960275737821</v>
      </c>
      <c r="AU146" s="42">
        <f t="shared" si="532"/>
        <v>0.98801719747153338</v>
      </c>
      <c r="AV146" s="42">
        <f t="shared" ca="1" si="533"/>
        <v>106.70585732692561</v>
      </c>
      <c r="AW146" s="42">
        <f t="shared" ca="1" si="534"/>
        <v>9.6935485122325152E-2</v>
      </c>
      <c r="AX146" s="42">
        <f t="shared" ca="1" si="535"/>
        <v>0.42431693469203235</v>
      </c>
      <c r="AY146" s="42">
        <f t="shared" ca="1" si="536"/>
        <v>-4.5717896376088377E-2</v>
      </c>
      <c r="AZ146" s="42">
        <f t="shared" ca="1" si="537"/>
        <v>4.5856944123765404E-3</v>
      </c>
      <c r="BA146" s="42">
        <f t="shared" ca="1" si="604"/>
        <v>-5.6738283871983182E-3</v>
      </c>
      <c r="BB146" s="42">
        <f t="shared" ca="1" si="538"/>
        <v>7.0432180508837788E-2</v>
      </c>
      <c r="BC146" s="42">
        <f t="shared" ca="1" si="539"/>
        <v>-2.4860783532050779E-2</v>
      </c>
      <c r="BD146" s="42">
        <f t="shared" ca="1" si="618"/>
        <v>2612.8415326539839</v>
      </c>
      <c r="BE146" s="40"/>
      <c r="BF146" s="36">
        <f t="shared" si="619"/>
        <v>90</v>
      </c>
      <c r="BG146" s="35">
        <f t="shared" si="605"/>
        <v>0.28399999999999997</v>
      </c>
      <c r="BH146" s="197">
        <f t="shared" si="627"/>
        <v>169.23611111111677</v>
      </c>
      <c r="BI146" s="41">
        <f t="shared" ref="BI146:BI150" si="637">BH146/365</f>
        <v>0.46366057838662128</v>
      </c>
      <c r="BJ146" s="40">
        <f t="shared" ca="1" si="540"/>
        <v>0.18232155679395459</v>
      </c>
      <c r="BK146" s="40">
        <f t="shared" si="541"/>
        <v>2.5189751902588361E-2</v>
      </c>
      <c r="BL146" s="40">
        <f t="shared" si="542"/>
        <v>0.19338305926412305</v>
      </c>
      <c r="BM146" s="42">
        <f t="shared" ca="1" si="543"/>
        <v>1.0730583614003308</v>
      </c>
      <c r="BN146" s="42">
        <f t="shared" ca="1" si="544"/>
        <v>0.87967530213620782</v>
      </c>
      <c r="BO146" s="42">
        <f t="shared" ca="1" si="545"/>
        <v>0.85837753418355711</v>
      </c>
      <c r="BP146" s="42">
        <f t="shared" ca="1" si="546"/>
        <v>0.14162246581644289</v>
      </c>
      <c r="BQ146" s="42">
        <f t="shared" ca="1" si="547"/>
        <v>0.81048238370560721</v>
      </c>
      <c r="BR146" s="42">
        <f t="shared" ca="1" si="548"/>
        <v>0.18951761629439273</v>
      </c>
      <c r="BS146" s="42">
        <f t="shared" si="549"/>
        <v>0.98162450344672281</v>
      </c>
      <c r="BT146" s="42">
        <f t="shared" si="550"/>
        <v>88.34620531020505</v>
      </c>
      <c r="BU146" s="42">
        <f t="shared" si="551"/>
        <v>0.98801719747153338</v>
      </c>
      <c r="BV146" s="42">
        <f t="shared" ca="1" si="552"/>
        <v>106.70585732692561</v>
      </c>
      <c r="BW146" s="42">
        <f t="shared" ca="1" si="553"/>
        <v>0.22432359328650928</v>
      </c>
      <c r="BX146" s="42">
        <f t="shared" ca="1" si="554"/>
        <v>19.990867624068898</v>
      </c>
      <c r="BY146" s="42">
        <f t="shared" ca="1" si="555"/>
        <v>0.84809176569656342</v>
      </c>
      <c r="BZ146" s="42">
        <f t="shared" ca="1" si="556"/>
        <v>1.0612000827148683E-2</v>
      </c>
      <c r="CA146" s="42">
        <f t="shared" ca="1" si="607"/>
        <v>-1.499839577685873E-2</v>
      </c>
      <c r="CB146" s="42">
        <f t="shared" ca="1" si="557"/>
        <v>0.16299087784838184</v>
      </c>
      <c r="CC146" s="42">
        <f t="shared" ca="1" si="558"/>
        <v>0.33199508364616187</v>
      </c>
      <c r="CD146" s="42">
        <f t="shared" ca="1" si="620"/>
        <v>-6595.4338120344482</v>
      </c>
      <c r="CE146" s="40"/>
      <c r="CF146" s="36">
        <f t="shared" si="621"/>
        <v>95</v>
      </c>
      <c r="CG146" s="35">
        <f t="shared" si="608"/>
        <v>0.28399999999999997</v>
      </c>
      <c r="CH146" s="197">
        <f t="shared" si="628"/>
        <v>169.23611111111677</v>
      </c>
      <c r="CI146" s="41">
        <f t="shared" ref="CI146:CI150" si="638">CH146/365</f>
        <v>0.46366057838662128</v>
      </c>
      <c r="CJ146" s="40">
        <f t="shared" ca="1" si="559"/>
        <v>0.12825433552367885</v>
      </c>
      <c r="CK146" s="40">
        <f t="shared" si="560"/>
        <v>2.5189751902588361E-2</v>
      </c>
      <c r="CL146" s="40">
        <f t="shared" si="561"/>
        <v>0.19338305926412305</v>
      </c>
      <c r="CM146" s="42">
        <f t="shared" ca="1" si="562"/>
        <v>0.79347223076398277</v>
      </c>
      <c r="CN146" s="42">
        <f t="shared" ca="1" si="563"/>
        <v>0.60008917149985974</v>
      </c>
      <c r="CO146" s="42">
        <f t="shared" ca="1" si="564"/>
        <v>0.78624862897871162</v>
      </c>
      <c r="CP146" s="42">
        <f t="shared" ca="1" si="565"/>
        <v>0.21375137102128844</v>
      </c>
      <c r="CQ146" s="42">
        <f t="shared" ca="1" si="566"/>
        <v>0.72577659559263497</v>
      </c>
      <c r="CR146" s="42">
        <f t="shared" ca="1" si="567"/>
        <v>0.27422340440736498</v>
      </c>
      <c r="CS146" s="42">
        <f t="shared" si="568"/>
        <v>0.98162450344672281</v>
      </c>
      <c r="CT146" s="42">
        <f t="shared" si="569"/>
        <v>93.254327827438672</v>
      </c>
      <c r="CU146" s="42">
        <f t="shared" si="570"/>
        <v>0.98801719747153338</v>
      </c>
      <c r="CV146" s="42">
        <f t="shared" ca="1" si="571"/>
        <v>106.70585732692561</v>
      </c>
      <c r="CW146" s="42">
        <f t="shared" ca="1" si="572"/>
        <v>0.2912021371124548</v>
      </c>
      <c r="CX146" s="42">
        <f t="shared" ca="1" si="573"/>
        <v>16.215525452415307</v>
      </c>
      <c r="CY146" s="42">
        <f t="shared" ca="1" si="574"/>
        <v>0.77682716691938214</v>
      </c>
      <c r="CZ146" s="42">
        <f t="shared" ca="1" si="575"/>
        <v>1.3775801620465036E-2</v>
      </c>
      <c r="DA146" s="42">
        <f t="shared" ca="1" si="610"/>
        <v>-1.9194200038254308E-2</v>
      </c>
      <c r="DB146" s="42">
        <f t="shared" ca="1" si="576"/>
        <v>0.21158403921723509</v>
      </c>
      <c r="DC146" s="42">
        <f t="shared" ca="1" si="577"/>
        <v>0.313813865100805</v>
      </c>
      <c r="DD146" s="42">
        <f t="shared" ca="1" si="622"/>
        <v>5532.762726207653</v>
      </c>
      <c r="DE146" s="40"/>
      <c r="DF146" s="36">
        <f t="shared" si="623"/>
        <v>200</v>
      </c>
      <c r="DG146" s="35">
        <f t="shared" si="611"/>
        <v>0.28399999999999997</v>
      </c>
      <c r="DH146" s="197">
        <f t="shared" si="629"/>
        <v>169.23611111111677</v>
      </c>
      <c r="DI146" s="41">
        <f t="shared" ref="DI146:DI150" si="639">DH146/365</f>
        <v>0.46366057838662128</v>
      </c>
      <c r="DJ146" s="40">
        <f t="shared" ca="1" si="578"/>
        <v>-0.61618613942381695</v>
      </c>
      <c r="DK146" s="40">
        <f t="shared" si="579"/>
        <v>2.5189751902588361E-2</v>
      </c>
      <c r="DL146" s="40">
        <f t="shared" si="580"/>
        <v>0.19338305926412305</v>
      </c>
      <c r="DM146" s="42">
        <f t="shared" ca="1" si="581"/>
        <v>-3.0560918302261642</v>
      </c>
      <c r="DN146" s="42">
        <f t="shared" ca="1" si="582"/>
        <v>-3.2494748894902874</v>
      </c>
      <c r="DO146" s="42">
        <f t="shared" ca="1" si="583"/>
        <v>1.1212128267358284E-3</v>
      </c>
      <c r="DP146" s="42">
        <f t="shared" ca="1" si="584"/>
        <v>0.99887878717326417</v>
      </c>
      <c r="DQ146" s="42">
        <f t="shared" ca="1" si="585"/>
        <v>5.780914264929953E-4</v>
      </c>
      <c r="DR146" s="42">
        <f t="shared" ca="1" si="586"/>
        <v>0.99942190857350699</v>
      </c>
      <c r="DS146" s="42">
        <f t="shared" si="587"/>
        <v>0.98162450344672281</v>
      </c>
      <c r="DT146" s="42">
        <f t="shared" si="588"/>
        <v>196.32490068934456</v>
      </c>
      <c r="DU146" s="42">
        <f t="shared" si="589"/>
        <v>0.98801719747153338</v>
      </c>
      <c r="DV146" s="42">
        <f t="shared" ca="1" si="590"/>
        <v>106.70585732692561</v>
      </c>
      <c r="DW146" s="42">
        <f t="shared" ca="1" si="591"/>
        <v>3.7395605644613933E-3</v>
      </c>
      <c r="DX146" s="42">
        <f t="shared" si="592"/>
        <v>0</v>
      </c>
      <c r="DY146" s="92">
        <f t="shared" si="593"/>
        <v>0</v>
      </c>
      <c r="DZ146" s="42">
        <f t="shared" si="594"/>
        <v>0</v>
      </c>
      <c r="EA146" s="42">
        <f t="shared" si="613"/>
        <v>0</v>
      </c>
      <c r="EB146" s="42">
        <f t="shared" si="595"/>
        <v>0</v>
      </c>
      <c r="EC146" s="42">
        <f t="shared" si="596"/>
        <v>0</v>
      </c>
      <c r="ED146" s="42">
        <f t="shared" ca="1" si="624"/>
        <v>0</v>
      </c>
      <c r="EE146" s="40"/>
      <c r="EF146" s="120">
        <f t="shared" ca="1" si="630"/>
        <v>108</v>
      </c>
      <c r="EG146" s="42">
        <f t="shared" ca="1" si="597"/>
        <v>-160.03454892746504</v>
      </c>
      <c r="EH146" s="36">
        <f t="shared" ref="EH146:EH150" ca="1" si="640">IF($M$26=1,EG146,OFFSET($AD146,0,$M$26*26-52))</f>
        <v>-160.03454892746504</v>
      </c>
      <c r="EI146" s="36">
        <f t="shared" ca="1" si="631"/>
        <v>-11.862</v>
      </c>
      <c r="EJ146" s="153">
        <f t="shared" ca="1" si="598"/>
        <v>-1</v>
      </c>
      <c r="EK146" s="153" t="str">
        <f t="shared" ca="1" si="632"/>
        <v/>
      </c>
      <c r="EL146" s="153" t="str">
        <f t="shared" ca="1" si="501"/>
        <v/>
      </c>
      <c r="EM146" s="153">
        <f t="shared" ca="1" si="633"/>
        <v>3</v>
      </c>
      <c r="EN146" s="153">
        <f t="shared" ca="1" si="634"/>
        <v>0</v>
      </c>
    </row>
    <row r="147" spans="1:144" x14ac:dyDescent="0.3">
      <c r="A147" s="36">
        <f ca="1">IF($M$22=1,A146+'Auto X'!$E$6,A$48)</f>
        <v>108.5</v>
      </c>
      <c r="B147" s="35">
        <f>IF($M$22=2,B146+'Auto X'!$E$6,B$48)</f>
        <v>0.28399999999999997</v>
      </c>
      <c r="C147" s="39">
        <f>IF($M$22=3,C146+'Auto X'!$E$6,C$48)</f>
        <v>45295.440972222219</v>
      </c>
      <c r="D147" s="35">
        <f>IF($M$22=4,D146+'Auto X'!$E$6,D$48)</f>
        <v>2.5999999999999999E-2</v>
      </c>
      <c r="E147" s="35">
        <f>IF($M$22=5,E146+'Auto X'!$E$6,E$48)</f>
        <v>0.04</v>
      </c>
      <c r="F147" s="36">
        <f t="shared" si="615"/>
        <v>75</v>
      </c>
      <c r="G147" s="35">
        <f t="shared" si="599"/>
        <v>0.28399999999999997</v>
      </c>
      <c r="H147" s="197">
        <f t="shared" si="625"/>
        <v>169.23611111111677</v>
      </c>
      <c r="I147" s="41">
        <f t="shared" si="635"/>
        <v>0.46366057838662128</v>
      </c>
      <c r="J147" s="40">
        <f t="shared" ca="1" si="502"/>
        <v>0.36926205944420387</v>
      </c>
      <c r="K147" s="40">
        <f t="shared" si="503"/>
        <v>2.5189751902588361E-2</v>
      </c>
      <c r="L147" s="40">
        <f t="shared" si="504"/>
        <v>0.19338305926412305</v>
      </c>
      <c r="M147" s="42">
        <f t="shared" ca="1" si="505"/>
        <v>2.0397433614288261</v>
      </c>
      <c r="N147" s="42">
        <f t="shared" ca="1" si="506"/>
        <v>1.846360302164703</v>
      </c>
      <c r="O147" s="42">
        <f t="shared" ca="1" si="507"/>
        <v>0.97931205316452474</v>
      </c>
      <c r="P147" s="42">
        <f t="shared" ca="1" si="508"/>
        <v>2.0687946835475233E-2</v>
      </c>
      <c r="Q147" s="42">
        <f t="shared" ca="1" si="509"/>
        <v>0.96758004636211437</v>
      </c>
      <c r="R147" s="42">
        <f t="shared" ca="1" si="510"/>
        <v>3.2419953637885635E-2</v>
      </c>
      <c r="S147" s="42">
        <f t="shared" si="511"/>
        <v>0.98162450344672281</v>
      </c>
      <c r="T147" s="42">
        <f t="shared" si="512"/>
        <v>73.621837758504213</v>
      </c>
      <c r="U147" s="42">
        <f t="shared" si="513"/>
        <v>0.98801719747153338</v>
      </c>
      <c r="V147" s="42">
        <f t="shared" ca="1" si="514"/>
        <v>107.19986592566137</v>
      </c>
      <c r="W147" s="42">
        <f t="shared" ca="1" si="515"/>
        <v>4.9826165392084384E-2</v>
      </c>
      <c r="X147" s="42">
        <f t="shared" ca="1" si="516"/>
        <v>0.1690714398264892</v>
      </c>
      <c r="Y147" s="42">
        <f t="shared" ca="1" si="517"/>
        <v>-2.0440047253826341E-2</v>
      </c>
      <c r="Z147" s="42">
        <f t="shared" ca="1" si="518"/>
        <v>2.3462474019621355E-3</v>
      </c>
      <c r="AA147" s="42">
        <f t="shared" ca="1" si="601"/>
        <v>-2.9481444113398075E-3</v>
      </c>
      <c r="AB147" s="42">
        <f t="shared" ca="1" si="519"/>
        <v>3.637071123019097E-2</v>
      </c>
      <c r="AC147" s="42">
        <f t="shared" ca="1" si="520"/>
        <v>-1.1066727498961582E-2</v>
      </c>
      <c r="AD147" s="42">
        <f t="shared" ca="1" si="616"/>
        <v>-1715.4642800867555</v>
      </c>
      <c r="AF147" s="36">
        <f t="shared" si="617"/>
        <v>80</v>
      </c>
      <c r="AG147" s="35">
        <f t="shared" si="602"/>
        <v>0.28399999999999997</v>
      </c>
      <c r="AH147" s="197">
        <f t="shared" si="626"/>
        <v>169.23611111111677</v>
      </c>
      <c r="AI147" s="41">
        <f t="shared" si="636"/>
        <v>0.46366057838662128</v>
      </c>
      <c r="AJ147" s="40">
        <f t="shared" ca="1" si="521"/>
        <v>0.30472353830663262</v>
      </c>
      <c r="AK147" s="40">
        <f t="shared" si="522"/>
        <v>2.5189751902588361E-2</v>
      </c>
      <c r="AL147" s="40">
        <f t="shared" si="523"/>
        <v>0.19338305926412305</v>
      </c>
      <c r="AM147" s="42">
        <f t="shared" ca="1" si="524"/>
        <v>1.7060092619520753</v>
      </c>
      <c r="AN147" s="42">
        <f t="shared" ca="1" si="525"/>
        <v>1.5126262026879522</v>
      </c>
      <c r="AO147" s="42">
        <f t="shared" ca="1" si="526"/>
        <v>0.95599682241984207</v>
      </c>
      <c r="AP147" s="42">
        <f t="shared" ca="1" si="527"/>
        <v>4.4003177580157919E-2</v>
      </c>
      <c r="AQ147" s="42">
        <f t="shared" ca="1" si="528"/>
        <v>0.93481268274343343</v>
      </c>
      <c r="AR147" s="42">
        <f t="shared" ca="1" si="529"/>
        <v>6.518731725656654E-2</v>
      </c>
      <c r="AS147" s="42">
        <f t="shared" si="530"/>
        <v>0.98162450344672281</v>
      </c>
      <c r="AT147" s="42">
        <f t="shared" si="531"/>
        <v>78.529960275737821</v>
      </c>
      <c r="AU147" s="42">
        <f t="shared" si="532"/>
        <v>0.98801719747153338</v>
      </c>
      <c r="AV147" s="42">
        <f t="shared" ca="1" si="533"/>
        <v>107.19986592566137</v>
      </c>
      <c r="AW147" s="42">
        <f t="shared" ca="1" si="534"/>
        <v>9.3091505995758009E-2</v>
      </c>
      <c r="AX147" s="42">
        <f t="shared" ca="1" si="535"/>
        <v>0.4020226977440915</v>
      </c>
      <c r="AY147" s="42">
        <f t="shared" ca="1" si="536"/>
        <v>-4.3475896192589847E-2</v>
      </c>
      <c r="AZ147" s="42">
        <f t="shared" ca="1" si="537"/>
        <v>4.3835543507826985E-3</v>
      </c>
      <c r="BA147" s="42">
        <f t="shared" ca="1" si="604"/>
        <v>-5.4766502018118498E-3</v>
      </c>
      <c r="BB147" s="42">
        <f t="shared" ca="1" si="538"/>
        <v>6.7952335001344302E-2</v>
      </c>
      <c r="BC147" s="42">
        <f t="shared" ca="1" si="539"/>
        <v>-2.3735514969973961E-2</v>
      </c>
      <c r="BD147" s="42">
        <f t="shared" ca="1" si="618"/>
        <v>2623.9886511279547</v>
      </c>
      <c r="BE147" s="40"/>
      <c r="BF147" s="36">
        <f t="shared" si="619"/>
        <v>90</v>
      </c>
      <c r="BG147" s="35">
        <f t="shared" si="605"/>
        <v>0.28399999999999997</v>
      </c>
      <c r="BH147" s="197">
        <f t="shared" si="627"/>
        <v>169.23611111111677</v>
      </c>
      <c r="BI147" s="41">
        <f t="shared" si="637"/>
        <v>0.46366057838662128</v>
      </c>
      <c r="BJ147" s="40">
        <f t="shared" ca="1" si="540"/>
        <v>0.18694050265024911</v>
      </c>
      <c r="BK147" s="40">
        <f t="shared" si="541"/>
        <v>2.5189751902588361E-2</v>
      </c>
      <c r="BL147" s="40">
        <f t="shared" si="542"/>
        <v>0.19338305926412305</v>
      </c>
      <c r="BM147" s="42">
        <f t="shared" ca="1" si="543"/>
        <v>1.0969433173725391</v>
      </c>
      <c r="BN147" s="42">
        <f t="shared" ca="1" si="544"/>
        <v>0.90356025810841611</v>
      </c>
      <c r="BO147" s="42">
        <f t="shared" ca="1" si="545"/>
        <v>0.86366691436945187</v>
      </c>
      <c r="BP147" s="42">
        <f t="shared" ca="1" si="546"/>
        <v>0.13633308563054816</v>
      </c>
      <c r="BQ147" s="42">
        <f t="shared" ca="1" si="547"/>
        <v>0.81688568870881795</v>
      </c>
      <c r="BR147" s="42">
        <f t="shared" ca="1" si="548"/>
        <v>0.18311431129118205</v>
      </c>
      <c r="BS147" s="42">
        <f t="shared" si="549"/>
        <v>0.98162450344672281</v>
      </c>
      <c r="BT147" s="42">
        <f t="shared" si="550"/>
        <v>88.34620531020505</v>
      </c>
      <c r="BU147" s="42">
        <f t="shared" si="551"/>
        <v>0.98801719747153338</v>
      </c>
      <c r="BV147" s="42">
        <f t="shared" ca="1" si="552"/>
        <v>107.19986592566137</v>
      </c>
      <c r="BW147" s="42">
        <f t="shared" ca="1" si="553"/>
        <v>0.21858488417325792</v>
      </c>
      <c r="BX147" s="42">
        <f t="shared" ca="1" si="554"/>
        <v>20.41622665519742</v>
      </c>
      <c r="BY147" s="42">
        <f t="shared" ca="1" si="555"/>
        <v>0.85331776428419259</v>
      </c>
      <c r="BZ147" s="42">
        <f t="shared" ca="1" si="556"/>
        <v>1.0292869470568873E-2</v>
      </c>
      <c r="CA147" s="42">
        <f t="shared" ca="1" si="607"/>
        <v>-1.4701626737087499E-2</v>
      </c>
      <c r="CB147" s="42">
        <f t="shared" ca="1" si="557"/>
        <v>0.15955648280357715</v>
      </c>
      <c r="CC147" s="42">
        <f t="shared" ca="1" si="558"/>
        <v>0.33461804723290034</v>
      </c>
      <c r="CD147" s="42">
        <f t="shared" ca="1" si="620"/>
        <v>-6808.1133275987095</v>
      </c>
      <c r="CE147" s="40"/>
      <c r="CF147" s="36">
        <f t="shared" si="621"/>
        <v>95</v>
      </c>
      <c r="CG147" s="35">
        <f t="shared" si="608"/>
        <v>0.28399999999999997</v>
      </c>
      <c r="CH147" s="197">
        <f t="shared" si="628"/>
        <v>169.23611111111677</v>
      </c>
      <c r="CI147" s="41">
        <f t="shared" si="638"/>
        <v>0.46366057838662128</v>
      </c>
      <c r="CJ147" s="40">
        <f t="shared" ca="1" si="559"/>
        <v>0.1328732813799734</v>
      </c>
      <c r="CK147" s="40">
        <f t="shared" si="560"/>
        <v>2.5189751902588361E-2</v>
      </c>
      <c r="CL147" s="40">
        <f t="shared" si="561"/>
        <v>0.19338305926412305</v>
      </c>
      <c r="CM147" s="42">
        <f t="shared" ca="1" si="562"/>
        <v>0.81735718673619129</v>
      </c>
      <c r="CN147" s="42">
        <f t="shared" ca="1" si="563"/>
        <v>0.62397412747206826</v>
      </c>
      <c r="CO147" s="42">
        <f t="shared" ca="1" si="564"/>
        <v>0.793137832595186</v>
      </c>
      <c r="CP147" s="42">
        <f t="shared" ca="1" si="565"/>
        <v>0.206862167404814</v>
      </c>
      <c r="CQ147" s="42">
        <f t="shared" ca="1" si="566"/>
        <v>0.73367771173951246</v>
      </c>
      <c r="CR147" s="42">
        <f t="shared" ca="1" si="567"/>
        <v>0.26632228826048754</v>
      </c>
      <c r="CS147" s="42">
        <f t="shared" si="568"/>
        <v>0.98162450344672281</v>
      </c>
      <c r="CT147" s="42">
        <f t="shared" si="569"/>
        <v>93.254327827438672</v>
      </c>
      <c r="CU147" s="42">
        <f t="shared" si="570"/>
        <v>0.98801719747153338</v>
      </c>
      <c r="CV147" s="42">
        <f t="shared" ca="1" si="571"/>
        <v>107.19986592566137</v>
      </c>
      <c r="CW147" s="42">
        <f t="shared" ca="1" si="572"/>
        <v>0.28565373497024937</v>
      </c>
      <c r="CX147" s="42">
        <f t="shared" ca="1" si="573"/>
        <v>16.605647464532041</v>
      </c>
      <c r="CY147" s="42">
        <f t="shared" ca="1" si="574"/>
        <v>0.78363381856934189</v>
      </c>
      <c r="CZ147" s="42">
        <f t="shared" ca="1" si="575"/>
        <v>1.3451051837137792E-2</v>
      </c>
      <c r="DA147" s="42">
        <f t="shared" ca="1" si="610"/>
        <v>-1.893703613964931E-2</v>
      </c>
      <c r="DB147" s="42">
        <f t="shared" ca="1" si="576"/>
        <v>0.20851352747444132</v>
      </c>
      <c r="DC147" s="42">
        <f t="shared" ca="1" si="577"/>
        <v>0.31723017779498519</v>
      </c>
      <c r="DD147" s="42">
        <f t="shared" ca="1" si="622"/>
        <v>5727.8237322660198</v>
      </c>
      <c r="DE147" s="40"/>
      <c r="DF147" s="36">
        <f t="shared" si="623"/>
        <v>200</v>
      </c>
      <c r="DG147" s="35">
        <f t="shared" si="611"/>
        <v>0.28399999999999997</v>
      </c>
      <c r="DH147" s="197">
        <f t="shared" si="629"/>
        <v>169.23611111111677</v>
      </c>
      <c r="DI147" s="41">
        <f t="shared" si="639"/>
        <v>0.46366057838662128</v>
      </c>
      <c r="DJ147" s="40">
        <f t="shared" ca="1" si="578"/>
        <v>-0.61156719356752243</v>
      </c>
      <c r="DK147" s="40">
        <f t="shared" si="579"/>
        <v>2.5189751902588361E-2</v>
      </c>
      <c r="DL147" s="40">
        <f t="shared" si="580"/>
        <v>0.19338305926412305</v>
      </c>
      <c r="DM147" s="42">
        <f t="shared" ca="1" si="581"/>
        <v>-3.0322068742539563</v>
      </c>
      <c r="DN147" s="42">
        <f t="shared" ca="1" si="582"/>
        <v>-3.2255899335180795</v>
      </c>
      <c r="DO147" s="42">
        <f t="shared" ca="1" si="583"/>
        <v>1.213863794958206E-3</v>
      </c>
      <c r="DP147" s="42">
        <f t="shared" ca="1" si="584"/>
        <v>0.99878613620504175</v>
      </c>
      <c r="DQ147" s="42">
        <f t="shared" ca="1" si="585"/>
        <v>6.2856666336304602E-4</v>
      </c>
      <c r="DR147" s="42">
        <f t="shared" ca="1" si="586"/>
        <v>0.99937143333663692</v>
      </c>
      <c r="DS147" s="42">
        <f t="shared" si="587"/>
        <v>0.98162450344672281</v>
      </c>
      <c r="DT147" s="42">
        <f t="shared" si="588"/>
        <v>196.32490068934456</v>
      </c>
      <c r="DU147" s="42">
        <f t="shared" si="589"/>
        <v>0.98801719747153338</v>
      </c>
      <c r="DV147" s="42">
        <f t="shared" ca="1" si="590"/>
        <v>107.19986592566137</v>
      </c>
      <c r="DW147" s="42">
        <f t="shared" ca="1" si="591"/>
        <v>4.0215905421922566E-3</v>
      </c>
      <c r="DX147" s="42">
        <f t="shared" si="592"/>
        <v>0</v>
      </c>
      <c r="DY147" s="92">
        <f t="shared" si="593"/>
        <v>0</v>
      </c>
      <c r="DZ147" s="42">
        <f t="shared" si="594"/>
        <v>0</v>
      </c>
      <c r="EA147" s="42">
        <f t="shared" si="613"/>
        <v>0</v>
      </c>
      <c r="EB147" s="42">
        <f t="shared" si="595"/>
        <v>0</v>
      </c>
      <c r="EC147" s="42">
        <f t="shared" si="596"/>
        <v>0</v>
      </c>
      <c r="ED147" s="42">
        <f t="shared" ca="1" si="624"/>
        <v>0</v>
      </c>
      <c r="EE147" s="40"/>
      <c r="EF147" s="120">
        <f t="shared" ca="1" si="630"/>
        <v>108.5</v>
      </c>
      <c r="EG147" s="42">
        <f t="shared" ca="1" si="597"/>
        <v>-171.76522429149099</v>
      </c>
      <c r="EH147" s="36">
        <f t="shared" ca="1" si="640"/>
        <v>-171.76522429149099</v>
      </c>
      <c r="EI147" s="36">
        <f t="shared" ca="1" si="631"/>
        <v>-11.731</v>
      </c>
      <c r="EJ147" s="153">
        <f t="shared" ca="1" si="598"/>
        <v>-1</v>
      </c>
      <c r="EK147" s="153" t="str">
        <f t="shared" ca="1" si="632"/>
        <v/>
      </c>
      <c r="EL147" s="153" t="str">
        <f t="shared" ca="1" si="501"/>
        <v/>
      </c>
      <c r="EM147" s="153">
        <f t="shared" ca="1" si="633"/>
        <v>3</v>
      </c>
      <c r="EN147" s="153">
        <f t="shared" ca="1" si="634"/>
        <v>0</v>
      </c>
    </row>
    <row r="148" spans="1:144" x14ac:dyDescent="0.3">
      <c r="A148" s="36">
        <f ca="1">IF($M$22=1,A147+'Auto X'!$E$6,A$48)</f>
        <v>109</v>
      </c>
      <c r="B148" s="35">
        <f>IF($M$22=2,B147+'Auto X'!$E$6,B$48)</f>
        <v>0.28399999999999997</v>
      </c>
      <c r="C148" s="39">
        <f>IF($M$22=3,C147+'Auto X'!$E$6,C$48)</f>
        <v>45295.440972222219</v>
      </c>
      <c r="D148" s="35">
        <f>IF($M$22=4,D147+'Auto X'!$E$6,D$48)</f>
        <v>2.5999999999999999E-2</v>
      </c>
      <c r="E148" s="35">
        <f>IF($M$22=5,E147+'Auto X'!$E$6,E$48)</f>
        <v>0.04</v>
      </c>
      <c r="F148" s="36">
        <f t="shared" si="615"/>
        <v>75</v>
      </c>
      <c r="G148" s="35">
        <f t="shared" si="599"/>
        <v>0.28399999999999997</v>
      </c>
      <c r="H148" s="197">
        <f t="shared" si="625"/>
        <v>169.23611111111677</v>
      </c>
      <c r="I148" s="41">
        <f t="shared" si="635"/>
        <v>0.46366057838662128</v>
      </c>
      <c r="J148" s="40">
        <f t="shared" ca="1" si="502"/>
        <v>0.37385976869283327</v>
      </c>
      <c r="K148" s="40">
        <f t="shared" si="503"/>
        <v>2.5189751902588361E-2</v>
      </c>
      <c r="L148" s="40">
        <f t="shared" si="504"/>
        <v>0.19338305926412305</v>
      </c>
      <c r="M148" s="42">
        <f t="shared" ca="1" si="505"/>
        <v>2.0635185011237143</v>
      </c>
      <c r="N148" s="42">
        <f t="shared" ca="1" si="506"/>
        <v>1.8701354418595912</v>
      </c>
      <c r="O148" s="42">
        <f t="shared" ca="1" si="507"/>
        <v>0.98046830406922569</v>
      </c>
      <c r="P148" s="42">
        <f t="shared" ca="1" si="508"/>
        <v>1.9531695930774355E-2</v>
      </c>
      <c r="Q148" s="42">
        <f t="shared" ca="1" si="509"/>
        <v>0.96926749405651147</v>
      </c>
      <c r="R148" s="42">
        <f t="shared" ca="1" si="510"/>
        <v>3.0732505943488548E-2</v>
      </c>
      <c r="S148" s="42">
        <f t="shared" si="511"/>
        <v>0.98162450344672281</v>
      </c>
      <c r="T148" s="42">
        <f t="shared" si="512"/>
        <v>73.621837758504213</v>
      </c>
      <c r="U148" s="42">
        <f t="shared" si="513"/>
        <v>0.98801719747153338</v>
      </c>
      <c r="V148" s="42">
        <f t="shared" ca="1" si="514"/>
        <v>107.69387452439715</v>
      </c>
      <c r="W148" s="42">
        <f t="shared" ca="1" si="515"/>
        <v>4.7454077007094426E-2</v>
      </c>
      <c r="X148" s="42">
        <f t="shared" ca="1" si="516"/>
        <v>0.15913955566628823</v>
      </c>
      <c r="Y148" s="42">
        <f t="shared" ca="1" si="517"/>
        <v>-1.9297651475389782E-2</v>
      </c>
      <c r="Z148" s="42">
        <f t="shared" ca="1" si="518"/>
        <v>2.2242987120935837E-3</v>
      </c>
      <c r="AA148" s="42">
        <f t="shared" ca="1" si="601"/>
        <v>-2.8217258697554198E-3</v>
      </c>
      <c r="AB148" s="42">
        <f t="shared" ca="1" si="519"/>
        <v>3.4798828118961331E-2</v>
      </c>
      <c r="AC148" s="42">
        <f t="shared" ca="1" si="520"/>
        <v>-1.0490708050839341E-2</v>
      </c>
      <c r="AD148" s="42">
        <f t="shared" ca="1" si="616"/>
        <v>-1720.4302221668559</v>
      </c>
      <c r="AF148" s="36">
        <f t="shared" si="617"/>
        <v>80</v>
      </c>
      <c r="AG148" s="35">
        <f t="shared" si="602"/>
        <v>0.28399999999999997</v>
      </c>
      <c r="AH148" s="197">
        <f t="shared" si="626"/>
        <v>169.23611111111677</v>
      </c>
      <c r="AI148" s="41">
        <f t="shared" si="636"/>
        <v>0.46366057838662128</v>
      </c>
      <c r="AJ148" s="40">
        <f t="shared" ca="1" si="521"/>
        <v>0.30932124755526214</v>
      </c>
      <c r="AK148" s="40">
        <f t="shared" si="522"/>
        <v>2.5189751902588361E-2</v>
      </c>
      <c r="AL148" s="40">
        <f t="shared" si="523"/>
        <v>0.19338305926412305</v>
      </c>
      <c r="AM148" s="42">
        <f t="shared" ca="1" si="524"/>
        <v>1.7297844016469641</v>
      </c>
      <c r="AN148" s="42">
        <f t="shared" ca="1" si="525"/>
        <v>1.5364013423828411</v>
      </c>
      <c r="AO148" s="42">
        <f t="shared" ca="1" si="526"/>
        <v>0.95816559882777064</v>
      </c>
      <c r="AP148" s="42">
        <f t="shared" ca="1" si="527"/>
        <v>4.1834401172229363E-2</v>
      </c>
      <c r="AQ148" s="42">
        <f t="shared" ca="1" si="528"/>
        <v>0.93778001113012144</v>
      </c>
      <c r="AR148" s="42">
        <f t="shared" ca="1" si="529"/>
        <v>6.2219988869878541E-2</v>
      </c>
      <c r="AS148" s="42">
        <f t="shared" si="530"/>
        <v>0.98162450344672281</v>
      </c>
      <c r="AT148" s="42">
        <f t="shared" si="531"/>
        <v>78.529960275737821</v>
      </c>
      <c r="AU148" s="42">
        <f t="shared" si="532"/>
        <v>0.98801719747153338</v>
      </c>
      <c r="AV148" s="42">
        <f t="shared" ca="1" si="533"/>
        <v>107.69387452439715</v>
      </c>
      <c r="AW148" s="42">
        <f t="shared" ca="1" si="534"/>
        <v>8.9365947367367721E-2</v>
      </c>
      <c r="AX148" s="42">
        <f t="shared" ca="1" si="535"/>
        <v>0.38082450366304865</v>
      </c>
      <c r="AY148" s="42">
        <f t="shared" ca="1" si="536"/>
        <v>-4.1333107804085889E-2</v>
      </c>
      <c r="AZ148" s="42">
        <f t="shared" ca="1" si="537"/>
        <v>4.1888194686526461E-3</v>
      </c>
      <c r="BA148" s="42">
        <f t="shared" ca="1" si="604"/>
        <v>-5.2841396083672396E-3</v>
      </c>
      <c r="BB148" s="42">
        <f t="shared" ca="1" si="538"/>
        <v>6.5533468107708673E-2</v>
      </c>
      <c r="BC148" s="42">
        <f t="shared" ca="1" si="539"/>
        <v>-2.2655073707667422E-2</v>
      </c>
      <c r="BD148" s="42">
        <f t="shared" ca="1" si="618"/>
        <v>2634.5877481684756</v>
      </c>
      <c r="BE148" s="40"/>
      <c r="BF148" s="36">
        <f t="shared" si="619"/>
        <v>90</v>
      </c>
      <c r="BG148" s="35">
        <f t="shared" si="605"/>
        <v>0.28399999999999997</v>
      </c>
      <c r="BH148" s="197">
        <f t="shared" si="627"/>
        <v>169.23611111111677</v>
      </c>
      <c r="BI148" s="41">
        <f t="shared" si="637"/>
        <v>0.46366057838662128</v>
      </c>
      <c r="BJ148" s="40">
        <f t="shared" ca="1" si="540"/>
        <v>0.19153821189887857</v>
      </c>
      <c r="BK148" s="40">
        <f t="shared" si="541"/>
        <v>2.5189751902588361E-2</v>
      </c>
      <c r="BL148" s="40">
        <f t="shared" si="542"/>
        <v>0.19338305926412305</v>
      </c>
      <c r="BM148" s="42">
        <f t="shared" ca="1" si="543"/>
        <v>1.1207184570674278</v>
      </c>
      <c r="BN148" s="42">
        <f t="shared" ca="1" si="544"/>
        <v>0.92733539780330476</v>
      </c>
      <c r="BO148" s="42">
        <f t="shared" ca="1" si="545"/>
        <v>0.86879613840497161</v>
      </c>
      <c r="BP148" s="42">
        <f t="shared" ca="1" si="546"/>
        <v>0.13120386159502845</v>
      </c>
      <c r="BQ148" s="42">
        <f t="shared" ca="1" si="547"/>
        <v>0.82312378948585296</v>
      </c>
      <c r="BR148" s="42">
        <f t="shared" ca="1" si="548"/>
        <v>0.17687621051414704</v>
      </c>
      <c r="BS148" s="42">
        <f t="shared" si="549"/>
        <v>0.98162450344672281</v>
      </c>
      <c r="BT148" s="42">
        <f t="shared" si="550"/>
        <v>88.34620531020505</v>
      </c>
      <c r="BU148" s="42">
        <f t="shared" si="551"/>
        <v>0.98801719747153338</v>
      </c>
      <c r="BV148" s="42">
        <f t="shared" ca="1" si="552"/>
        <v>107.69387452439715</v>
      </c>
      <c r="BW148" s="42">
        <f t="shared" ca="1" si="553"/>
        <v>0.21289771003271396</v>
      </c>
      <c r="BX148" s="42">
        <f t="shared" ca="1" si="554"/>
        <v>20.84415901503462</v>
      </c>
      <c r="BY148" s="42">
        <f t="shared" ca="1" si="555"/>
        <v>0.8583855258409705</v>
      </c>
      <c r="BZ148" s="42">
        <f t="shared" ca="1" si="556"/>
        <v>9.979081505739602E-3</v>
      </c>
      <c r="CA148" s="42">
        <f t="shared" ca="1" si="607"/>
        <v>-1.4404046049087354E-2</v>
      </c>
      <c r="CB148" s="42">
        <f t="shared" ca="1" si="557"/>
        <v>0.15612127103939441</v>
      </c>
      <c r="CC148" s="42">
        <f t="shared" ca="1" si="558"/>
        <v>0.3371733387863034</v>
      </c>
      <c r="CD148" s="42">
        <f t="shared" ca="1" si="620"/>
        <v>-7022.07950751731</v>
      </c>
      <c r="CE148" s="40"/>
      <c r="CF148" s="36">
        <f t="shared" si="621"/>
        <v>95</v>
      </c>
      <c r="CG148" s="35">
        <f t="shared" si="608"/>
        <v>0.28399999999999997</v>
      </c>
      <c r="CH148" s="197">
        <f t="shared" si="628"/>
        <v>169.23611111111677</v>
      </c>
      <c r="CI148" s="41">
        <f t="shared" si="638"/>
        <v>0.46366057838662128</v>
      </c>
      <c r="CJ148" s="40">
        <f t="shared" ca="1" si="559"/>
        <v>0.13747099062860288</v>
      </c>
      <c r="CK148" s="40">
        <f t="shared" si="560"/>
        <v>2.5189751902588361E-2</v>
      </c>
      <c r="CL148" s="40">
        <f t="shared" si="561"/>
        <v>0.19338305926412305</v>
      </c>
      <c r="CM148" s="42">
        <f t="shared" ca="1" si="562"/>
        <v>0.84113232643107994</v>
      </c>
      <c r="CN148" s="42">
        <f t="shared" ca="1" si="563"/>
        <v>0.64774926716695691</v>
      </c>
      <c r="CO148" s="42">
        <f t="shared" ca="1" si="564"/>
        <v>0.79986309645888898</v>
      </c>
      <c r="CP148" s="42">
        <f t="shared" ca="1" si="565"/>
        <v>0.20013690354111099</v>
      </c>
      <c r="CQ148" s="42">
        <f t="shared" ca="1" si="566"/>
        <v>0.7414264333184114</v>
      </c>
      <c r="CR148" s="42">
        <f t="shared" ca="1" si="567"/>
        <v>0.2585735666815886</v>
      </c>
      <c r="CS148" s="42">
        <f t="shared" si="568"/>
        <v>0.98162450344672281</v>
      </c>
      <c r="CT148" s="42">
        <f t="shared" si="569"/>
        <v>93.254327827438672</v>
      </c>
      <c r="CU148" s="42">
        <f t="shared" si="570"/>
        <v>0.98801719747153338</v>
      </c>
      <c r="CV148" s="42">
        <f t="shared" ca="1" si="571"/>
        <v>107.69387452439715</v>
      </c>
      <c r="CW148" s="42">
        <f t="shared" ca="1" si="572"/>
        <v>0.28007710786610479</v>
      </c>
      <c r="CX148" s="42">
        <f t="shared" ca="1" si="573"/>
        <v>16.999132274135633</v>
      </c>
      <c r="CY148" s="42">
        <f t="shared" ca="1" si="574"/>
        <v>0.79027849492421431</v>
      </c>
      <c r="CZ148" s="42">
        <f t="shared" ca="1" si="575"/>
        <v>1.3127958430638895E-2</v>
      </c>
      <c r="DA148" s="42">
        <f t="shared" ca="1" si="610"/>
        <v>-1.8674218878836395E-2</v>
      </c>
      <c r="DB148" s="42">
        <f t="shared" ca="1" si="576"/>
        <v>0.20538499010804245</v>
      </c>
      <c r="DC148" s="42">
        <f t="shared" ca="1" si="577"/>
        <v>0.32058059758398194</v>
      </c>
      <c r="DD148" s="42">
        <f t="shared" ca="1" si="622"/>
        <v>5924.5661370678163</v>
      </c>
      <c r="DE148" s="40"/>
      <c r="DF148" s="36">
        <f t="shared" si="623"/>
        <v>200</v>
      </c>
      <c r="DG148" s="35">
        <f t="shared" si="611"/>
        <v>0.28399999999999997</v>
      </c>
      <c r="DH148" s="197">
        <f t="shared" si="629"/>
        <v>169.23611111111677</v>
      </c>
      <c r="DI148" s="41">
        <f t="shared" si="639"/>
        <v>0.46366057838662128</v>
      </c>
      <c r="DJ148" s="40">
        <f t="shared" ca="1" si="578"/>
        <v>-0.60696948431889286</v>
      </c>
      <c r="DK148" s="40">
        <f t="shared" si="579"/>
        <v>2.5189751902588361E-2</v>
      </c>
      <c r="DL148" s="40">
        <f t="shared" si="580"/>
        <v>0.19338305926412305</v>
      </c>
      <c r="DM148" s="42">
        <f t="shared" ca="1" si="581"/>
        <v>-3.0084317345590668</v>
      </c>
      <c r="DN148" s="42">
        <f t="shared" ca="1" si="582"/>
        <v>-3.20181479382319</v>
      </c>
      <c r="DO148" s="42">
        <f t="shared" ca="1" si="583"/>
        <v>1.3129989544849415E-3</v>
      </c>
      <c r="DP148" s="42">
        <f t="shared" ca="1" si="584"/>
        <v>0.99868700104551511</v>
      </c>
      <c r="DQ148" s="42">
        <f t="shared" ca="1" si="585"/>
        <v>6.8282385055637895E-4</v>
      </c>
      <c r="DR148" s="42">
        <f t="shared" ca="1" si="586"/>
        <v>0.9993171761494436</v>
      </c>
      <c r="DS148" s="42">
        <f t="shared" si="587"/>
        <v>0.98162450344672281</v>
      </c>
      <c r="DT148" s="42">
        <f t="shared" si="588"/>
        <v>196.32490068934456</v>
      </c>
      <c r="DU148" s="42">
        <f t="shared" si="589"/>
        <v>0.98801719747153338</v>
      </c>
      <c r="DV148" s="42">
        <f t="shared" ca="1" si="590"/>
        <v>107.69387452439715</v>
      </c>
      <c r="DW148" s="42">
        <f t="shared" ca="1" si="591"/>
        <v>4.3209962756307263E-3</v>
      </c>
      <c r="DX148" s="42">
        <f t="shared" si="592"/>
        <v>0</v>
      </c>
      <c r="DY148" s="92">
        <f t="shared" si="593"/>
        <v>0</v>
      </c>
      <c r="DZ148" s="42">
        <f t="shared" si="594"/>
        <v>0</v>
      </c>
      <c r="EA148" s="42">
        <f t="shared" si="613"/>
        <v>0</v>
      </c>
      <c r="EB148" s="42">
        <f t="shared" si="595"/>
        <v>0</v>
      </c>
      <c r="EC148" s="42">
        <f t="shared" si="596"/>
        <v>0</v>
      </c>
      <c r="ED148" s="42">
        <f t="shared" ca="1" si="624"/>
        <v>0</v>
      </c>
      <c r="EE148" s="40"/>
      <c r="EF148" s="120">
        <f t="shared" ca="1" si="630"/>
        <v>109</v>
      </c>
      <c r="EG148" s="42">
        <f t="shared" ca="1" si="597"/>
        <v>-183.35584444787401</v>
      </c>
      <c r="EH148" s="36">
        <f t="shared" ca="1" si="640"/>
        <v>-183.35584444787401</v>
      </c>
      <c r="EI148" s="36">
        <f t="shared" ca="1" si="631"/>
        <v>-11.590999999999999</v>
      </c>
      <c r="EJ148" s="153">
        <f t="shared" ca="1" si="598"/>
        <v>-1</v>
      </c>
      <c r="EK148" s="153" t="str">
        <f t="shared" ca="1" si="632"/>
        <v/>
      </c>
      <c r="EL148" s="153" t="str">
        <f t="shared" ca="1" si="501"/>
        <v/>
      </c>
      <c r="EM148" s="153">
        <f t="shared" ca="1" si="633"/>
        <v>3</v>
      </c>
      <c r="EN148" s="153">
        <f t="shared" ca="1" si="634"/>
        <v>0</v>
      </c>
    </row>
    <row r="149" spans="1:144" x14ac:dyDescent="0.3">
      <c r="A149" s="36">
        <f ca="1">IF($M$22=1,A148+'Auto X'!$E$6,A$48)</f>
        <v>109.5</v>
      </c>
      <c r="B149" s="35">
        <f>IF($M$22=2,B148+'Auto X'!$E$6,B$48)</f>
        <v>0.28399999999999997</v>
      </c>
      <c r="C149" s="39">
        <f>IF($M$22=3,C148+'Auto X'!$E$6,C$48)</f>
        <v>45295.440972222219</v>
      </c>
      <c r="D149" s="35">
        <f>IF($M$22=4,D148+'Auto X'!$E$6,D$48)</f>
        <v>2.5999999999999999E-2</v>
      </c>
      <c r="E149" s="35">
        <f>IF($M$22=5,E148+'Auto X'!$E$6,E$48)</f>
        <v>0.04</v>
      </c>
      <c r="F149" s="36">
        <f t="shared" si="615"/>
        <v>75</v>
      </c>
      <c r="G149" s="35">
        <f t="shared" si="599"/>
        <v>0.28399999999999997</v>
      </c>
      <c r="H149" s="197">
        <f t="shared" si="625"/>
        <v>169.23611111111677</v>
      </c>
      <c r="I149" s="41">
        <f t="shared" si="635"/>
        <v>0.46366057838662128</v>
      </c>
      <c r="J149" s="40">
        <f t="shared" ca="1" si="502"/>
        <v>0.37843643572024505</v>
      </c>
      <c r="K149" s="40">
        <f t="shared" si="503"/>
        <v>2.5189751902588361E-2</v>
      </c>
      <c r="L149" s="40">
        <f t="shared" si="504"/>
        <v>0.19338305926412305</v>
      </c>
      <c r="M149" s="42">
        <f t="shared" ca="1" si="505"/>
        <v>2.0871848297298876</v>
      </c>
      <c r="N149" s="42">
        <f t="shared" ca="1" si="506"/>
        <v>1.8938017704657646</v>
      </c>
      <c r="O149" s="42">
        <f t="shared" ca="1" si="507"/>
        <v>0.981564284877811</v>
      </c>
      <c r="P149" s="42">
        <f t="shared" ca="1" si="508"/>
        <v>1.8435715122189045E-2</v>
      </c>
      <c r="Q149" s="42">
        <f t="shared" ca="1" si="509"/>
        <v>0.97087433671152867</v>
      </c>
      <c r="R149" s="42">
        <f t="shared" ca="1" si="510"/>
        <v>2.9125663288471347E-2</v>
      </c>
      <c r="S149" s="42">
        <f t="shared" si="511"/>
        <v>0.98162450344672281</v>
      </c>
      <c r="T149" s="42">
        <f t="shared" si="512"/>
        <v>73.621837758504213</v>
      </c>
      <c r="U149" s="42">
        <f t="shared" si="513"/>
        <v>0.98801719747153338</v>
      </c>
      <c r="V149" s="42">
        <f t="shared" ca="1" si="514"/>
        <v>108.18788312313291</v>
      </c>
      <c r="W149" s="42">
        <f t="shared" ca="1" si="515"/>
        <v>4.5179637567959854E-2</v>
      </c>
      <c r="X149" s="42">
        <f t="shared" ca="1" si="516"/>
        <v>0.14976386430189748</v>
      </c>
      <c r="Y149" s="42">
        <f t="shared" ca="1" si="517"/>
        <v>-1.8214803588408744E-2</v>
      </c>
      <c r="Z149" s="42">
        <f t="shared" ca="1" si="518"/>
        <v>2.1080198746696961E-3</v>
      </c>
      <c r="AA149" s="42">
        <f t="shared" ca="1" si="601"/>
        <v>-2.6997369545105946E-3</v>
      </c>
      <c r="AB149" s="42">
        <f t="shared" ca="1" si="519"/>
        <v>3.328292238047182E-2</v>
      </c>
      <c r="AC149" s="42">
        <f t="shared" ca="1" si="520"/>
        <v>-9.9422035713016867E-3</v>
      </c>
      <c r="AD149" s="42">
        <f t="shared" ca="1" si="616"/>
        <v>-1725.1180678490514</v>
      </c>
      <c r="AF149" s="36">
        <f t="shared" si="617"/>
        <v>80</v>
      </c>
      <c r="AG149" s="35">
        <f t="shared" si="602"/>
        <v>0.28399999999999997</v>
      </c>
      <c r="AH149" s="197">
        <f t="shared" si="626"/>
        <v>169.23611111111677</v>
      </c>
      <c r="AI149" s="41">
        <f t="shared" si="636"/>
        <v>0.46366057838662128</v>
      </c>
      <c r="AJ149" s="40">
        <f t="shared" ca="1" si="521"/>
        <v>0.31389791458267385</v>
      </c>
      <c r="AK149" s="40">
        <f t="shared" si="522"/>
        <v>2.5189751902588361E-2</v>
      </c>
      <c r="AL149" s="40">
        <f t="shared" si="523"/>
        <v>0.19338305926412305</v>
      </c>
      <c r="AM149" s="42">
        <f t="shared" ca="1" si="524"/>
        <v>1.753450730253137</v>
      </c>
      <c r="AN149" s="42">
        <f t="shared" ca="1" si="525"/>
        <v>1.560067670989014</v>
      </c>
      <c r="AO149" s="42">
        <f t="shared" ca="1" si="526"/>
        <v>0.96023766517724818</v>
      </c>
      <c r="AP149" s="42">
        <f t="shared" ca="1" si="527"/>
        <v>3.9762334822751835E-2</v>
      </c>
      <c r="AQ149" s="42">
        <f t="shared" ca="1" si="528"/>
        <v>0.94062805480418521</v>
      </c>
      <c r="AR149" s="42">
        <f t="shared" ca="1" si="529"/>
        <v>5.9371945195814776E-2</v>
      </c>
      <c r="AS149" s="42">
        <f t="shared" si="530"/>
        <v>0.98162450344672281</v>
      </c>
      <c r="AT149" s="42">
        <f t="shared" si="531"/>
        <v>78.529960275737821</v>
      </c>
      <c r="AU149" s="42">
        <f t="shared" si="532"/>
        <v>0.98801719747153338</v>
      </c>
      <c r="AV149" s="42">
        <f t="shared" ca="1" si="533"/>
        <v>108.18788312313291</v>
      </c>
      <c r="AW149" s="42">
        <f t="shared" ca="1" si="534"/>
        <v>8.5757368644192811E-2</v>
      </c>
      <c r="AX149" s="42">
        <f t="shared" ca="1" si="535"/>
        <v>0.36067366521386468</v>
      </c>
      <c r="AY149" s="42">
        <f t="shared" ca="1" si="536"/>
        <v>-3.9285870616500011E-2</v>
      </c>
      <c r="AZ149" s="42">
        <f t="shared" ca="1" si="537"/>
        <v>4.0013211090816087E-3</v>
      </c>
      <c r="BA149" s="42">
        <f t="shared" ca="1" si="604"/>
        <v>-5.0963228343107372E-3</v>
      </c>
      <c r="BB149" s="42">
        <f t="shared" ca="1" si="538"/>
        <v>6.3175713613124171E-2</v>
      </c>
      <c r="BC149" s="42">
        <f t="shared" ca="1" si="539"/>
        <v>-2.1618065496471703E-2</v>
      </c>
      <c r="BD149" s="42">
        <f t="shared" ca="1" si="618"/>
        <v>2644.6631673930679</v>
      </c>
      <c r="BE149" s="40"/>
      <c r="BF149" s="36">
        <f t="shared" si="619"/>
        <v>90</v>
      </c>
      <c r="BG149" s="35">
        <f t="shared" si="605"/>
        <v>0.28399999999999997</v>
      </c>
      <c r="BH149" s="197">
        <f t="shared" si="627"/>
        <v>169.23611111111677</v>
      </c>
      <c r="BI149" s="41">
        <f t="shared" si="637"/>
        <v>0.46366057838662128</v>
      </c>
      <c r="BJ149" s="40">
        <f t="shared" ca="1" si="540"/>
        <v>0.19611487892629037</v>
      </c>
      <c r="BK149" s="40">
        <f t="shared" si="541"/>
        <v>2.5189751902588361E-2</v>
      </c>
      <c r="BL149" s="40">
        <f t="shared" si="542"/>
        <v>0.19338305926412305</v>
      </c>
      <c r="BM149" s="42">
        <f t="shared" ca="1" si="543"/>
        <v>1.1443847856736011</v>
      </c>
      <c r="BN149" s="42">
        <f t="shared" ca="1" si="544"/>
        <v>0.95100172640947811</v>
      </c>
      <c r="BO149" s="42">
        <f t="shared" ca="1" si="545"/>
        <v>0.87376795248520511</v>
      </c>
      <c r="BP149" s="42">
        <f t="shared" ca="1" si="546"/>
        <v>0.12623204751479486</v>
      </c>
      <c r="BQ149" s="42">
        <f t="shared" ca="1" si="547"/>
        <v>0.82919825025873084</v>
      </c>
      <c r="BR149" s="42">
        <f t="shared" ca="1" si="548"/>
        <v>0.17080174974126913</v>
      </c>
      <c r="BS149" s="42">
        <f t="shared" si="549"/>
        <v>0.98162450344672281</v>
      </c>
      <c r="BT149" s="42">
        <f t="shared" si="550"/>
        <v>88.34620531020505</v>
      </c>
      <c r="BU149" s="42">
        <f t="shared" si="551"/>
        <v>0.98801719747153338</v>
      </c>
      <c r="BV149" s="42">
        <f t="shared" ca="1" si="552"/>
        <v>108.18788312313291</v>
      </c>
      <c r="BW149" s="42">
        <f t="shared" ca="1" si="553"/>
        <v>0.20726713674391939</v>
      </c>
      <c r="BX149" s="42">
        <f t="shared" ca="1" si="554"/>
        <v>21.274586259987899</v>
      </c>
      <c r="BY149" s="42">
        <f t="shared" ca="1" si="555"/>
        <v>0.86329776365487232</v>
      </c>
      <c r="BZ149" s="42">
        <f t="shared" ca="1" si="556"/>
        <v>9.6708001024761979E-3</v>
      </c>
      <c r="CA149" s="42">
        <f t="shared" ca="1" si="607"/>
        <v>-1.4106021371004468E-2</v>
      </c>
      <c r="CB149" s="42">
        <f t="shared" ca="1" si="557"/>
        <v>0.15268949455147246</v>
      </c>
      <c r="CC149" s="42">
        <f t="shared" ca="1" si="558"/>
        <v>0.33966159905320326</v>
      </c>
      <c r="CD149" s="42">
        <f t="shared" ca="1" si="620"/>
        <v>-7237.2931299939492</v>
      </c>
      <c r="CE149" s="40"/>
      <c r="CF149" s="36">
        <f t="shared" si="621"/>
        <v>95</v>
      </c>
      <c r="CG149" s="35">
        <f t="shared" si="608"/>
        <v>0.28399999999999997</v>
      </c>
      <c r="CH149" s="197">
        <f t="shared" si="628"/>
        <v>169.23611111111677</v>
      </c>
      <c r="CI149" s="41">
        <f t="shared" si="638"/>
        <v>0.46366057838662128</v>
      </c>
      <c r="CJ149" s="40">
        <f t="shared" ca="1" si="559"/>
        <v>0.14204765765601471</v>
      </c>
      <c r="CK149" s="40">
        <f t="shared" si="560"/>
        <v>2.5189751902588361E-2</v>
      </c>
      <c r="CL149" s="40">
        <f t="shared" si="561"/>
        <v>0.19338305926412305</v>
      </c>
      <c r="CM149" s="42">
        <f t="shared" ca="1" si="562"/>
        <v>0.86479865503725328</v>
      </c>
      <c r="CN149" s="42">
        <f t="shared" ca="1" si="563"/>
        <v>0.67141559577313026</v>
      </c>
      <c r="CO149" s="42">
        <f t="shared" ca="1" si="564"/>
        <v>0.80642534525323617</v>
      </c>
      <c r="CP149" s="42">
        <f t="shared" ca="1" si="565"/>
        <v>0.19357465474676383</v>
      </c>
      <c r="CQ149" s="42">
        <f t="shared" ca="1" si="566"/>
        <v>0.74902209379616902</v>
      </c>
      <c r="CR149" s="42">
        <f t="shared" ca="1" si="567"/>
        <v>0.25097790620383098</v>
      </c>
      <c r="CS149" s="42">
        <f t="shared" si="568"/>
        <v>0.98162450344672281</v>
      </c>
      <c r="CT149" s="42">
        <f t="shared" si="569"/>
        <v>93.254327827438672</v>
      </c>
      <c r="CU149" s="42">
        <f t="shared" si="570"/>
        <v>0.98801719747153338</v>
      </c>
      <c r="CV149" s="42">
        <f t="shared" ca="1" si="571"/>
        <v>108.18788312313291</v>
      </c>
      <c r="CW149" s="42">
        <f t="shared" ca="1" si="572"/>
        <v>0.27447999735130896</v>
      </c>
      <c r="CX149" s="42">
        <f t="shared" ca="1" si="573"/>
        <v>17.395899114926749</v>
      </c>
      <c r="CY149" s="42">
        <f t="shared" ca="1" si="574"/>
        <v>0.79676210958711613</v>
      </c>
      <c r="CZ149" s="42">
        <f t="shared" ca="1" si="575"/>
        <v>1.2806859921031736E-2</v>
      </c>
      <c r="DA149" s="42">
        <f t="shared" ca="1" si="610"/>
        <v>-1.8406206247773053E-2</v>
      </c>
      <c r="DB149" s="42">
        <f t="shared" ca="1" si="576"/>
        <v>0.20220384532952448</v>
      </c>
      <c r="DC149" s="42">
        <f t="shared" ca="1" si="577"/>
        <v>0.32386483626981638</v>
      </c>
      <c r="DD149" s="42">
        <f t="shared" ca="1" si="622"/>
        <v>6122.9495574633747</v>
      </c>
      <c r="DE149" s="40"/>
      <c r="DF149" s="36">
        <f t="shared" si="623"/>
        <v>200</v>
      </c>
      <c r="DG149" s="35">
        <f t="shared" si="611"/>
        <v>0.28399999999999997</v>
      </c>
      <c r="DH149" s="197">
        <f t="shared" si="629"/>
        <v>169.23611111111677</v>
      </c>
      <c r="DI149" s="41">
        <f t="shared" si="639"/>
        <v>0.46366057838662128</v>
      </c>
      <c r="DJ149" s="40">
        <f t="shared" ca="1" si="578"/>
        <v>-0.6023928172914812</v>
      </c>
      <c r="DK149" s="40">
        <f t="shared" si="579"/>
        <v>2.5189751902588361E-2</v>
      </c>
      <c r="DL149" s="40">
        <f t="shared" si="580"/>
        <v>0.19338305926412305</v>
      </c>
      <c r="DM149" s="42">
        <f t="shared" ca="1" si="581"/>
        <v>-2.9847654059528943</v>
      </c>
      <c r="DN149" s="42">
        <f t="shared" ca="1" si="582"/>
        <v>-3.1781484652170175</v>
      </c>
      <c r="DO149" s="42">
        <f t="shared" ca="1" si="583"/>
        <v>1.4189794172995663E-3</v>
      </c>
      <c r="DP149" s="42">
        <f t="shared" ca="1" si="584"/>
        <v>0.99858102058270048</v>
      </c>
      <c r="DQ149" s="42">
        <f t="shared" ca="1" si="585"/>
        <v>7.4109416506633666E-4</v>
      </c>
      <c r="DR149" s="42">
        <f t="shared" ca="1" si="586"/>
        <v>0.99925890583493371</v>
      </c>
      <c r="DS149" s="42">
        <f t="shared" si="587"/>
        <v>0.98162450344672281</v>
      </c>
      <c r="DT149" s="42">
        <f t="shared" si="588"/>
        <v>196.32490068934456</v>
      </c>
      <c r="DU149" s="42">
        <f t="shared" si="589"/>
        <v>0.98801719747153338</v>
      </c>
      <c r="DV149" s="42">
        <f t="shared" ca="1" si="590"/>
        <v>108.18788312313291</v>
      </c>
      <c r="DW149" s="42">
        <f t="shared" ca="1" si="591"/>
        <v>4.6385623575358973E-3</v>
      </c>
      <c r="DX149" s="42">
        <f t="shared" si="592"/>
        <v>0</v>
      </c>
      <c r="DY149" s="92">
        <f t="shared" si="593"/>
        <v>0</v>
      </c>
      <c r="DZ149" s="42">
        <f t="shared" si="594"/>
        <v>0</v>
      </c>
      <c r="EA149" s="42">
        <f t="shared" si="613"/>
        <v>0</v>
      </c>
      <c r="EB149" s="42">
        <f t="shared" si="595"/>
        <v>0</v>
      </c>
      <c r="EC149" s="42">
        <f t="shared" si="596"/>
        <v>0</v>
      </c>
      <c r="ED149" s="42">
        <f t="shared" ca="1" si="624"/>
        <v>0</v>
      </c>
      <c r="EE149" s="40"/>
      <c r="EF149" s="120">
        <f t="shared" ca="1" si="630"/>
        <v>109.5</v>
      </c>
      <c r="EG149" s="42">
        <f t="shared" ca="1" si="597"/>
        <v>-194.79847298655841</v>
      </c>
      <c r="EH149" s="36">
        <f t="shared" ca="1" si="640"/>
        <v>-194.79847298655841</v>
      </c>
      <c r="EI149" s="36">
        <f t="shared" ca="1" si="631"/>
        <v>-11.443</v>
      </c>
      <c r="EJ149" s="153">
        <f t="shared" ca="1" si="598"/>
        <v>-1</v>
      </c>
      <c r="EK149" s="153" t="str">
        <f t="shared" ca="1" si="632"/>
        <v/>
      </c>
      <c r="EL149" s="153" t="str">
        <f t="shared" ca="1" si="501"/>
        <v/>
      </c>
      <c r="EM149" s="153">
        <f t="shared" ca="1" si="633"/>
        <v>3</v>
      </c>
      <c r="EN149" s="153">
        <f t="shared" ca="1" si="634"/>
        <v>0</v>
      </c>
    </row>
    <row r="150" spans="1:144" x14ac:dyDescent="0.3">
      <c r="A150" s="36">
        <f ca="1">IF($M$22=1,A149+'Auto X'!$E$6,A$48)</f>
        <v>110</v>
      </c>
      <c r="B150" s="35">
        <f>IF($M$22=2,B149+'Auto X'!$E$6,B$48)</f>
        <v>0.28399999999999997</v>
      </c>
      <c r="C150" s="39">
        <f>IF($M$22=3,C149+'Auto X'!$E$6,C$48)</f>
        <v>45295.440972222219</v>
      </c>
      <c r="D150" s="35">
        <f>IF($M$22=4,D149+'Auto X'!$E$6,D$48)</f>
        <v>2.5999999999999999E-2</v>
      </c>
      <c r="E150" s="35">
        <f>IF($M$22=5,E149+'Auto X'!$E$6,E$48)</f>
        <v>0.04</v>
      </c>
      <c r="F150" s="36">
        <f t="shared" si="615"/>
        <v>75</v>
      </c>
      <c r="G150" s="35">
        <f t="shared" si="599"/>
        <v>0.28399999999999997</v>
      </c>
      <c r="H150" s="197">
        <f t="shared" si="625"/>
        <v>169.23611111111677</v>
      </c>
      <c r="I150" s="41">
        <f t="shared" si="635"/>
        <v>0.46366057838662128</v>
      </c>
      <c r="J150" s="40">
        <f t="shared" ca="1" si="502"/>
        <v>0.38299225225610573</v>
      </c>
      <c r="K150" s="40">
        <f t="shared" si="503"/>
        <v>2.5189751902588361E-2</v>
      </c>
      <c r="L150" s="40">
        <f t="shared" si="504"/>
        <v>0.19338305926412305</v>
      </c>
      <c r="M150" s="42">
        <f t="shared" ca="1" si="505"/>
        <v>2.110743338697513</v>
      </c>
      <c r="N150" s="42">
        <f t="shared" ca="1" si="506"/>
        <v>1.9173602794333899</v>
      </c>
      <c r="O150" s="42">
        <f t="shared" ca="1" si="507"/>
        <v>0.98260281064499655</v>
      </c>
      <c r="P150" s="42">
        <f t="shared" ca="1" si="508"/>
        <v>1.7397189355003471E-2</v>
      </c>
      <c r="Q150" s="42">
        <f t="shared" ca="1" si="509"/>
        <v>0.97240391162224638</v>
      </c>
      <c r="R150" s="42">
        <f t="shared" ca="1" si="510"/>
        <v>2.7596088377753573E-2</v>
      </c>
      <c r="S150" s="42">
        <f t="shared" si="511"/>
        <v>0.98162450344672281</v>
      </c>
      <c r="T150" s="42">
        <f t="shared" si="512"/>
        <v>73.621837758504213</v>
      </c>
      <c r="U150" s="42">
        <f t="shared" si="513"/>
        <v>0.98801719747153338</v>
      </c>
      <c r="V150" s="42">
        <f t="shared" ca="1" si="514"/>
        <v>108.68189172186867</v>
      </c>
      <c r="W150" s="42">
        <f t="shared" ca="1" si="515"/>
        <v>4.2999910093799415E-2</v>
      </c>
      <c r="X150" s="42">
        <f t="shared" ca="1" si="516"/>
        <v>0.14091529157098392</v>
      </c>
      <c r="Y150" s="42">
        <f t="shared" ca="1" si="517"/>
        <v>-1.7188722270412102E-2</v>
      </c>
      <c r="Z150" s="42">
        <f t="shared" ca="1" si="518"/>
        <v>1.9971971609128178E-3</v>
      </c>
      <c r="AA150" s="42">
        <f t="shared" ca="1" si="601"/>
        <v>-2.5820894740130433E-3</v>
      </c>
      <c r="AB150" s="42">
        <f t="shared" ca="1" si="519"/>
        <v>3.1821805945596748E-2</v>
      </c>
      <c r="AC150" s="42">
        <f t="shared" ca="1" si="520"/>
        <v>-9.420074856522128E-3</v>
      </c>
      <c r="AD150" s="42">
        <f t="shared" ca="1" si="616"/>
        <v>-1729.5423542145081</v>
      </c>
      <c r="AF150" s="36">
        <f t="shared" si="617"/>
        <v>80</v>
      </c>
      <c r="AG150" s="35">
        <f t="shared" si="602"/>
        <v>0.28399999999999997</v>
      </c>
      <c r="AH150" s="197">
        <f t="shared" si="626"/>
        <v>169.23611111111677</v>
      </c>
      <c r="AI150" s="41">
        <f t="shared" si="636"/>
        <v>0.46366057838662128</v>
      </c>
      <c r="AJ150" s="40">
        <f t="shared" ca="1" si="521"/>
        <v>0.31845373111853459</v>
      </c>
      <c r="AK150" s="40">
        <f t="shared" si="522"/>
        <v>2.5189751902588361E-2</v>
      </c>
      <c r="AL150" s="40">
        <f t="shared" si="523"/>
        <v>0.19338305926412305</v>
      </c>
      <c r="AM150" s="42">
        <f t="shared" ca="1" si="524"/>
        <v>1.7770092392207626</v>
      </c>
      <c r="AN150" s="42">
        <f t="shared" ca="1" si="525"/>
        <v>1.5836261799566396</v>
      </c>
      <c r="AO150" s="42">
        <f t="shared" ca="1" si="526"/>
        <v>0.96221664014767871</v>
      </c>
      <c r="AP150" s="42">
        <f t="shared" ca="1" si="527"/>
        <v>3.7783359852321237E-2</v>
      </c>
      <c r="AQ150" s="42">
        <f t="shared" ca="1" si="528"/>
        <v>0.94336059367715774</v>
      </c>
      <c r="AR150" s="42">
        <f t="shared" ca="1" si="529"/>
        <v>5.6639406322842298E-2</v>
      </c>
      <c r="AS150" s="42">
        <f t="shared" si="530"/>
        <v>0.98162450344672281</v>
      </c>
      <c r="AT150" s="42">
        <f t="shared" si="531"/>
        <v>78.529960275737821</v>
      </c>
      <c r="AU150" s="42">
        <f t="shared" si="532"/>
        <v>0.98801719747153338</v>
      </c>
      <c r="AV150" s="42">
        <f t="shared" ca="1" si="533"/>
        <v>108.68189172186867</v>
      </c>
      <c r="AW150" s="42">
        <f t="shared" ca="1" si="534"/>
        <v>8.2264184247923505E-2</v>
      </c>
      <c r="AX150" s="42">
        <f t="shared" ca="1" si="535"/>
        <v>0.34152330421580324</v>
      </c>
      <c r="AY150" s="42">
        <f t="shared" ca="1" si="536"/>
        <v>-3.7330609312348925E-2</v>
      </c>
      <c r="AZ150" s="42">
        <f t="shared" ca="1" si="537"/>
        <v>3.8208869475858166E-3</v>
      </c>
      <c r="BA150" s="42">
        <f t="shared" ca="1" si="604"/>
        <v>-4.9132152006560667E-3</v>
      </c>
      <c r="BB150" s="42">
        <f t="shared" ca="1" si="538"/>
        <v>6.0879078623648671E-2</v>
      </c>
      <c r="BC150" s="42">
        <f t="shared" ca="1" si="539"/>
        <v>-2.062311402346963E-2</v>
      </c>
      <c r="BD150" s="42">
        <f t="shared" ca="1" si="618"/>
        <v>2654.2383478920988</v>
      </c>
      <c r="BE150" s="40"/>
      <c r="BF150" s="36">
        <f t="shared" si="619"/>
        <v>90</v>
      </c>
      <c r="BG150" s="35">
        <f t="shared" si="605"/>
        <v>0.28399999999999997</v>
      </c>
      <c r="BH150" s="197">
        <f t="shared" si="627"/>
        <v>169.23611111111677</v>
      </c>
      <c r="BI150" s="41">
        <f t="shared" si="637"/>
        <v>0.46366057838662128</v>
      </c>
      <c r="BJ150" s="40">
        <f t="shared" ca="1" si="540"/>
        <v>0.20067069546215124</v>
      </c>
      <c r="BK150" s="40">
        <f t="shared" si="541"/>
        <v>2.5189751902588361E-2</v>
      </c>
      <c r="BL150" s="40">
        <f t="shared" si="542"/>
        <v>0.19338305926412305</v>
      </c>
      <c r="BM150" s="42">
        <f t="shared" ca="1" si="543"/>
        <v>1.1679432946412274</v>
      </c>
      <c r="BN150" s="42">
        <f t="shared" ca="1" si="544"/>
        <v>0.97456023537710434</v>
      </c>
      <c r="BO150" s="42">
        <f t="shared" ca="1" si="545"/>
        <v>0.87858518058271828</v>
      </c>
      <c r="BP150" s="42">
        <f t="shared" ca="1" si="546"/>
        <v>0.1214148194172817</v>
      </c>
      <c r="BQ150" s="42">
        <f t="shared" ca="1" si="547"/>
        <v>0.83511077677599466</v>
      </c>
      <c r="BR150" s="42">
        <f t="shared" ca="1" si="548"/>
        <v>0.16488922322400532</v>
      </c>
      <c r="BS150" s="42">
        <f t="shared" si="549"/>
        <v>0.98162450344672281</v>
      </c>
      <c r="BT150" s="42">
        <f t="shared" si="550"/>
        <v>88.34620531020505</v>
      </c>
      <c r="BU150" s="42">
        <f t="shared" si="551"/>
        <v>0.98801719747153338</v>
      </c>
      <c r="BV150" s="42">
        <f t="shared" ca="1" si="552"/>
        <v>108.68189172186867</v>
      </c>
      <c r="BW150" s="42">
        <f t="shared" ca="1" si="553"/>
        <v>0.20169788842758876</v>
      </c>
      <c r="BX150" s="42">
        <f t="shared" ca="1" si="554"/>
        <v>21.70743132271258</v>
      </c>
      <c r="BY150" s="42">
        <f t="shared" ca="1" si="555"/>
        <v>0.86805726785935844</v>
      </c>
      <c r="BZ150" s="42">
        <f t="shared" ca="1" si="556"/>
        <v>9.3681695903773243E-3</v>
      </c>
      <c r="CA150" s="42">
        <f t="shared" ca="1" si="607"/>
        <v>-1.3807905240569379E-2</v>
      </c>
      <c r="CB150" s="42">
        <f t="shared" ca="1" si="557"/>
        <v>0.14926522058251662</v>
      </c>
      <c r="CC150" s="42">
        <f t="shared" ca="1" si="558"/>
        <v>0.34208352675345066</v>
      </c>
      <c r="CD150" s="42">
        <f t="shared" ca="1" si="620"/>
        <v>-7453.7156613562893</v>
      </c>
      <c r="CE150" s="40"/>
      <c r="CF150" s="36">
        <f t="shared" si="621"/>
        <v>95</v>
      </c>
      <c r="CG150" s="35">
        <f t="shared" si="608"/>
        <v>0.28399999999999997</v>
      </c>
      <c r="CH150" s="197">
        <f t="shared" si="628"/>
        <v>169.23611111111677</v>
      </c>
      <c r="CI150" s="41">
        <f t="shared" si="638"/>
        <v>0.46366057838662128</v>
      </c>
      <c r="CJ150" s="40">
        <f t="shared" ca="1" si="559"/>
        <v>0.14660347419187544</v>
      </c>
      <c r="CK150" s="40">
        <f t="shared" si="560"/>
        <v>2.5189751902588361E-2</v>
      </c>
      <c r="CL150" s="40">
        <f t="shared" si="561"/>
        <v>0.19338305926412305</v>
      </c>
      <c r="CM150" s="42">
        <f t="shared" ca="1" si="562"/>
        <v>0.88835716400487896</v>
      </c>
      <c r="CN150" s="42">
        <f t="shared" ca="1" si="563"/>
        <v>0.69497410474075594</v>
      </c>
      <c r="CO150" s="42">
        <f t="shared" ca="1" si="564"/>
        <v>0.81282567021929986</v>
      </c>
      <c r="CP150" s="42">
        <f t="shared" ca="1" si="565"/>
        <v>0.18717432978070012</v>
      </c>
      <c r="CQ150" s="42">
        <f t="shared" ca="1" si="566"/>
        <v>0.7564642350017946</v>
      </c>
      <c r="CR150" s="42">
        <f t="shared" ca="1" si="567"/>
        <v>0.2435357649982054</v>
      </c>
      <c r="CS150" s="42">
        <f t="shared" si="568"/>
        <v>0.98162450344672281</v>
      </c>
      <c r="CT150" s="42">
        <f t="shared" si="569"/>
        <v>93.254327827438672</v>
      </c>
      <c r="CU150" s="42">
        <f t="shared" si="570"/>
        <v>0.98801719747153338</v>
      </c>
      <c r="CV150" s="42">
        <f t="shared" ca="1" si="571"/>
        <v>108.68189172186867</v>
      </c>
      <c r="CW150" s="42">
        <f t="shared" ca="1" si="572"/>
        <v>0.26886987334745638</v>
      </c>
      <c r="CX150" s="42">
        <f t="shared" ca="1" si="573"/>
        <v>17.79586771893932</v>
      </c>
      <c r="CY150" s="42">
        <f t="shared" ca="1" si="574"/>
        <v>0.80308574072299344</v>
      </c>
      <c r="CZ150" s="42">
        <f t="shared" ca="1" si="575"/>
        <v>1.2488076057209297E-2</v>
      </c>
      <c r="DA150" s="42">
        <f t="shared" ca="1" si="610"/>
        <v>-1.8133448821646542E-2</v>
      </c>
      <c r="DB150" s="42">
        <f t="shared" ca="1" si="576"/>
        <v>0.19897541449775485</v>
      </c>
      <c r="DC150" s="42">
        <f t="shared" ca="1" si="577"/>
        <v>0.32708269574688636</v>
      </c>
      <c r="DD150" s="42">
        <f t="shared" ca="1" si="622"/>
        <v>6322.9338594696601</v>
      </c>
      <c r="DE150" s="40"/>
      <c r="DF150" s="36">
        <f t="shared" si="623"/>
        <v>200</v>
      </c>
      <c r="DG150" s="35">
        <f t="shared" si="611"/>
        <v>0.28399999999999997</v>
      </c>
      <c r="DH150" s="197">
        <f t="shared" si="629"/>
        <v>169.23611111111677</v>
      </c>
      <c r="DI150" s="41">
        <f t="shared" si="639"/>
        <v>0.46366057838662128</v>
      </c>
      <c r="DJ150" s="40">
        <f t="shared" ca="1" si="578"/>
        <v>-0.59783700075562041</v>
      </c>
      <c r="DK150" s="40">
        <f t="shared" si="579"/>
        <v>2.5189751902588361E-2</v>
      </c>
      <c r="DL150" s="40">
        <f t="shared" si="580"/>
        <v>0.19338305926412305</v>
      </c>
      <c r="DM150" s="42">
        <f t="shared" ca="1" si="581"/>
        <v>-2.9612068969852685</v>
      </c>
      <c r="DN150" s="42">
        <f t="shared" ca="1" si="582"/>
        <v>-3.1545899562493918</v>
      </c>
      <c r="DO150" s="42">
        <f t="shared" ca="1" si="583"/>
        <v>1.5321800489173567E-3</v>
      </c>
      <c r="DP150" s="42">
        <f t="shared" ca="1" si="584"/>
        <v>0.99846781995108269</v>
      </c>
      <c r="DQ150" s="42">
        <f t="shared" ca="1" si="585"/>
        <v>8.0361910629805531E-4</v>
      </c>
      <c r="DR150" s="42">
        <f t="shared" ca="1" si="586"/>
        <v>0.999196380893702</v>
      </c>
      <c r="DS150" s="42">
        <f t="shared" si="587"/>
        <v>0.98162450344672281</v>
      </c>
      <c r="DT150" s="42">
        <f t="shared" si="588"/>
        <v>196.32490068934456</v>
      </c>
      <c r="DU150" s="42">
        <f t="shared" si="589"/>
        <v>0.98801719747153338</v>
      </c>
      <c r="DV150" s="42">
        <f t="shared" ca="1" si="590"/>
        <v>108.68189172186867</v>
      </c>
      <c r="DW150" s="42">
        <f t="shared" ca="1" si="591"/>
        <v>4.9750907039838215E-3</v>
      </c>
      <c r="DX150" s="42">
        <f t="shared" si="592"/>
        <v>0</v>
      </c>
      <c r="DY150" s="92">
        <f t="shared" si="593"/>
        <v>0</v>
      </c>
      <c r="DZ150" s="42">
        <f t="shared" si="594"/>
        <v>0</v>
      </c>
      <c r="EA150" s="42">
        <f t="shared" si="613"/>
        <v>0</v>
      </c>
      <c r="EB150" s="42">
        <f t="shared" si="595"/>
        <v>0</v>
      </c>
      <c r="EC150" s="42">
        <f t="shared" si="596"/>
        <v>0</v>
      </c>
      <c r="ED150" s="42">
        <f t="shared" ca="1" si="624"/>
        <v>0</v>
      </c>
      <c r="EE150" s="40"/>
      <c r="EF150" s="120">
        <f t="shared" ca="1" si="630"/>
        <v>110</v>
      </c>
      <c r="EG150" s="42">
        <f t="shared" ca="1" si="597"/>
        <v>-206.08580820903808</v>
      </c>
      <c r="EH150" s="36">
        <f t="shared" ca="1" si="640"/>
        <v>-206.08580820903808</v>
      </c>
      <c r="EI150" s="36">
        <f t="shared" ca="1" si="631"/>
        <v>-11.287000000000001</v>
      </c>
      <c r="EJ150" s="153">
        <f t="shared" ca="1" si="598"/>
        <v>-1</v>
      </c>
      <c r="EK150" s="129"/>
      <c r="EL150" s="129"/>
      <c r="EM150" s="129"/>
      <c r="EN150" s="129"/>
    </row>
    <row r="151" spans="1:144" x14ac:dyDescent="0.3">
      <c r="A151" s="160" t="s">
        <v>103</v>
      </c>
      <c r="B151" s="161"/>
      <c r="C151" s="162"/>
      <c r="D151" s="161"/>
      <c r="E151" s="161"/>
      <c r="F151" s="155" t="s">
        <v>121</v>
      </c>
      <c r="G151" s="156" t="s">
        <v>119</v>
      </c>
      <c r="H151" s="157" t="s">
        <v>120</v>
      </c>
      <c r="I151" s="158" t="s">
        <v>117</v>
      </c>
      <c r="J151" s="159" t="s">
        <v>118</v>
      </c>
      <c r="K151" s="159" t="s">
        <v>122</v>
      </c>
      <c r="L151" s="159" t="s">
        <v>123</v>
      </c>
      <c r="M151" s="159" t="s">
        <v>124</v>
      </c>
      <c r="N151" s="159" t="s">
        <v>125</v>
      </c>
      <c r="O151" s="159" t="s">
        <v>126</v>
      </c>
      <c r="P151" s="159" t="s">
        <v>127</v>
      </c>
      <c r="Q151" s="155" t="s">
        <v>111</v>
      </c>
      <c r="R151" s="155" t="s">
        <v>115</v>
      </c>
      <c r="S151" s="155" t="s">
        <v>113</v>
      </c>
      <c r="T151" s="155" t="s">
        <v>114</v>
      </c>
      <c r="U151" s="155" t="s">
        <v>129</v>
      </c>
      <c r="V151" s="155" t="s">
        <v>130</v>
      </c>
      <c r="W151" s="155" t="s">
        <v>131</v>
      </c>
      <c r="X151" s="42"/>
      <c r="Y151" s="42"/>
      <c r="Z151" s="42"/>
      <c r="AA151" s="42"/>
      <c r="AB151" s="42"/>
      <c r="AC151" s="42"/>
      <c r="AD151" s="42"/>
      <c r="AF151" s="36"/>
      <c r="AG151" s="35"/>
      <c r="AH151" s="197"/>
      <c r="AI151" s="41"/>
      <c r="AJ151" s="40"/>
      <c r="AK151" s="40"/>
      <c r="AL151" s="40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0"/>
      <c r="BF151" s="36"/>
      <c r="BG151" s="35"/>
      <c r="BH151" s="197"/>
      <c r="BI151" s="41"/>
      <c r="BJ151" s="40"/>
      <c r="BK151" s="40"/>
      <c r="BL151" s="40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0"/>
      <c r="CF151" s="36"/>
      <c r="CG151" s="35"/>
      <c r="CH151" s="197"/>
      <c r="CI151" s="41"/>
      <c r="CJ151" s="40"/>
      <c r="CK151" s="40"/>
      <c r="CL151" s="40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0"/>
      <c r="DF151" s="36"/>
      <c r="DG151" s="35"/>
      <c r="DH151" s="197"/>
      <c r="DI151" s="41"/>
      <c r="DJ151" s="40"/>
      <c r="DK151" s="40"/>
      <c r="DL151" s="40"/>
      <c r="DM151" s="42"/>
      <c r="DN151" s="42"/>
      <c r="DO151" s="42"/>
      <c r="DP151" s="42"/>
      <c r="DQ151" s="42"/>
      <c r="DR151" s="42"/>
      <c r="DS151" s="42"/>
      <c r="DT151" s="42"/>
      <c r="DU151" s="42"/>
      <c r="DV151" s="42"/>
      <c r="DW151" s="42"/>
      <c r="DX151" s="42"/>
      <c r="DY151" s="92"/>
      <c r="DZ151" s="42"/>
      <c r="EA151" s="42"/>
      <c r="EB151" s="42"/>
      <c r="EC151" s="42"/>
      <c r="ED151" s="42"/>
      <c r="EE151" s="40"/>
      <c r="EF151" s="120"/>
      <c r="EG151" s="42"/>
      <c r="EH151" s="36"/>
      <c r="EI151" s="36"/>
      <c r="EJ151" s="36"/>
      <c r="EK151" s="36"/>
      <c r="EL151" s="36"/>
      <c r="EM151" s="36"/>
      <c r="EN151" s="36"/>
    </row>
    <row r="152" spans="1:144" x14ac:dyDescent="0.3">
      <c r="A152" s="152">
        <v>1</v>
      </c>
      <c r="B152" s="149">
        <f ca="1">MATCH($A152,$EN$53:$EN$149,0)</f>
        <v>23</v>
      </c>
      <c r="C152" s="150" t="str">
        <f ca="1">IF(ISNUMBER($B152),INDEX($EL$53:$EL$149,$B152),"")</f>
        <v>B/E ALL</v>
      </c>
      <c r="D152" s="163" t="str">
        <f ca="1">IF($C152="","",LEFT($C152,3))</f>
        <v>B/E</v>
      </c>
      <c r="E152" s="150" t="str">
        <f ca="1">IF($C152="","",MID($C152,5,3))</f>
        <v>ALL</v>
      </c>
      <c r="F152" s="150">
        <f ca="1">IF(ISNUMBER($B152),IF($E152="BEG",INDEX($EF$51:$EF$147,$B152),INDEX($EF$52:$EF$148,$B152)),"")</f>
        <v>72</v>
      </c>
      <c r="G152" s="150" t="str">
        <f ca="1">IF($D152="MAX",MAX($EI153:$EI165),IF($D152="MIN",MIN($EI153:$EI165),""))</f>
        <v/>
      </c>
      <c r="H152" s="150">
        <f ca="1">IF($D152="B/E",MAX($EL154:$EL165),IF($G152="","",SUM($EK153:$EK165)))</f>
        <v>2</v>
      </c>
      <c r="I152" s="150">
        <f ca="1">IF($D152="B/E",MATCH($H152,$EL154:$EL165,0)+1,IF($E152="END",$H152,IF($E152="BEG",14-$H152,IF($E152="MID",MATCH(1,$EK153:$EK165,0),""))))</f>
        <v>9</v>
      </c>
      <c r="J152" s="150">
        <f ca="1">IF($I152="","",INDEX($EF153:$EF165,$I152))</f>
        <v>72.34999999999998</v>
      </c>
      <c r="K152" s="150">
        <f ca="1">IF($D152="B/E",INDEX($EI153:$EI165,$I152-1),"")</f>
        <v>-0.221</v>
      </c>
      <c r="L152" s="150">
        <f ca="1">IF($D152="B/E",INDEX($EI153:$EI165,$I152),"")</f>
        <v>1.532</v>
      </c>
      <c r="M152" s="150" t="str">
        <f ca="1">IF($E152="BEG",INDEX($EJ153:$EJ165,$I152-1),"")</f>
        <v/>
      </c>
      <c r="N152" s="150" t="str">
        <f ca="1">IF(OR($E152="BEG",$E152="MID"),INDEX($EJ153:$EJ165,$I152),"")</f>
        <v/>
      </c>
      <c r="O152" s="150" t="str">
        <f ca="1">IF(OR($E152="MID",$E152="END"),INDEX($EJ153:$EJ165,$I152+1),"")</f>
        <v/>
      </c>
      <c r="P152" s="150" t="str">
        <f ca="1">IF($E152="END",INDEX($EJ153:$EJ165,$I152+2),"")</f>
        <v/>
      </c>
      <c r="Q152" s="150">
        <f ca="1">IF($D152="B/E",IF($H152=1,$J152,IF($H152=2,$J152+$EF$48*(ABS($K152/($L152-$K152))-1),$J152)),"")</f>
        <v>72.306303479748976</v>
      </c>
      <c r="R152" s="150" t="str">
        <f ca="1">IF($E152="BEG",$J152-IF(AND(ISNUMBER($M152),$M152&lt;&gt;0),$EF$48*(1-$N152/$M152),0),"")</f>
        <v/>
      </c>
      <c r="S152" s="150" t="str">
        <f ca="1">IF($E152="MID",$J152+$EF$48*(ABS($N152)-ABS($O152))/MAX(ABS($N152),ABS($O152))/2,"")</f>
        <v/>
      </c>
      <c r="T152" s="150" t="str">
        <f ca="1">IF($E152="END",$J152+IF(AND(ISNUMBER($P152),$P152&lt;&gt;0),$EF$48*(1-$O152/$P152),0),"")</f>
        <v/>
      </c>
      <c r="U152" s="150">
        <f ca="1">IF($D152="B/E",$Q152,IF($E152="BEG",$R152,IF($E152="MID",$S152,IF($E152="END",$T152,""))))</f>
        <v>72.306303479748976</v>
      </c>
      <c r="V152" s="163">
        <f ca="1">IF(ISNUMBER($U152),$U152,IF($D152="","",$F152))</f>
        <v>72.306303479748976</v>
      </c>
      <c r="W152" s="163">
        <f ca="1">IF(AND(ISNUMBER($V152),ISNUMBER($EI$237)),$EI$237,"")</f>
        <v>0</v>
      </c>
      <c r="AH152" s="201"/>
      <c r="BH152" s="201"/>
      <c r="CH152" s="201"/>
      <c r="DH152" s="201"/>
      <c r="EF152" s="120"/>
      <c r="EG152" s="42"/>
      <c r="EH152" s="36"/>
      <c r="EI152" s="155" t="s">
        <v>109</v>
      </c>
      <c r="EJ152" s="155" t="s">
        <v>110</v>
      </c>
      <c r="EK152" s="155" t="s">
        <v>112</v>
      </c>
      <c r="EL152" s="155" t="s">
        <v>116</v>
      </c>
    </row>
    <row r="153" spans="1:144" x14ac:dyDescent="0.3">
      <c r="A153" s="146">
        <f ca="1">IF(AND($M$22=1,ISNUMBER($B$152)),$F$152-$EF$48,A$48)</f>
        <v>71.95</v>
      </c>
      <c r="B153" s="147">
        <f ca="1">IF(AND($M$22=2,ISNUMBER($B$152)),$F$152-$EF$48,B$48)</f>
        <v>0.28399999999999997</v>
      </c>
      <c r="C153" s="148">
        <f ca="1">IF(AND($M$22=3,ISNUMBER($B$152)),$F$152-$EF$48,C$48)</f>
        <v>45295.440972222219</v>
      </c>
      <c r="D153" s="147">
        <f ca="1">IF(AND($M$22=4,ISNUMBER($B$152)),$F$152-$EF$48,D$48)</f>
        <v>2.5999999999999999E-2</v>
      </c>
      <c r="E153" s="147">
        <f ca="1">IF(AND($M$22=5,ISNUMBER($B$152)),$F$152-$EF$48,E$48)</f>
        <v>0.04</v>
      </c>
      <c r="F153" s="36">
        <f t="shared" ref="F153:F216" si="641">F$48</f>
        <v>75</v>
      </c>
      <c r="G153" s="35">
        <f t="shared" ref="G153:G165" si="642">IF($M$22=2,$B153,G$48)</f>
        <v>0.28399999999999997</v>
      </c>
      <c r="H153" s="197">
        <f t="shared" ca="1" si="625"/>
        <v>169.23611111111677</v>
      </c>
      <c r="I153" s="41">
        <f t="shared" ref="I153:I165" ca="1" si="643">H153/365</f>
        <v>0.46366057838662128</v>
      </c>
      <c r="J153" s="40">
        <f t="shared" ref="J153" ca="1" si="644">LN($A153/F153)</f>
        <v>-4.151668020293358E-2</v>
      </c>
      <c r="K153" s="40">
        <f t="shared" ref="K153" ca="1" si="645">($E153-$D153+POWER(G153,2)/2)*I153</f>
        <v>2.5189751902588361E-2</v>
      </c>
      <c r="L153" s="40">
        <f t="shared" ref="L153" ca="1" si="646">MAX(0,0.000000000001,G153*SQRT(I153))</f>
        <v>0.19338305926412305</v>
      </c>
      <c r="M153" s="42">
        <f t="shared" ref="M153" ca="1" si="647">(J153+K153)/L153</f>
        <v>-8.4427914019323994E-2</v>
      </c>
      <c r="N153" s="42">
        <f t="shared" ref="N153" ca="1" si="648">M153-L153</f>
        <v>-0.27781097328344706</v>
      </c>
      <c r="O153" s="42">
        <f t="shared" ref="O153" ca="1" si="649">_xlfn.NORM.DIST(M153,0,1,TRUE)</f>
        <v>0.46635810716697784</v>
      </c>
      <c r="P153" s="42">
        <f t="shared" ref="P153" ca="1" si="650">_xlfn.NORM.DIST(-M153,0,1,TRUE)</f>
        <v>0.53364189283302221</v>
      </c>
      <c r="Q153" s="42">
        <f t="shared" ref="Q153" ca="1" si="651">_xlfn.NORM.DIST(N153,0,1,TRUE)</f>
        <v>0.3905787335930927</v>
      </c>
      <c r="R153" s="42">
        <f t="shared" ref="R153" ca="1" si="652">_xlfn.NORM.DIST(-N153,0,1,TRUE)</f>
        <v>0.6094212664069073</v>
      </c>
      <c r="S153" s="42">
        <f t="shared" ref="S153" ca="1" si="653">EXP(-$E153*I153)</f>
        <v>0.98162450344672281</v>
      </c>
      <c r="T153" s="42">
        <f t="shared" ref="T153" ca="1" si="654">F153*S153</f>
        <v>73.621837758504213</v>
      </c>
      <c r="U153" s="42">
        <f t="shared" ref="U153" ca="1" si="655">EXP(-$D153*I153)</f>
        <v>0.98801719747153338</v>
      </c>
      <c r="V153" s="42">
        <f t="shared" ref="V153" ca="1" si="656">$A153*U153</f>
        <v>71.087837358076825</v>
      </c>
      <c r="W153" s="42">
        <f t="shared" ref="W153" ca="1" si="657">EXP(-1*POWER(M153,2)/2)/SQRT(2*PI())</f>
        <v>0.39752296636516316</v>
      </c>
      <c r="X153" s="42">
        <f t="shared" ref="X153" ca="1" si="658">IF($F$8=1,0,IF($F$8=2,$A153,IF($F$8=3,V153*O153-T153*Q153,T153*R153-V153*P153)))</f>
        <v>6.9312655168213624</v>
      </c>
      <c r="Y153" s="42">
        <f t="shared" ref="Y153" ca="1" si="659">IF($F$8=2,1,IF(OR($F$8=1,I153&lt;=0),0,IF($F$8=3,O153*U153,(O153-1)*U153)))</f>
        <v>-0.52724736741028699</v>
      </c>
      <c r="Z153" s="42">
        <f t="shared" ref="Z153" ca="1" si="660">IF(OR($F$8&lt;=2,I153&lt;=0),0,W153*U153/($A153*L153))</f>
        <v>2.8227830689673945E-2</v>
      </c>
      <c r="AA153" s="42">
        <f t="shared" ref="AA153:AA165" ca="1" si="661">IF(OR($F$8&lt;=2,I153&lt;=0),0,(IF($F$8=3,-1*$E153*F153*S153*Q153+$D153*$A153*U153*O153,$E153*F153*S153*R153-$D153*$A153*U153*P153)-(W153*$A153*G153*U153/(2*SQRT(I153))))/365)</f>
        <v>-1.3930903819618382E-2</v>
      </c>
      <c r="AB153" s="42">
        <f t="shared" ref="AB153" ca="1" si="662">IF(OR($F$8&lt;=2,I153&lt;=0),0,(W153*$A153*U153*SQRT(I153))/100)</f>
        <v>0.19242327993252129</v>
      </c>
      <c r="AC153" s="42">
        <f t="shared" ref="AC153" ca="1" si="663">IF(OR($F$8&lt;=2,I153&lt;=0),0,IF($F$8=3,Q153,-1*R153)*F153*I153*S153/100)</f>
        <v>-0.2080292637900627</v>
      </c>
      <c r="AD153" s="42">
        <f ca="1">IF($F$8=1,0,IF($M$28=1,X153-$G$8,OFFSET(V153,0,$M$28))*IF($M$30=1,SIGN($B$8),$T$8))</f>
        <v>1665.6327584106812</v>
      </c>
      <c r="AF153" s="36">
        <f t="shared" ref="AF153:AF216" si="664">AF$48</f>
        <v>80</v>
      </c>
      <c r="AG153" s="35">
        <f t="shared" ref="AG153:AG165" si="665">IF($M$22=2,$B153,AG$48)</f>
        <v>0.28399999999999997</v>
      </c>
      <c r="AH153" s="197">
        <f t="shared" ca="1" si="626"/>
        <v>169.23611111111677</v>
      </c>
      <c r="AI153" s="41">
        <f t="shared" ref="AI153:AI165" ca="1" si="666">AH153/365</f>
        <v>0.46366057838662128</v>
      </c>
      <c r="AJ153" s="40">
        <f t="shared" ref="AJ153" ca="1" si="667">LN($A153/AF153)</f>
        <v>-0.10605520134050475</v>
      </c>
      <c r="AK153" s="40">
        <f t="shared" ref="AK153" ca="1" si="668">($E153-$D153+POWER(AG153,2)/2)*AI153</f>
        <v>2.5189751902588361E-2</v>
      </c>
      <c r="AL153" s="40">
        <f t="shared" ref="AL153" ca="1" si="669">MAX(0,0.000000000001,AG153*SQRT(AI153))</f>
        <v>0.19338305926412305</v>
      </c>
      <c r="AM153" s="42">
        <f t="shared" ref="AM153" ca="1" si="670">(AJ153+AK153)/AL153</f>
        <v>-0.41816201349607446</v>
      </c>
      <c r="AN153" s="42">
        <f t="shared" ref="AN153" ca="1" si="671">AM153-AL153</f>
        <v>-0.61154507276019754</v>
      </c>
      <c r="AO153" s="42">
        <f t="shared" ref="AO153" ca="1" si="672">_xlfn.NORM.DIST(AM153,0,1,TRUE)</f>
        <v>0.33791433352434319</v>
      </c>
      <c r="AP153" s="42">
        <f t="shared" ref="AP153" ca="1" si="673">_xlfn.NORM.DIST(-AM153,0,1,TRUE)</f>
        <v>0.66208566647565681</v>
      </c>
      <c r="AQ153" s="42">
        <f t="shared" ref="AQ153" ca="1" si="674">_xlfn.NORM.DIST(AN153,0,1,TRUE)</f>
        <v>0.27041939429170525</v>
      </c>
      <c r="AR153" s="42">
        <f t="shared" ref="AR153" ca="1" si="675">_xlfn.NORM.DIST(-AN153,0,1,TRUE)</f>
        <v>0.72958060570829475</v>
      </c>
      <c r="AS153" s="42">
        <f t="shared" ref="AS153" ca="1" si="676">EXP(-$E153*AI153)</f>
        <v>0.98162450344672281</v>
      </c>
      <c r="AT153" s="42">
        <f t="shared" ref="AT153" ca="1" si="677">AF153*AS153</f>
        <v>78.529960275737821</v>
      </c>
      <c r="AU153" s="42">
        <f t="shared" ref="AU153" ca="1" si="678">EXP(-$D153*AI153)</f>
        <v>0.98801719747153338</v>
      </c>
      <c r="AV153" s="42">
        <f t="shared" ref="AV153" ca="1" si="679">$A153*AU153</f>
        <v>71.087837358076825</v>
      </c>
      <c r="AW153" s="42">
        <f t="shared" ref="AW153" ca="1" si="680">EXP(-1*POWER(AM153,2)/2)/SQRT(2*PI())</f>
        <v>0.36554413014487508</v>
      </c>
      <c r="AX153" s="42">
        <f t="shared" ref="AX153" ca="1" si="681">IF($F$10=1,0,IF($F$10=2,$A153,IF($F$10=3,AV153*AO153-AT153*AQ153,AT153*AR153-AV153*AP153)))</f>
        <v>10.227697808685733</v>
      </c>
      <c r="AY153" s="42">
        <f t="shared" ref="AY153" ca="1" si="682">IF($F$10=2,1,IF(OR($F$10=1,AI153&lt;=0),0,IF($F$10=3,AO153*AU153,(AO153-1)*AU153)))</f>
        <v>-0.65415202467735079</v>
      </c>
      <c r="AZ153" s="42">
        <f t="shared" ref="AZ153" ca="1" si="683">IF(OR($F$10&lt;=2,AI153&lt;=0),0,AW153*AU153/($A153*AL153))</f>
        <v>2.5957035664337234E-2</v>
      </c>
      <c r="BA153" s="42">
        <f t="shared" ref="BA153:BA165" ca="1" si="684">IF(OR($F$10&lt;=2,AI153&lt;=0),0,(IF($F$10=3,-1*$E153*AF153*AS153*AQ153+$D153*$A153*AU153*AO153,$E153*AF153*AS153*AR153-$D153*$A153*AU153*AP153)-(AW153*$A153*AG153*AU153/(2*SQRT(AI153))))/365)</f>
        <v>-1.1920595771615215E-2</v>
      </c>
      <c r="BB153" s="42">
        <f t="shared" ref="BB153" ca="1" si="685">IF(OR($F$10&lt;=2,AI153&lt;=0),0,(AW153*$A153*AU153*SQRT(AI153))/100)</f>
        <v>0.17694374019624301</v>
      </c>
      <c r="BC153" s="42">
        <f t="shared" ref="BC153" ca="1" si="686">IF(OR($F$10&lt;=2,AI153&lt;=0),0,IF($F$10=3,AQ153,-1*AR153)*AF153*AI153*AS153/100)</f>
        <v>-0.2656493949649002</v>
      </c>
      <c r="BD153" s="42">
        <f ca="1">IF($F$10=1,0,IF($M$28=1,AX153-$G$10,OFFSET(AV153,0,$M$28))*IF($M$30=1,SIGN($B$10),$T$10))</f>
        <v>-2288.8489043428663</v>
      </c>
      <c r="BE153" s="40"/>
      <c r="BF153" s="36">
        <f t="shared" ref="BF153:BF216" si="687">BF$48</f>
        <v>90</v>
      </c>
      <c r="BG153" s="35">
        <f t="shared" ref="BG153:BG165" si="688">IF($M$22=2,$B153,BG$48)</f>
        <v>0.28399999999999997</v>
      </c>
      <c r="BH153" s="197">
        <f t="shared" ca="1" si="627"/>
        <v>169.23611111111677</v>
      </c>
      <c r="BI153" s="41">
        <f t="shared" ref="BI153:BI165" ca="1" si="689">BH153/365</f>
        <v>0.46366057838662128</v>
      </c>
      <c r="BJ153" s="40">
        <f t="shared" ref="BJ153" ca="1" si="690">LN($A153/BF153)</f>
        <v>-0.22383823699688815</v>
      </c>
      <c r="BK153" s="40">
        <f t="shared" ref="BK153" ca="1" si="691">($E153-$D153+POWER(BG153,2)/2)*BI153</f>
        <v>2.5189751902588361E-2</v>
      </c>
      <c r="BL153" s="40">
        <f t="shared" ref="BL153" ca="1" si="692">MAX(0,0.000000000001,BG153*SQRT(BI153))</f>
        <v>0.19338305926412305</v>
      </c>
      <c r="BM153" s="42">
        <f t="shared" ref="BM153" ca="1" si="693">(BJ153+BK153)/BL153</f>
        <v>-1.0272279580756098</v>
      </c>
      <c r="BN153" s="42">
        <f t="shared" ref="BN153" ca="1" si="694">BM153-BL153</f>
        <v>-1.2206110173397329</v>
      </c>
      <c r="BO153" s="42">
        <f t="shared" ref="BO153" ca="1" si="695">_xlfn.NORM.DIST(BM153,0,1,TRUE)</f>
        <v>0.15215656808124067</v>
      </c>
      <c r="BP153" s="42">
        <f t="shared" ref="BP153" ca="1" si="696">_xlfn.NORM.DIST(-BM153,0,1,TRUE)</f>
        <v>0.84784343191875933</v>
      </c>
      <c r="BQ153" s="42">
        <f t="shared" ref="BQ153" ca="1" si="697">_xlfn.NORM.DIST(BN153,0,1,TRUE)</f>
        <v>0.1111166664544104</v>
      </c>
      <c r="BR153" s="42">
        <f t="shared" ref="BR153" ca="1" si="698">_xlfn.NORM.DIST(-BN153,0,1,TRUE)</f>
        <v>0.88888333354558957</v>
      </c>
      <c r="BS153" s="42">
        <f t="shared" ref="BS153" ca="1" si="699">EXP(-$E153*BI153)</f>
        <v>0.98162450344672281</v>
      </c>
      <c r="BT153" s="42">
        <f t="shared" ref="BT153" ca="1" si="700">BF153*BS153</f>
        <v>88.34620531020505</v>
      </c>
      <c r="BU153" s="42">
        <f t="shared" ref="BU153" ca="1" si="701">EXP(-$D153*BI153)</f>
        <v>0.98801719747153338</v>
      </c>
      <c r="BV153" s="42">
        <f t="shared" ref="BV153" ca="1" si="702">$A153*BU153</f>
        <v>71.087837358076825</v>
      </c>
      <c r="BW153" s="42">
        <f t="shared" ref="BW153" ca="1" si="703">EXP(-1*POWER(BM153,2)/2)/SQRT(2*PI())</f>
        <v>0.23538397263637237</v>
      </c>
      <c r="BX153" s="42">
        <f t="shared" ref="BX153" ca="1" si="704">IF($F$12=1,0,IF($F$12=2,$A153,IF($F$12=3,BV153*BO153-BT153*BQ153,BT153*BR153-BV153*BP153)))</f>
        <v>0.99974553675546396</v>
      </c>
      <c r="BY153" s="42">
        <f t="shared" ref="BY153" ca="1" si="705">IF($F$12=2,1,IF(OR($F$12=1,BI153&lt;=0),0,IF($F$12=3,BO153*BU153,(BO153-1)*BU153)))</f>
        <v>0.15033330597251399</v>
      </c>
      <c r="BZ153" s="42">
        <f t="shared" ref="BZ153" ca="1" si="706">IF(OR($F$12&lt;=2,BI153&lt;=0),0,BW153*BU153/($A153*BL153))</f>
        <v>1.6714452972105418E-2</v>
      </c>
      <c r="CA153" s="42">
        <f t="shared" ref="CA153:CA165" ca="1" si="707">IF(OR($F$12&lt;=2,BI153&lt;=0),0,(IF($F$12=3,-1*$E153*BF153*BS153*BQ153+$D153*$A153*BU153*BO153,$E153*BF153*BS153*BR153-$D153*$A153*BU153*BP153)-(BW153*$A153*BG153*BU153/(2*SQRT(BI153))))/365)</f>
        <v>-9.8655309296294333E-3</v>
      </c>
      <c r="CB153" s="42">
        <f t="shared" ref="CB153" ca="1" si="708">IF(OR($F$12&lt;=2,BI153&lt;=0),0,(BW153*$A153*BU153*SQRT(BI153))/100)</f>
        <v>0.11393896677816416</v>
      </c>
      <c r="CC153" s="42">
        <f t="shared" ref="CC153" ca="1" si="709">IF(OR($F$12&lt;=2,BI153&lt;=0),0,IF($F$12=3,BQ153,-1*BR153)*BF153*BI153*BS153/100)</f>
        <v>4.5516334118638077E-2</v>
      </c>
      <c r="CD153" s="42">
        <f ca="1">IF($F$12=1,0,IF($M$28=1,BX153-$G$12,OFFSET(BV153,0,$M$28))*IF($M$30=1,SIGN($B$12),$T$12))</f>
        <v>2900.127231622268</v>
      </c>
      <c r="CE153" s="40"/>
      <c r="CF153" s="36">
        <f t="shared" ref="CF153:CF216" si="710">CF$48</f>
        <v>95</v>
      </c>
      <c r="CG153" s="35">
        <f t="shared" ref="CG153:CG165" si="711">IF($M$22=2,$B153,CG$48)</f>
        <v>0.28399999999999997</v>
      </c>
      <c r="CH153" s="197">
        <f t="shared" ca="1" si="628"/>
        <v>169.23611111111677</v>
      </c>
      <c r="CI153" s="41">
        <f t="shared" ref="CI153:CI165" ca="1" si="712">CH153/365</f>
        <v>0.46366057838662128</v>
      </c>
      <c r="CJ153" s="40">
        <f t="shared" ref="CJ153" ca="1" si="713">LN($A153/CF153)</f>
        <v>-0.27790545826716401</v>
      </c>
      <c r="CK153" s="40">
        <f t="shared" ref="CK153" ca="1" si="714">($E153-$D153+POWER(CG153,2)/2)*CI153</f>
        <v>2.5189751902588361E-2</v>
      </c>
      <c r="CL153" s="40">
        <f t="shared" ref="CL153" ca="1" si="715">MAX(0,0.000000000001,CG153*SQRT(CI153))</f>
        <v>0.19338305926412305</v>
      </c>
      <c r="CM153" s="42">
        <f t="shared" ref="CM153" ca="1" si="716">(CJ153+CK153)/CL153</f>
        <v>-1.3068140887119586</v>
      </c>
      <c r="CN153" s="42">
        <f t="shared" ref="CN153" ca="1" si="717">CM153-CL153</f>
        <v>-1.5001971479760816</v>
      </c>
      <c r="CO153" s="42">
        <f t="shared" ref="CO153" ca="1" si="718">_xlfn.NORM.DIST(CM153,0,1,TRUE)</f>
        <v>9.5637929555076953E-2</v>
      </c>
      <c r="CP153" s="42">
        <f t="shared" ref="CP153" ca="1" si="719">_xlfn.NORM.DIST(-CM153,0,1,TRUE)</f>
        <v>0.90436207044492301</v>
      </c>
      <c r="CQ153" s="42">
        <f t="shared" ref="CQ153" ca="1" si="720">_xlfn.NORM.DIST(CN153,0,1,TRUE)</f>
        <v>6.6781670912300597E-2</v>
      </c>
      <c r="CR153" s="42">
        <f t="shared" ref="CR153" ca="1" si="721">_xlfn.NORM.DIST(-CN153,0,1,TRUE)</f>
        <v>0.93321832908769942</v>
      </c>
      <c r="CS153" s="42">
        <f t="shared" ref="CS153" ca="1" si="722">EXP(-$E153*CI153)</f>
        <v>0.98162450344672281</v>
      </c>
      <c r="CT153" s="42">
        <f t="shared" ref="CT153" ca="1" si="723">CF153*CS153</f>
        <v>93.254327827438672</v>
      </c>
      <c r="CU153" s="42">
        <f t="shared" ref="CU153" ca="1" si="724">EXP(-$D153*CI153)</f>
        <v>0.98801719747153338</v>
      </c>
      <c r="CV153" s="42">
        <f t="shared" ref="CV153" ca="1" si="725">$A153*CU153</f>
        <v>71.087837358076825</v>
      </c>
      <c r="CW153" s="42">
        <f t="shared" ref="CW153" ca="1" si="726">EXP(-1*POWER(CM153,2)/2)/SQRT(2*PI())</f>
        <v>0.16985331549465008</v>
      </c>
      <c r="CX153" s="42">
        <f t="shared" ref="CX153" ca="1" si="727">IF($F$14=1,0,IF($F$14=2,$A153,IF($F$14=3,CV153*CO153-CT153*CQ153,CT153*CR153-CV153*CP153)))</f>
        <v>0.57101374935471405</v>
      </c>
      <c r="CY153" s="42">
        <f t="shared" ref="CY153" ca="1" si="728">IF($F$14=2,1,IF(OR($F$14=1,CI153&lt;=0),0,IF($F$14=3,CO153*CU153,(CO153-1)*CU153)))</f>
        <v>9.4491919130987062E-2</v>
      </c>
      <c r="CZ153" s="42">
        <f t="shared" ref="CZ153" ca="1" si="729">IF(OR($F$14&lt;=2,CI153&lt;=0),0,CW153*CU153/($A153*CL153))</f>
        <v>1.2061166366570279E-2</v>
      </c>
      <c r="DA153" s="42">
        <f t="shared" ref="DA153:DA165" ca="1" si="730">IF(OR($F$14&lt;=2,CI153&lt;=0),0,(IF($F$14=3,-1*$E153*CF153*CS153*CQ153+$D153*$A153*CU153*CO153,$E153*CF153*CS153*CR153-$D153*$A153*CU153*CP153)-(CW153*$A153*CG153*CU153/(2*SQRT(CI153))))/365)</f>
        <v>-7.0968546924244594E-3</v>
      </c>
      <c r="DB153" s="42">
        <f t="shared" ref="DB153" ca="1" si="731">IF(OR($F$14&lt;=2,CI153&lt;=0),0,(CW153*$A153*CU153*SQRT(CI153))/100)</f>
        <v>8.2218475007229494E-2</v>
      </c>
      <c r="DC153" s="42">
        <f t="shared" ref="DC153" ca="1" si="732">IF(OR($F$14&lt;=2,CI153&lt;=0),0,IF($F$14=3,CQ153,-1*CR153)*CF153*CI153*CS153/100)</f>
        <v>2.8875296329673655E-2</v>
      </c>
      <c r="DD153" s="42">
        <f ca="1">IF($F$14=1,0,IF($M$28=1,CX153-$G$14,OFFSET(CV153,0,$M$28))*IF($M$30=1,SIGN($B$14),$T$14))</f>
        <v>-2289.4931253226432</v>
      </c>
      <c r="DE153" s="40"/>
      <c r="DF153" s="36">
        <f t="shared" ref="DF153:DF216" si="733">DF$48</f>
        <v>200</v>
      </c>
      <c r="DG153" s="35">
        <f t="shared" ref="DG153:DG165" si="734">IF($M$22=2,$B153,DG$48)</f>
        <v>0.28399999999999997</v>
      </c>
      <c r="DH153" s="197">
        <f t="shared" ca="1" si="629"/>
        <v>169.23611111111677</v>
      </c>
      <c r="DI153" s="41">
        <f t="shared" ref="DI153:DI165" ca="1" si="735">DH153/365</f>
        <v>0.46366057838662128</v>
      </c>
      <c r="DJ153" s="40">
        <f t="shared" ref="DJ153" ca="1" si="736">LN($A153/DF153)</f>
        <v>-1.0223459332146598</v>
      </c>
      <c r="DK153" s="40">
        <f t="shared" ref="DK153" ca="1" si="737">($E153-$D153+POWER(DG153,2)/2)*DI153</f>
        <v>2.5189751902588361E-2</v>
      </c>
      <c r="DL153" s="40">
        <f t="shared" ref="DL153" ca="1" si="738">MAX(0,0.000000000001,DG153*SQRT(DI153))</f>
        <v>0.19338305926412305</v>
      </c>
      <c r="DM153" s="42">
        <f t="shared" ref="DM153" ca="1" si="739">(DJ153+DK153)/DL153</f>
        <v>-5.156378149702106</v>
      </c>
      <c r="DN153" s="42">
        <f t="shared" ref="DN153" ca="1" si="740">DM153-DL153</f>
        <v>-5.3497612089662292</v>
      </c>
      <c r="DO153" s="42">
        <f t="shared" ref="DO153" ca="1" si="741">_xlfn.NORM.DIST(DM153,0,1,TRUE)</f>
        <v>1.2588609527582648E-7</v>
      </c>
      <c r="DP153" s="42">
        <f t="shared" ref="DP153" ca="1" si="742">_xlfn.NORM.DIST(-DM153,0,1,TRUE)</f>
        <v>0.99999987411390467</v>
      </c>
      <c r="DQ153" s="42">
        <f t="shared" ref="DQ153" ca="1" si="743">_xlfn.NORM.DIST(DN153,0,1,TRUE)</f>
        <v>4.4035180162594792E-8</v>
      </c>
      <c r="DR153" s="42">
        <f t="shared" ref="DR153" ca="1" si="744">_xlfn.NORM.DIST(-DN153,0,1,TRUE)</f>
        <v>0.99999995596481983</v>
      </c>
      <c r="DS153" s="42">
        <f t="shared" ref="DS153" ca="1" si="745">EXP(-$E153*DI153)</f>
        <v>0.98162450344672281</v>
      </c>
      <c r="DT153" s="42">
        <f t="shared" ref="DT153" ca="1" si="746">DF153*DS153</f>
        <v>196.32490068934456</v>
      </c>
      <c r="DU153" s="42">
        <f t="shared" ref="DU153" ca="1" si="747">EXP(-$D153*DI153)</f>
        <v>0.98801719747153338</v>
      </c>
      <c r="DV153" s="42">
        <f t="shared" ref="DV153" ca="1" si="748">$A153*DU153</f>
        <v>71.087837358076825</v>
      </c>
      <c r="DW153" s="42">
        <f t="shared" ref="DW153" ca="1" si="749">EXP(-1*POWER(DM153,2)/2)/SQRT(2*PI())</f>
        <v>6.7196717484891666E-7</v>
      </c>
      <c r="DX153" s="42">
        <f t="shared" ref="DX153" si="750">IF($F$16=1,0,IF($F$16=2,$A153,IF($F$16=3,DV153*DO153-DT153*DQ153,DT153*DR153-DV153*DP153)))</f>
        <v>0</v>
      </c>
      <c r="DY153" s="92">
        <f t="shared" ref="DY153" ca="1" si="751">IF($F$16=2,1,IF(OR($F$16=1,DI153&lt;=0),0,IF($F$16=3,DO153*DU153,(DO153-1)*DU153)))</f>
        <v>0</v>
      </c>
      <c r="DZ153" s="42">
        <f t="shared" ref="DZ153" ca="1" si="752">IF(OR($F$16&lt;=2,DI153&lt;=0),0,DW153*DU153/($A153*DL153))</f>
        <v>0</v>
      </c>
      <c r="EA153" s="42">
        <f t="shared" ref="EA153:EA165" ca="1" si="753">IF(OR($F$16&lt;=2,DI153&lt;=0),0,(IF($F$16=3,-1*$E153*DF153*DS153*DQ153+$D153*$A153*DU153*DO153,$E153*DF153*DS153*DR153-$D153*$A153*DU153*DP153)-(DW153*$A153*DG153*DU153/(2*SQRT(DI153))))/365)</f>
        <v>0</v>
      </c>
      <c r="EB153" s="42">
        <f t="shared" ref="EB153" ca="1" si="754">IF(OR($F$16&lt;=2,DI153&lt;=0),0,(DW153*$A153*DU153*SQRT(DI153))/100)</f>
        <v>0</v>
      </c>
      <c r="EC153" s="42">
        <f t="shared" ref="EC153" ca="1" si="755">IF(OR($F$16&lt;=2,DI153&lt;=0),0,IF($F$16=3,DQ153,-1*DR153)*DF153*DI153*DS153/100)</f>
        <v>0</v>
      </c>
      <c r="ED153" s="42">
        <f ca="1">IF($F$16=1,0,IF($M$28=1,DX153-$G$16,OFFSET(DV153,0,$M$28))*IF($M$30=1,SIGN($B$16),$T$16))</f>
        <v>0</v>
      </c>
      <c r="EE153" s="40"/>
      <c r="EF153" s="120">
        <f t="shared" ref="EF153:EF216" ca="1" si="756">OFFSET($A153,0,$M$22-1)</f>
        <v>71.95</v>
      </c>
      <c r="EG153" s="42">
        <f t="shared" ref="EG153:EG165" ca="1" si="757">AD153+BD153+CD153+DD153+ED153</f>
        <v>-12.582039632560281</v>
      </c>
      <c r="EH153" s="36">
        <f t="shared" ref="EH153:EH165" ca="1" si="758">IF($M$26=1,EG153,OFFSET($AD153,0,$M$26*26-52))</f>
        <v>-12.582039632560281</v>
      </c>
      <c r="EI153" s="143">
        <f ca="1">ROUND(EH153,EI$49)</f>
        <v>-12.582000000000001</v>
      </c>
      <c r="EJ153" s="88"/>
      <c r="EK153" s="153">
        <f ca="1">IF(EI153=$G$152,1,0)</f>
        <v>0</v>
      </c>
      <c r="EL153" s="88"/>
    </row>
    <row r="154" spans="1:144" x14ac:dyDescent="0.3">
      <c r="A154" s="128">
        <f ca="1">IF(AND($M$22=1,ISNUMBER($B$152)),$F$152,A$48)</f>
        <v>72</v>
      </c>
      <c r="B154" s="127">
        <f ca="1">IF(AND($M$22=2,ISNUMBER($B$152)),$F$152,B$48)</f>
        <v>0.28399999999999997</v>
      </c>
      <c r="C154" s="141">
        <f ca="1">IF(AND($M$22=3,ISNUMBER($B$152)),$F$152,C$48)</f>
        <v>45295.440972222219</v>
      </c>
      <c r="D154" s="127">
        <f ca="1">IF(AND($M$22=4,ISNUMBER($B$152)),$F$152,D$48)</f>
        <v>2.5999999999999999E-2</v>
      </c>
      <c r="E154" s="127">
        <f ca="1">IF(AND($M$22=5,ISNUMBER($B$152)),$F$152,E$48)</f>
        <v>0.04</v>
      </c>
      <c r="F154" s="36">
        <f t="shared" si="641"/>
        <v>75</v>
      </c>
      <c r="G154" s="35">
        <f t="shared" si="642"/>
        <v>0.28399999999999997</v>
      </c>
      <c r="H154" s="197">
        <f t="shared" ca="1" si="625"/>
        <v>169.23611111111677</v>
      </c>
      <c r="I154" s="41">
        <f t="shared" ca="1" si="643"/>
        <v>0.46366057838662128</v>
      </c>
      <c r="J154" s="40">
        <f t="shared" ref="J154:J155" ca="1" si="759">LN($A154/F154)</f>
        <v>-4.0821994520255166E-2</v>
      </c>
      <c r="K154" s="40">
        <f t="shared" ref="K154:K155" ca="1" si="760">($E154-$D154+POWER(G154,2)/2)*I154</f>
        <v>2.5189751902588361E-2</v>
      </c>
      <c r="L154" s="40">
        <f t="shared" ref="L154:L155" ca="1" si="761">MAX(0,0.000000000001,G154*SQRT(I154))</f>
        <v>0.19338305926412305</v>
      </c>
      <c r="M154" s="42">
        <f t="shared" ref="M154:M155" ca="1" si="762">(J154+K154)/L154</f>
        <v>-8.0835636157333968E-2</v>
      </c>
      <c r="N154" s="42">
        <f t="shared" ref="N154:N155" ca="1" si="763">M154-L154</f>
        <v>-0.27421869542145705</v>
      </c>
      <c r="O154" s="42">
        <f t="shared" ref="O154:O155" ca="1" si="764">_xlfn.NORM.DIST(M154,0,1,TRUE)</f>
        <v>0.46778633361856786</v>
      </c>
      <c r="P154" s="42">
        <f t="shared" ref="P154:P155" ca="1" si="765">_xlfn.NORM.DIST(-M154,0,1,TRUE)</f>
        <v>0.53221366638143208</v>
      </c>
      <c r="Q154" s="42">
        <f t="shared" ref="Q154:Q155" ca="1" si="766">_xlfn.NORM.DIST(N154,0,1,TRUE)</f>
        <v>0.3919582808614247</v>
      </c>
      <c r="R154" s="42">
        <f t="shared" ref="R154:R155" ca="1" si="767">_xlfn.NORM.DIST(-N154,0,1,TRUE)</f>
        <v>0.6080417191385753</v>
      </c>
      <c r="S154" s="42">
        <f t="shared" ref="S154:S155" ca="1" si="768">EXP(-$E154*I154)</f>
        <v>0.98162450344672281</v>
      </c>
      <c r="T154" s="42">
        <f t="shared" ref="T154:T155" ca="1" si="769">F154*S154</f>
        <v>73.621837758504213</v>
      </c>
      <c r="U154" s="42">
        <f t="shared" ref="U154:U155" ca="1" si="770">EXP(-$D154*I154)</f>
        <v>0.98801719747153338</v>
      </c>
      <c r="V154" s="42">
        <f t="shared" ref="V154:V155" ca="1" si="771">$A154*U154</f>
        <v>71.137238217950397</v>
      </c>
      <c r="W154" s="42">
        <f t="shared" ref="W154:W155" ca="1" si="772">EXP(-1*POWER(M154,2)/2)/SQRT(2*PI())</f>
        <v>0.39764098312517415</v>
      </c>
      <c r="X154" s="42">
        <f t="shared" ref="X154:X155" ca="1" si="773">IF($F$8=1,0,IF($F$8=2,$A154,IF($F$8=3,V154*O154-T154*Q154,T154*R154-V154*P154)))</f>
        <v>6.9049384285974611</v>
      </c>
      <c r="Y154" s="42">
        <f t="shared" ref="Y154:Y155" ca="1" si="774">IF($F$8=2,1,IF(OR($F$8=1,I154&lt;=0),0,IF($F$8=3,O154*U154,(O154-1)*U154)))</f>
        <v>-0.52583625511423215</v>
      </c>
      <c r="Z154" s="42">
        <f t="shared" ref="Z154:Z155" ca="1" si="775">IF(OR($F$8&lt;=2,I154&lt;=0),0,W154*U154/($A154*L154))</f>
        <v>2.8216602498269214E-2</v>
      </c>
      <c r="AA154" s="42">
        <f t="shared" ca="1" si="661"/>
        <v>-1.3952691419816974E-2</v>
      </c>
      <c r="AB154" s="42">
        <f t="shared" ref="AB154:AB155" ca="1" si="776">IF(OR($F$8&lt;=2,I154&lt;=0),0,(W154*$A154*U154*SQRT(I154))/100)</f>
        <v>0.19261416646230672</v>
      </c>
      <c r="AC154" s="42">
        <f t="shared" ref="AC154:AC155" ca="1" si="777">IF(OR($F$8&lt;=2,I154&lt;=0),0,IF($F$8=3,Q154,-1*R154)*F154*I154*S154/100)</f>
        <v>-0.20755834782697732</v>
      </c>
      <c r="AD154" s="42">
        <f ca="1">IF($F$8=1,0,IF($M$28=1,X154-$G$8,OFFSET(V154,0,$M$28))*IF($M$30=1,SIGN($B$8),$T$8))</f>
        <v>1652.4692142987305</v>
      </c>
      <c r="AF154" s="36">
        <f t="shared" si="664"/>
        <v>80</v>
      </c>
      <c r="AG154" s="35">
        <f t="shared" si="665"/>
        <v>0.28399999999999997</v>
      </c>
      <c r="AH154" s="197">
        <f t="shared" ca="1" si="626"/>
        <v>169.23611111111677</v>
      </c>
      <c r="AI154" s="41">
        <f t="shared" ca="1" si="666"/>
        <v>0.46366057838662128</v>
      </c>
      <c r="AJ154" s="40">
        <f t="shared" ref="AJ154:AJ155" ca="1" si="778">LN($A154/AF154)</f>
        <v>-0.10536051565782628</v>
      </c>
      <c r="AK154" s="40">
        <f t="shared" ref="AK154:AK155" ca="1" si="779">($E154-$D154+POWER(AG154,2)/2)*AI154</f>
        <v>2.5189751902588361E-2</v>
      </c>
      <c r="AL154" s="40">
        <f t="shared" ref="AL154:AL155" ca="1" si="780">MAX(0,0.000000000001,AG154*SQRT(AI154))</f>
        <v>0.19338305926412305</v>
      </c>
      <c r="AM154" s="42">
        <f t="shared" ref="AM154:AM155" ca="1" si="781">(AJ154+AK154)/AL154</f>
        <v>-0.41456973563408411</v>
      </c>
      <c r="AN154" s="42">
        <f t="shared" ref="AN154:AN155" ca="1" si="782">AM154-AL154</f>
        <v>-0.60795279489820719</v>
      </c>
      <c r="AO154" s="42">
        <f t="shared" ref="AO154:AO155" ca="1" si="783">_xlfn.NORM.DIST(AM154,0,1,TRUE)</f>
        <v>0.33922845354367981</v>
      </c>
      <c r="AP154" s="42">
        <f t="shared" ref="AP154:AP155" ca="1" si="784">_xlfn.NORM.DIST(-AM154,0,1,TRUE)</f>
        <v>0.66077154645632019</v>
      </c>
      <c r="AQ154" s="42">
        <f t="shared" ref="AQ154:AQ155" ca="1" si="785">_xlfn.NORM.DIST(AN154,0,1,TRUE)</f>
        <v>0.27160939125004235</v>
      </c>
      <c r="AR154" s="42">
        <f t="shared" ref="AR154:AR155" ca="1" si="786">_xlfn.NORM.DIST(-AN154,0,1,TRUE)</f>
        <v>0.72839060874995765</v>
      </c>
      <c r="AS154" s="42">
        <f t="shared" ref="AS154:AS155" ca="1" si="787">EXP(-$E154*AI154)</f>
        <v>0.98162450344672281</v>
      </c>
      <c r="AT154" s="42">
        <f t="shared" ref="AT154:AT155" ca="1" si="788">AF154*AS154</f>
        <v>78.529960275737821</v>
      </c>
      <c r="AU154" s="42">
        <f t="shared" ref="AU154:AU155" ca="1" si="789">EXP(-$D154*AI154)</f>
        <v>0.98801719747153338</v>
      </c>
      <c r="AV154" s="42">
        <f t="shared" ref="AV154:AV155" ca="1" si="790">$A154*AU154</f>
        <v>71.137238217950397</v>
      </c>
      <c r="AW154" s="42">
        <f t="shared" ref="AW154:AW155" ca="1" si="791">EXP(-1*POWER(AM154,2)/2)/SQRT(2*PI())</f>
        <v>0.36609128428761523</v>
      </c>
      <c r="AX154" s="42">
        <f t="shared" ref="AX154:AX155" ca="1" si="792">IF($F$10=1,0,IF($F$10=2,$A154,IF($F$10=3,AV154*AO154-AT154*AQ154,AT154*AR154-AV154*AP154)))</f>
        <v>10.19502266244794</v>
      </c>
      <c r="AY154" s="42">
        <f t="shared" ref="AY154:AY155" ca="1" si="793">IF($F$10=2,1,IF(OR($F$10=1,AI154&lt;=0),0,IF($F$10=3,AO154*AU154,(AO154-1)*AU154)))</f>
        <v>-0.65285365149870456</v>
      </c>
      <c r="AZ154" s="42">
        <f t="shared" ref="AZ154:AZ155" ca="1" si="794">IF(OR($F$10&lt;=2,AI154&lt;=0),0,AW154*AU154/($A154*AL154))</f>
        <v>2.5977836000804666E-2</v>
      </c>
      <c r="BA154" s="42">
        <f t="shared" ca="1" si="684"/>
        <v>-1.1959063428268173E-2</v>
      </c>
      <c r="BB154" s="42">
        <f t="shared" ref="BB154:BB155" ca="1" si="795">IF(OR($F$10&lt;=2,AI154&lt;=0),0,(AW154*$A154*AU154*SQRT(AI154))/100)</f>
        <v>0.17733174035025714</v>
      </c>
      <c r="BC154" s="42">
        <f t="shared" ref="BC154:BC155" ca="1" si="796">IF(OR($F$10&lt;=2,AI154&lt;=0),0,IF($F$10=3,AQ154,-1*AR154)*AF154*AI154*AS154/100)</f>
        <v>-0.26521610223546227</v>
      </c>
      <c r="BD154" s="42">
        <f ca="1">IF($F$10=1,0,IF($M$28=1,AX154-$G$10,OFFSET(AV154,0,$M$28))*IF($M$30=1,SIGN($B$10),$T$10))</f>
        <v>-2272.5113312239696</v>
      </c>
      <c r="BE154" s="40"/>
      <c r="BF154" s="36">
        <f t="shared" si="687"/>
        <v>90</v>
      </c>
      <c r="BG154" s="35">
        <f t="shared" si="688"/>
        <v>0.28399999999999997</v>
      </c>
      <c r="BH154" s="197">
        <f t="shared" ca="1" si="627"/>
        <v>169.23611111111677</v>
      </c>
      <c r="BI154" s="41">
        <f t="shared" ca="1" si="689"/>
        <v>0.46366057838662128</v>
      </c>
      <c r="BJ154" s="40">
        <f t="shared" ref="BJ154:BJ155" ca="1" si="797">LN($A154/BF154)</f>
        <v>-0.22314355131420971</v>
      </c>
      <c r="BK154" s="40">
        <f t="shared" ref="BK154:BK155" ca="1" si="798">($E154-$D154+POWER(BG154,2)/2)*BI154</f>
        <v>2.5189751902588361E-2</v>
      </c>
      <c r="BL154" s="40">
        <f t="shared" ref="BL154:BL155" ca="1" si="799">MAX(0,0.000000000001,BG154*SQRT(BI154))</f>
        <v>0.19338305926412305</v>
      </c>
      <c r="BM154" s="42">
        <f t="shared" ref="BM154:BM155" ca="1" si="800">(BJ154+BK154)/BL154</f>
        <v>-1.0236356802136197</v>
      </c>
      <c r="BN154" s="42">
        <f t="shared" ref="BN154:BN155" ca="1" si="801">BM154-BL154</f>
        <v>-1.2170187394777428</v>
      </c>
      <c r="BO154" s="42">
        <f t="shared" ref="BO154:BO155" ca="1" si="802">_xlfn.NORM.DIST(BM154,0,1,TRUE)</f>
        <v>0.1530036929163871</v>
      </c>
      <c r="BP154" s="42">
        <f t="shared" ref="BP154:BP155" ca="1" si="803">_xlfn.NORM.DIST(-BM154,0,1,TRUE)</f>
        <v>0.84699630708361284</v>
      </c>
      <c r="BQ154" s="42">
        <f t="shared" ref="BQ154:BQ155" ca="1" si="804">_xlfn.NORM.DIST(BN154,0,1,TRUE)</f>
        <v>0.11179854302242623</v>
      </c>
      <c r="BR154" s="42">
        <f t="shared" ref="BR154:BR155" ca="1" si="805">_xlfn.NORM.DIST(-BN154,0,1,TRUE)</f>
        <v>0.8882014569775738</v>
      </c>
      <c r="BS154" s="42">
        <f t="shared" ref="BS154:BS155" ca="1" si="806">EXP(-$E154*BI154)</f>
        <v>0.98162450344672281</v>
      </c>
      <c r="BT154" s="42">
        <f t="shared" ref="BT154:BT155" ca="1" si="807">BF154*BS154</f>
        <v>88.34620531020505</v>
      </c>
      <c r="BU154" s="42">
        <f t="shared" ref="BU154:BU155" ca="1" si="808">EXP(-$D154*BI154)</f>
        <v>0.98801719747153338</v>
      </c>
      <c r="BV154" s="42">
        <f t="shared" ref="BV154:BV155" ca="1" si="809">$A154*BU154</f>
        <v>71.137238217950397</v>
      </c>
      <c r="BW154" s="42">
        <f t="shared" ref="BW154:BW155" ca="1" si="810">EXP(-1*POWER(BM154,2)/2)/SQRT(2*PI())</f>
        <v>0.23625264046297795</v>
      </c>
      <c r="BX154" s="42">
        <f t="shared" ref="BX154:BX155" ca="1" si="811">IF($F$12=1,0,IF($F$12=2,$A154,IF($F$12=3,BV154*BO154-BT154*BQ154,BT154*BR154-BV154*BP154)))</f>
        <v>1.0072831159780993</v>
      </c>
      <c r="BY154" s="42">
        <f t="shared" ref="BY154:BY155" ca="1" si="812">IF($F$12=2,1,IF(OR($F$12=1,BI154&lt;=0),0,IF($F$12=3,BO154*BU154,(BO154-1)*BU154)))</f>
        <v>0.15117027987804388</v>
      </c>
      <c r="BZ154" s="42">
        <f t="shared" ref="BZ154:BZ155" ca="1" si="813">IF(OR($F$12&lt;=2,BI154&lt;=0),0,BW154*BU154/($A154*BL154))</f>
        <v>1.6764486378437207E-2</v>
      </c>
      <c r="CA154" s="42">
        <f t="shared" ca="1" si="707"/>
        <v>-9.9092540845294053E-3</v>
      </c>
      <c r="CB154" s="42">
        <f t="shared" ref="CB154:CB155" ca="1" si="814">IF(OR($F$12&lt;=2,BI154&lt;=0),0,(BW154*$A154*BU154*SQRT(BI154))/100)</f>
        <v>0.11443892191306332</v>
      </c>
      <c r="CC154" s="42">
        <f t="shared" ref="CC154:CC155" ca="1" si="815">IF(OR($F$12&lt;=2,BI154&lt;=0),0,IF($F$12=3,BQ154,-1*BR154)*BF154*BI154*BS154/100)</f>
        <v>4.5795648848712449E-2</v>
      </c>
      <c r="CD154" s="42">
        <f ca="1">IF($F$12=1,0,IF($M$28=1,BX154-$G$12,OFFSET(BV154,0,$M$28))*IF($M$30=1,SIGN($B$12),$T$12))</f>
        <v>2896.3584420109501</v>
      </c>
      <c r="CE154" s="40"/>
      <c r="CF154" s="36">
        <f t="shared" si="710"/>
        <v>95</v>
      </c>
      <c r="CG154" s="35">
        <f t="shared" si="711"/>
        <v>0.28399999999999997</v>
      </c>
      <c r="CH154" s="197">
        <f t="shared" ca="1" si="628"/>
        <v>169.23611111111677</v>
      </c>
      <c r="CI154" s="41">
        <f t="shared" ca="1" si="712"/>
        <v>0.46366057838662128</v>
      </c>
      <c r="CJ154" s="40">
        <f t="shared" ref="CJ154:CJ155" ca="1" si="816">LN($A154/CF154)</f>
        <v>-0.27721077258448551</v>
      </c>
      <c r="CK154" s="40">
        <f t="shared" ref="CK154:CK155" ca="1" si="817">($E154-$D154+POWER(CG154,2)/2)*CI154</f>
        <v>2.5189751902588361E-2</v>
      </c>
      <c r="CL154" s="40">
        <f t="shared" ref="CL154:CL155" ca="1" si="818">MAX(0,0.000000000001,CG154*SQRT(CI154))</f>
        <v>0.19338305926412305</v>
      </c>
      <c r="CM154" s="42">
        <f t="shared" ref="CM154:CM155" ca="1" si="819">(CJ154+CK154)/CL154</f>
        <v>-1.303221810849968</v>
      </c>
      <c r="CN154" s="42">
        <f t="shared" ref="CN154:CN155" ca="1" si="820">CM154-CL154</f>
        <v>-1.496604870114091</v>
      </c>
      <c r="CO154" s="42">
        <f t="shared" ref="CO154:CO155" ca="1" si="821">_xlfn.NORM.DIST(CM154,0,1,TRUE)</f>
        <v>9.6249522967180368E-2</v>
      </c>
      <c r="CP154" s="42">
        <f t="shared" ref="CP154:CP155" ca="1" si="822">_xlfn.NORM.DIST(-CM154,0,1,TRUE)</f>
        <v>0.90375047703281963</v>
      </c>
      <c r="CQ154" s="42">
        <f t="shared" ref="CQ154:CQ155" ca="1" si="823">_xlfn.NORM.DIST(CN154,0,1,TRUE)</f>
        <v>6.7248051086782043E-2</v>
      </c>
      <c r="CR154" s="42">
        <f t="shared" ref="CR154:CR155" ca="1" si="824">_xlfn.NORM.DIST(-CN154,0,1,TRUE)</f>
        <v>0.932751948913218</v>
      </c>
      <c r="CS154" s="42">
        <f t="shared" ref="CS154:CS155" ca="1" si="825">EXP(-$E154*CI154)</f>
        <v>0.98162450344672281</v>
      </c>
      <c r="CT154" s="42">
        <f t="shared" ref="CT154:CT155" ca="1" si="826">CF154*CS154</f>
        <v>93.254327827438672</v>
      </c>
      <c r="CU154" s="42">
        <f t="shared" ref="CU154:CU155" ca="1" si="827">EXP(-$D154*CI154)</f>
        <v>0.98801719747153338</v>
      </c>
      <c r="CV154" s="42">
        <f t="shared" ref="CV154:CV155" ca="1" si="828">$A154*CU154</f>
        <v>71.137238217950397</v>
      </c>
      <c r="CW154" s="42">
        <f t="shared" ref="CW154:CW155" ca="1" si="829">EXP(-1*POWER(CM154,2)/2)/SQRT(2*PI())</f>
        <v>0.17065145501711593</v>
      </c>
      <c r="CX154" s="42">
        <f t="shared" ref="CX154:CX155" ca="1" si="830">IF($F$14=1,0,IF($F$14=2,$A154,IF($F$14=3,CV154*CO154-CT154*CQ154,CT154*CR154-CV154*CP154)))</f>
        <v>0.57575344187728117</v>
      </c>
      <c r="CY154" s="42">
        <f t="shared" ref="CY154:CY155" ca="1" si="831">IF($F$14=2,1,IF(OR($F$14=1,CI154&lt;=0),0,IF($F$14=3,CO154*CU154,(CO154-1)*CU154)))</f>
        <v>9.5096183940005533E-2</v>
      </c>
      <c r="CZ154" s="42">
        <f t="shared" ref="CZ154:CZ155" ca="1" si="832">IF(OR($F$14&lt;=2,CI154&lt;=0),0,CW154*CU154/($A154*CL154))</f>
        <v>1.2109426533767126E-2</v>
      </c>
      <c r="DA154" s="42">
        <f t="shared" ca="1" si="730"/>
        <v>-7.135418601106655E-3</v>
      </c>
      <c r="DB154" s="42">
        <f t="shared" ref="DB154:DB155" ca="1" si="833">IF(OR($F$14&lt;=2,CI154&lt;=0),0,(CW154*$A154*CU154*SQRT(CI154))/100)</f>
        <v>8.2662223358789061E-2</v>
      </c>
      <c r="DC154" s="42">
        <f t="shared" ref="DC154:DC155" ca="1" si="834">IF(OR($F$14&lt;=2,CI154&lt;=0),0,IF($F$14=3,CQ154,-1*CR154)*CF154*CI154*CS154/100)</f>
        <v>2.9076951447859028E-2</v>
      </c>
      <c r="DD154" s="42">
        <f ca="1">IF($F$14=1,0,IF($M$28=1,CX154-$G$14,OFFSET(CV154,0,$M$28))*IF($M$30=1,SIGN($B$14),$T$14))</f>
        <v>-2287.1232790613594</v>
      </c>
      <c r="DE154" s="40"/>
      <c r="DF154" s="36">
        <f t="shared" si="733"/>
        <v>200</v>
      </c>
      <c r="DG154" s="35">
        <f t="shared" si="734"/>
        <v>0.28399999999999997</v>
      </c>
      <c r="DH154" s="197">
        <f t="shared" ca="1" si="629"/>
        <v>169.23611111111677</v>
      </c>
      <c r="DI154" s="41">
        <f t="shared" ca="1" si="735"/>
        <v>0.46366057838662128</v>
      </c>
      <c r="DJ154" s="40">
        <f t="shared" ref="DJ154:DJ155" ca="1" si="835">LN($A154/DF154)</f>
        <v>-1.0216512475319814</v>
      </c>
      <c r="DK154" s="40">
        <f t="shared" ref="DK154:DK155" ca="1" si="836">($E154-$D154+POWER(DG154,2)/2)*DI154</f>
        <v>2.5189751902588361E-2</v>
      </c>
      <c r="DL154" s="40">
        <f t="shared" ref="DL154:DL155" ca="1" si="837">MAX(0,0.000000000001,DG154*SQRT(DI154))</f>
        <v>0.19338305926412305</v>
      </c>
      <c r="DM154" s="42">
        <f t="shared" ref="DM154:DM155" ca="1" si="838">(DJ154+DK154)/DL154</f>
        <v>-5.1527858718401163</v>
      </c>
      <c r="DN154" s="42">
        <f t="shared" ref="DN154:DN155" ca="1" si="839">DM154-DL154</f>
        <v>-5.3461689311042395</v>
      </c>
      <c r="DO154" s="42">
        <f t="shared" ref="DO154:DO155" ca="1" si="840">_xlfn.NORM.DIST(DM154,0,1,TRUE)</f>
        <v>1.2832247793739414E-7</v>
      </c>
      <c r="DP154" s="42">
        <f t="shared" ref="DP154:DP155" ca="1" si="841">_xlfn.NORM.DIST(-DM154,0,1,TRUE)</f>
        <v>0.99999987167752202</v>
      </c>
      <c r="DQ154" s="42">
        <f t="shared" ref="DQ154:DQ155" ca="1" si="842">_xlfn.NORM.DIST(DN154,0,1,TRUE)</f>
        <v>4.4917684278125502E-8</v>
      </c>
      <c r="DR154" s="42">
        <f t="shared" ref="DR154:DR155" ca="1" si="843">_xlfn.NORM.DIST(-DN154,0,1,TRUE)</f>
        <v>0.99999995508231576</v>
      </c>
      <c r="DS154" s="42">
        <f t="shared" ref="DS154:DS155" ca="1" si="844">EXP(-$E154*DI154)</f>
        <v>0.98162450344672281</v>
      </c>
      <c r="DT154" s="42">
        <f t="shared" ref="DT154:DT155" ca="1" si="845">DF154*DS154</f>
        <v>196.32490068934456</v>
      </c>
      <c r="DU154" s="42">
        <f t="shared" ref="DU154:DU155" ca="1" si="846">EXP(-$D154*DI154)</f>
        <v>0.98801719747153338</v>
      </c>
      <c r="DV154" s="42">
        <f t="shared" ref="DV154:DV155" ca="1" si="847">$A154*DU154</f>
        <v>71.137238217950397</v>
      </c>
      <c r="DW154" s="42">
        <f t="shared" ref="DW154:DW155" ca="1" si="848">EXP(-1*POWER(DM154,2)/2)/SQRT(2*PI())</f>
        <v>6.8452569558257783E-7</v>
      </c>
      <c r="DX154" s="42">
        <f t="shared" ref="DX154:DX155" si="849">IF($F$16=1,0,IF($F$16=2,$A154,IF($F$16=3,DV154*DO154-DT154*DQ154,DT154*DR154-DV154*DP154)))</f>
        <v>0</v>
      </c>
      <c r="DY154" s="92">
        <f t="shared" ref="DY154:DY155" ca="1" si="850">IF($F$16=2,1,IF(OR($F$16=1,DI154&lt;=0),0,IF($F$16=3,DO154*DU154,(DO154-1)*DU154)))</f>
        <v>0</v>
      </c>
      <c r="DZ154" s="42">
        <f t="shared" ref="DZ154:DZ155" ca="1" si="851">IF(OR($F$16&lt;=2,DI154&lt;=0),0,DW154*DU154/($A154*DL154))</f>
        <v>0</v>
      </c>
      <c r="EA154" s="42">
        <f t="shared" ca="1" si="753"/>
        <v>0</v>
      </c>
      <c r="EB154" s="42">
        <f t="shared" ref="EB154:EB155" ca="1" si="852">IF(OR($F$16&lt;=2,DI154&lt;=0),0,(DW154*$A154*DU154*SQRT(DI154))/100)</f>
        <v>0</v>
      </c>
      <c r="EC154" s="42">
        <f t="shared" ref="EC154:EC155" ca="1" si="853">IF(OR($F$16&lt;=2,DI154&lt;=0),0,IF($F$16=3,DQ154,-1*DR154)*DF154*DI154*DS154/100)</f>
        <v>0</v>
      </c>
      <c r="ED154" s="42">
        <f ca="1">IF($F$16=1,0,IF($M$28=1,DX154-$G$16,OFFSET(DV154,0,$M$28))*IF($M$30=1,SIGN($B$16),$T$16))</f>
        <v>0</v>
      </c>
      <c r="EE154" s="40"/>
      <c r="EF154" s="120">
        <f t="shared" ca="1" si="756"/>
        <v>72</v>
      </c>
      <c r="EG154" s="42">
        <f t="shared" ca="1" si="757"/>
        <v>-10.806953975648412</v>
      </c>
      <c r="EH154" s="36">
        <f t="shared" ca="1" si="758"/>
        <v>-10.806953975648412</v>
      </c>
      <c r="EI154" s="143">
        <f t="shared" ref="EI154:EI165" ca="1" si="854">ROUND(EH154,EI$49)</f>
        <v>-10.807</v>
      </c>
      <c r="EJ154" s="143">
        <f ca="1">EI154-EI153</f>
        <v>1.7750000000000004</v>
      </c>
      <c r="EK154" s="153">
        <f t="shared" ref="EK154:EK165" ca="1" si="855">IF(EI154=$G$152,1,0)</f>
        <v>0</v>
      </c>
      <c r="EL154" s="143">
        <f t="shared" ref="EL154:EL165" ca="1" si="856">IF(EI153=0,IF(EI154&lt;&gt;0,2,0),IF(EI154=0,IF(EI153&lt;&gt;0,1,0),IF(SIGN(EI154)=-SIGN(EI153),2,0)))</f>
        <v>0</v>
      </c>
    </row>
    <row r="155" spans="1:144" x14ac:dyDescent="0.3">
      <c r="A155" s="143">
        <f t="shared" ref="A155:A165" ca="1" si="857">IF(AND($M$22=1,ISNUMBER($B$152)),A154+$EF$48,A$48)</f>
        <v>72.05</v>
      </c>
      <c r="B155" s="144">
        <f t="shared" ref="B155:B165" ca="1" si="858">IF(AND($M$22=2,ISNUMBER($B$152)),B154+$EF$48,B$48)</f>
        <v>0.28399999999999997</v>
      </c>
      <c r="C155" s="145">
        <f t="shared" ref="C155:C165" ca="1" si="859">IF(AND($M$22=3,ISNUMBER($B$152)),C154+$EF$48,C$48)</f>
        <v>45295.440972222219</v>
      </c>
      <c r="D155" s="144">
        <f t="shared" ref="D155:D165" ca="1" si="860">IF(AND($M$22=4,ISNUMBER($B$152)),D154+$EF$48,D$48)</f>
        <v>2.5999999999999999E-2</v>
      </c>
      <c r="E155" s="144">
        <f t="shared" ref="E155:E165" ca="1" si="861">IF(AND($M$22=5,ISNUMBER($B$152)),E154+$EF$48,E$48)</f>
        <v>0.04</v>
      </c>
      <c r="F155" s="36">
        <f t="shared" si="641"/>
        <v>75</v>
      </c>
      <c r="G155" s="35">
        <f t="shared" si="642"/>
        <v>0.28399999999999997</v>
      </c>
      <c r="H155" s="197">
        <f t="shared" ca="1" si="625"/>
        <v>169.23611111111677</v>
      </c>
      <c r="I155" s="41">
        <f t="shared" ca="1" si="643"/>
        <v>0.46366057838662128</v>
      </c>
      <c r="J155" s="40">
        <f t="shared" ca="1" si="759"/>
        <v>-4.0127791090779345E-2</v>
      </c>
      <c r="K155" s="40">
        <f t="shared" ca="1" si="760"/>
        <v>2.5189751902588361E-2</v>
      </c>
      <c r="L155" s="40">
        <f t="shared" ca="1" si="761"/>
        <v>0.19338305926412305</v>
      </c>
      <c r="M155" s="42">
        <f t="shared" ca="1" si="762"/>
        <v>-7.7245852067055018E-2</v>
      </c>
      <c r="N155" s="42">
        <f t="shared" ca="1" si="763"/>
        <v>-0.27062891133117806</v>
      </c>
      <c r="O155" s="42">
        <f t="shared" ca="1" si="764"/>
        <v>0.46921398295680472</v>
      </c>
      <c r="P155" s="42">
        <f t="shared" ca="1" si="765"/>
        <v>0.53078601704319528</v>
      </c>
      <c r="Q155" s="42">
        <f t="shared" ca="1" si="766"/>
        <v>0.39333822865000279</v>
      </c>
      <c r="R155" s="42">
        <f t="shared" ca="1" si="767"/>
        <v>0.60666177134999721</v>
      </c>
      <c r="S155" s="42">
        <f t="shared" ca="1" si="768"/>
        <v>0.98162450344672281</v>
      </c>
      <c r="T155" s="42">
        <f t="shared" ca="1" si="769"/>
        <v>73.621837758504213</v>
      </c>
      <c r="U155" s="42">
        <f t="shared" ca="1" si="770"/>
        <v>0.98801719747153338</v>
      </c>
      <c r="V155" s="42">
        <f t="shared" ca="1" si="771"/>
        <v>71.186639077823983</v>
      </c>
      <c r="W155" s="42">
        <f t="shared" ca="1" si="772"/>
        <v>0.39775382547002058</v>
      </c>
      <c r="X155" s="42">
        <f t="shared" ca="1" si="773"/>
        <v>6.8786818818065996</v>
      </c>
      <c r="Y155" s="42">
        <f t="shared" ca="1" si="774"/>
        <v>-0.52442571301609531</v>
      </c>
      <c r="Z155" s="42">
        <f t="shared" ca="1" si="775"/>
        <v>2.8205022969080923E-2</v>
      </c>
      <c r="AA155" s="42">
        <f t="shared" ca="1" si="661"/>
        <v>-1.3974271335124099E-2</v>
      </c>
      <c r="AB155" s="42">
        <f t="shared" ca="1" si="776"/>
        <v>0.19280262420323888</v>
      </c>
      <c r="AC155" s="42">
        <f t="shared" ca="1" si="777"/>
        <v>-0.20708729514412766</v>
      </c>
      <c r="AD155" s="42">
        <f ca="1">IF($F$8=1,0,IF($M$28=1,X155-$G$8,OFFSET(V155,0,$M$28))*IF($M$30=1,SIGN($B$8),$T$8))</f>
        <v>1639.3409409032997</v>
      </c>
      <c r="AF155" s="36">
        <f t="shared" si="664"/>
        <v>80</v>
      </c>
      <c r="AG155" s="35">
        <f t="shared" si="665"/>
        <v>0.28399999999999997</v>
      </c>
      <c r="AH155" s="197">
        <f t="shared" ca="1" si="626"/>
        <v>169.23611111111677</v>
      </c>
      <c r="AI155" s="41">
        <f t="shared" ca="1" si="666"/>
        <v>0.46366057838662128</v>
      </c>
      <c r="AJ155" s="40">
        <f t="shared" ca="1" si="778"/>
        <v>-0.1046663122283505</v>
      </c>
      <c r="AK155" s="40">
        <f t="shared" ca="1" si="779"/>
        <v>2.5189751902588361E-2</v>
      </c>
      <c r="AL155" s="40">
        <f t="shared" ca="1" si="780"/>
        <v>0.19338305926412305</v>
      </c>
      <c r="AM155" s="42">
        <f t="shared" ca="1" si="781"/>
        <v>-0.4109799515438054</v>
      </c>
      <c r="AN155" s="42">
        <f t="shared" ca="1" si="782"/>
        <v>-0.60436301080792842</v>
      </c>
      <c r="AO155" s="42">
        <f t="shared" ca="1" si="783"/>
        <v>0.34054361776938413</v>
      </c>
      <c r="AP155" s="42">
        <f t="shared" ca="1" si="784"/>
        <v>0.65945638223061587</v>
      </c>
      <c r="AQ155" s="42">
        <f t="shared" ca="1" si="785"/>
        <v>0.27280116111566932</v>
      </c>
      <c r="AR155" s="42">
        <f t="shared" ca="1" si="786"/>
        <v>0.72719883888433068</v>
      </c>
      <c r="AS155" s="42">
        <f t="shared" ca="1" si="787"/>
        <v>0.98162450344672281</v>
      </c>
      <c r="AT155" s="42">
        <f t="shared" ca="1" si="788"/>
        <v>78.529960275737821</v>
      </c>
      <c r="AU155" s="42">
        <f t="shared" ca="1" si="789"/>
        <v>0.98801719747153338</v>
      </c>
      <c r="AV155" s="42">
        <f t="shared" ca="1" si="790"/>
        <v>71.186639077823983</v>
      </c>
      <c r="AW155" s="42">
        <f t="shared" ca="1" si="791"/>
        <v>0.36663415041220115</v>
      </c>
      <c r="AX155" s="42">
        <f t="shared" ca="1" si="792"/>
        <v>10.162412460730771</v>
      </c>
      <c r="AY155" s="42">
        <f t="shared" ca="1" si="793"/>
        <v>-0.65155424662620942</v>
      </c>
      <c r="AZ155" s="42">
        <f t="shared" ca="1" si="794"/>
        <v>2.59983034013711E-2</v>
      </c>
      <c r="BA155" s="42">
        <f t="shared" ca="1" si="684"/>
        <v>-1.1997388283874538E-2</v>
      </c>
      <c r="BB155" s="42">
        <f t="shared" ca="1" si="795"/>
        <v>0.17771803008674084</v>
      </c>
      <c r="BC155" s="42">
        <f t="shared" ca="1" si="796"/>
        <v>-0.26478216396837545</v>
      </c>
      <c r="BD155" s="42">
        <f ca="1">IF($F$10=1,0,IF($M$28=1,AX155-$G$10,OFFSET(AV155,0,$M$28))*IF($M$30=1,SIGN($B$10),$T$10))</f>
        <v>-2256.2062303653852</v>
      </c>
      <c r="BE155" s="40"/>
      <c r="BF155" s="36">
        <f t="shared" si="687"/>
        <v>90</v>
      </c>
      <c r="BG155" s="35">
        <f t="shared" si="688"/>
        <v>0.28399999999999997</v>
      </c>
      <c r="BH155" s="197">
        <f t="shared" ca="1" si="627"/>
        <v>169.23611111111677</v>
      </c>
      <c r="BI155" s="41">
        <f t="shared" ca="1" si="689"/>
        <v>0.46366057838662128</v>
      </c>
      <c r="BJ155" s="40">
        <f t="shared" ca="1" si="797"/>
        <v>-0.22244934788473394</v>
      </c>
      <c r="BK155" s="40">
        <f t="shared" ca="1" si="798"/>
        <v>2.5189751902588361E-2</v>
      </c>
      <c r="BL155" s="40">
        <f t="shared" ca="1" si="799"/>
        <v>0.19338305926412305</v>
      </c>
      <c r="BM155" s="42">
        <f t="shared" ca="1" si="800"/>
        <v>-1.0200458961233412</v>
      </c>
      <c r="BN155" s="42">
        <f t="shared" ca="1" si="801"/>
        <v>-1.2134289553874642</v>
      </c>
      <c r="BO155" s="42">
        <f t="shared" ca="1" si="802"/>
        <v>0.15385334719016552</v>
      </c>
      <c r="BP155" s="42">
        <f t="shared" ca="1" si="803"/>
        <v>0.84614665280983448</v>
      </c>
      <c r="BQ155" s="42">
        <f t="shared" ca="1" si="804"/>
        <v>0.11248293071618898</v>
      </c>
      <c r="BR155" s="42">
        <f t="shared" ca="1" si="805"/>
        <v>0.88751706928381102</v>
      </c>
      <c r="BS155" s="42">
        <f t="shared" ca="1" si="806"/>
        <v>0.98162450344672281</v>
      </c>
      <c r="BT155" s="42">
        <f t="shared" ca="1" si="807"/>
        <v>88.34620531020505</v>
      </c>
      <c r="BU155" s="42">
        <f t="shared" ca="1" si="808"/>
        <v>0.98801719747153338</v>
      </c>
      <c r="BV155" s="42">
        <f t="shared" ca="1" si="809"/>
        <v>71.186639077823983</v>
      </c>
      <c r="BW155" s="42">
        <f t="shared" ca="1" si="810"/>
        <v>0.23712085092341292</v>
      </c>
      <c r="BX155" s="42">
        <f t="shared" ca="1" si="811"/>
        <v>1.0148626063954556</v>
      </c>
      <c r="BY155" s="42">
        <f t="shared" ca="1" si="812"/>
        <v>0.15200975291244215</v>
      </c>
      <c r="BZ155" s="42">
        <f t="shared" ca="1" si="813"/>
        <v>1.6814417909971707E-2</v>
      </c>
      <c r="CA155" s="42">
        <f t="shared" ca="1" si="707"/>
        <v>-9.9530131971445803E-3</v>
      </c>
      <c r="CB155" s="42">
        <f t="shared" ca="1" si="814"/>
        <v>0.11493923976046037</v>
      </c>
      <c r="CC155" s="42">
        <f t="shared" ca="1" si="815"/>
        <v>4.6075992202504211E-2</v>
      </c>
      <c r="CD155" s="42">
        <f ca="1">IF($F$12=1,0,IF($M$28=1,BX155-$G$12,OFFSET(BV155,0,$M$28))*IF($M$30=1,SIGN($B$12),$T$12))</f>
        <v>2892.5686968022719</v>
      </c>
      <c r="CE155" s="40"/>
      <c r="CF155" s="36">
        <f t="shared" si="710"/>
        <v>95</v>
      </c>
      <c r="CG155" s="35">
        <f t="shared" si="711"/>
        <v>0.28399999999999997</v>
      </c>
      <c r="CH155" s="197">
        <f t="shared" ca="1" si="628"/>
        <v>169.23611111111677</v>
      </c>
      <c r="CI155" s="41">
        <f t="shared" ca="1" si="712"/>
        <v>0.46366057838662128</v>
      </c>
      <c r="CJ155" s="40">
        <f t="shared" ca="1" si="816"/>
        <v>-0.27651656915500983</v>
      </c>
      <c r="CK155" s="40">
        <f t="shared" ca="1" si="817"/>
        <v>2.5189751902588361E-2</v>
      </c>
      <c r="CL155" s="40">
        <f t="shared" ca="1" si="818"/>
        <v>0.19338305926412305</v>
      </c>
      <c r="CM155" s="42">
        <f t="shared" ca="1" si="819"/>
        <v>-1.2996320267596899</v>
      </c>
      <c r="CN155" s="42">
        <f t="shared" ca="1" si="820"/>
        <v>-1.4930150860238129</v>
      </c>
      <c r="CO155" s="42">
        <f t="shared" ca="1" si="821"/>
        <v>9.6863558725324594E-2</v>
      </c>
      <c r="CP155" s="42">
        <f t="shared" ca="1" si="822"/>
        <v>0.90313644127467541</v>
      </c>
      <c r="CQ155" s="42">
        <f t="shared" ca="1" si="823"/>
        <v>6.771661899157988E-2</v>
      </c>
      <c r="CR155" s="42">
        <f t="shared" ca="1" si="824"/>
        <v>0.93228338100842012</v>
      </c>
      <c r="CS155" s="42">
        <f t="shared" ca="1" si="825"/>
        <v>0.98162450344672281</v>
      </c>
      <c r="CT155" s="42">
        <f t="shared" ca="1" si="826"/>
        <v>93.254327827438672</v>
      </c>
      <c r="CU155" s="42">
        <f t="shared" ca="1" si="827"/>
        <v>0.98801719747153338</v>
      </c>
      <c r="CV155" s="42">
        <f t="shared" ca="1" si="828"/>
        <v>71.186639077823983</v>
      </c>
      <c r="CW155" s="42">
        <f t="shared" ca="1" si="829"/>
        <v>0.17145057682371306</v>
      </c>
      <c r="CX155" s="42">
        <f t="shared" ca="1" si="830"/>
        <v>0.58052340796674073</v>
      </c>
      <c r="CY155" s="42">
        <f t="shared" ca="1" si="831"/>
        <v>9.5702861828914507E-2</v>
      </c>
      <c r="CZ155" s="42">
        <f t="shared" ca="1" si="832"/>
        <v>1.2157689373975563E-2</v>
      </c>
      <c r="DA155" s="42">
        <f t="shared" ca="1" si="730"/>
        <v>-7.1740731844255334E-3</v>
      </c>
      <c r="DB155" s="42">
        <f t="shared" ca="1" si="833"/>
        <v>8.3106984813304793E-2</v>
      </c>
      <c r="DC155" s="42">
        <f t="shared" ca="1" si="834"/>
        <v>2.9279552504657677E-2</v>
      </c>
      <c r="DD155" s="42">
        <f ca="1">IF($F$14=1,0,IF($M$28=1,CX155-$G$14,OFFSET(CV155,0,$M$28))*IF($M$30=1,SIGN($B$14),$T$14))</f>
        <v>-2284.7382960166296</v>
      </c>
      <c r="DE155" s="40"/>
      <c r="DF155" s="36">
        <f t="shared" si="733"/>
        <v>200</v>
      </c>
      <c r="DG155" s="35">
        <f t="shared" si="734"/>
        <v>0.28399999999999997</v>
      </c>
      <c r="DH155" s="197">
        <f t="shared" ca="1" si="629"/>
        <v>169.23611111111677</v>
      </c>
      <c r="DI155" s="41">
        <f t="shared" ca="1" si="735"/>
        <v>0.46366057838662128</v>
      </c>
      <c r="DJ155" s="40">
        <f t="shared" ca="1" si="835"/>
        <v>-1.0209570441025058</v>
      </c>
      <c r="DK155" s="40">
        <f t="shared" ca="1" si="836"/>
        <v>2.5189751902588361E-2</v>
      </c>
      <c r="DL155" s="40">
        <f t="shared" ca="1" si="837"/>
        <v>0.19338305926412305</v>
      </c>
      <c r="DM155" s="42">
        <f t="shared" ca="1" si="838"/>
        <v>-5.1491960877498375</v>
      </c>
      <c r="DN155" s="42">
        <f t="shared" ca="1" si="839"/>
        <v>-5.3425791470139607</v>
      </c>
      <c r="DO155" s="42">
        <f t="shared" ca="1" si="840"/>
        <v>1.3080263962825093E-7</v>
      </c>
      <c r="DP155" s="42">
        <f t="shared" ca="1" si="841"/>
        <v>0.99999986919736039</v>
      </c>
      <c r="DQ155" s="42">
        <f t="shared" ca="1" si="842"/>
        <v>4.5816670067338418E-8</v>
      </c>
      <c r="DR155" s="42">
        <f t="shared" ca="1" si="843"/>
        <v>0.99999995418332999</v>
      </c>
      <c r="DS155" s="42">
        <f t="shared" ca="1" si="844"/>
        <v>0.98162450344672281</v>
      </c>
      <c r="DT155" s="42">
        <f t="shared" ca="1" si="845"/>
        <v>196.32490068934456</v>
      </c>
      <c r="DU155" s="42">
        <f t="shared" ca="1" si="846"/>
        <v>0.98801719747153338</v>
      </c>
      <c r="DV155" s="42">
        <f t="shared" ca="1" si="847"/>
        <v>71.186639077823983</v>
      </c>
      <c r="DW155" s="42">
        <f t="shared" ca="1" si="848"/>
        <v>6.9730097236158122E-7</v>
      </c>
      <c r="DX155" s="42">
        <f t="shared" si="849"/>
        <v>0</v>
      </c>
      <c r="DY155" s="92">
        <f t="shared" ca="1" si="850"/>
        <v>0</v>
      </c>
      <c r="DZ155" s="42">
        <f t="shared" ca="1" si="851"/>
        <v>0</v>
      </c>
      <c r="EA155" s="42">
        <f t="shared" ca="1" si="753"/>
        <v>0</v>
      </c>
      <c r="EB155" s="42">
        <f t="shared" ca="1" si="852"/>
        <v>0</v>
      </c>
      <c r="EC155" s="42">
        <f t="shared" ca="1" si="853"/>
        <v>0</v>
      </c>
      <c r="ED155" s="42">
        <f ca="1">IF($F$16=1,0,IF($M$28=1,DX155-$G$16,OFFSET(DV155,0,$M$28))*IF($M$30=1,SIGN($B$16),$T$16))</f>
        <v>0</v>
      </c>
      <c r="EE155" s="40"/>
      <c r="EF155" s="120">
        <f t="shared" ca="1" si="756"/>
        <v>72.05</v>
      </c>
      <c r="EG155" s="42">
        <f t="shared" ca="1" si="757"/>
        <v>-9.0348886764431882</v>
      </c>
      <c r="EH155" s="36">
        <f t="shared" ca="1" si="758"/>
        <v>-9.0348886764431882</v>
      </c>
      <c r="EI155" s="143">
        <f t="shared" ca="1" si="854"/>
        <v>-9.0350000000000001</v>
      </c>
      <c r="EJ155" s="143">
        <f t="shared" ref="EJ155:EJ165" ca="1" si="862">EI155-EI154</f>
        <v>1.7720000000000002</v>
      </c>
      <c r="EK155" s="153">
        <f t="shared" ca="1" si="855"/>
        <v>0</v>
      </c>
      <c r="EL155" s="143">
        <f t="shared" ca="1" si="856"/>
        <v>0</v>
      </c>
    </row>
    <row r="156" spans="1:144" x14ac:dyDescent="0.3">
      <c r="A156" s="143">
        <f t="shared" ca="1" si="857"/>
        <v>72.099999999999994</v>
      </c>
      <c r="B156" s="144">
        <f t="shared" ca="1" si="858"/>
        <v>0.28399999999999997</v>
      </c>
      <c r="C156" s="145">
        <f t="shared" ca="1" si="859"/>
        <v>45295.440972222219</v>
      </c>
      <c r="D156" s="144">
        <f t="shared" ca="1" si="860"/>
        <v>2.5999999999999999E-2</v>
      </c>
      <c r="E156" s="144">
        <f t="shared" ca="1" si="861"/>
        <v>0.04</v>
      </c>
      <c r="F156" s="36">
        <f t="shared" si="641"/>
        <v>75</v>
      </c>
      <c r="G156" s="35">
        <f t="shared" si="642"/>
        <v>0.28399999999999997</v>
      </c>
      <c r="H156" s="197">
        <f t="shared" ca="1" si="625"/>
        <v>169.23611111111677</v>
      </c>
      <c r="I156" s="41">
        <f t="shared" ca="1" si="643"/>
        <v>0.46366057838662128</v>
      </c>
      <c r="J156" s="40">
        <f t="shared" ref="J156:J163" ca="1" si="863">LN($A156/F156)</f>
        <v>-3.943406924540712E-2</v>
      </c>
      <c r="K156" s="40">
        <f t="shared" ref="K156:K163" ca="1" si="864">($E156-$D156+POWER(G156,2)/2)*I156</f>
        <v>2.5189751902588361E-2</v>
      </c>
      <c r="L156" s="40">
        <f t="shared" ref="L156:L163" ca="1" si="865">MAX(0,0.000000000001,G156*SQRT(I156))</f>
        <v>0.19338305926412305</v>
      </c>
      <c r="M156" s="42">
        <f t="shared" ref="M156:M163" ca="1" si="866">(J156+K156)/L156</f>
        <v>-7.3658558288520179E-2</v>
      </c>
      <c r="N156" s="42">
        <f t="shared" ref="N156:N163" ca="1" si="867">M156-L156</f>
        <v>-0.26704161755264322</v>
      </c>
      <c r="O156" s="42">
        <f t="shared" ref="O156:O163" ca="1" si="868">_xlfn.NORM.DIST(M156,0,1,TRUE)</f>
        <v>0.4706410374316054</v>
      </c>
      <c r="P156" s="42">
        <f t="shared" ref="P156:P163" ca="1" si="869">_xlfn.NORM.DIST(-M156,0,1,TRUE)</f>
        <v>0.52935896256839454</v>
      </c>
      <c r="Q156" s="42">
        <f t="shared" ref="Q156:Q163" ca="1" si="870">_xlfn.NORM.DIST(N156,0,1,TRUE)</f>
        <v>0.39471855901541814</v>
      </c>
      <c r="R156" s="42">
        <f t="shared" ref="R156:R163" ca="1" si="871">_xlfn.NORM.DIST(-N156,0,1,TRUE)</f>
        <v>0.60528144098458192</v>
      </c>
      <c r="S156" s="42">
        <f t="shared" ref="S156:S163" ca="1" si="872">EXP(-$E156*I156)</f>
        <v>0.98162450344672281</v>
      </c>
      <c r="T156" s="42">
        <f t="shared" ref="T156:T163" ca="1" si="873">F156*S156</f>
        <v>73.621837758504213</v>
      </c>
      <c r="U156" s="42">
        <f t="shared" ref="U156:U163" ca="1" si="874">EXP(-$D156*I156)</f>
        <v>0.98801719747153338</v>
      </c>
      <c r="V156" s="42">
        <f t="shared" ref="V156:V163" ca="1" si="875">$A156*U156</f>
        <v>71.236039937697555</v>
      </c>
      <c r="W156" s="42">
        <f t="shared" ref="W156:W163" ca="1" si="876">EXP(-1*POWER(M156,2)/2)/SQRT(2*PI())</f>
        <v>0.39786149976158425</v>
      </c>
      <c r="X156" s="42">
        <f t="shared" ref="X156:X163" ca="1" si="877">IF($F$8=1,0,IF($F$8=2,$A156,IF($F$8=3,V156*O156-T156*Q156,T156*R156-V156*P156)))</f>
        <v>6.8524958475002364</v>
      </c>
      <c r="Y156" s="42">
        <f t="shared" ref="Y156:Y163" ca="1" si="878">IF($F$8=2,1,IF(OR($F$8=1,I156&lt;=0),0,IF($F$8=3,O156*U156,(O156-1)*U156)))</f>
        <v>-0.52301575865326355</v>
      </c>
      <c r="Z156" s="42">
        <f t="shared" ref="Z156:Z163" ca="1" si="879">IF(OR($F$8&lt;=2,I156&lt;=0),0,W156*U156/($A156*L156))</f>
        <v>2.8193093283860562E-2</v>
      </c>
      <c r="AA156" s="42">
        <f t="shared" ca="1" si="661"/>
        <v>-1.3995643337721837E-2</v>
      </c>
      <c r="AB156" s="42">
        <f t="shared" ref="AB156:AB163" ca="1" si="880">IF(OR($F$8&lt;=2,I156&lt;=0),0,(W156*$A156*U156*SQRT(I156))/100)</f>
        <v>0.19298865101948079</v>
      </c>
      <c r="AC156" s="42">
        <f t="shared" ref="AC156:AC163" ca="1" si="881">IF(OR($F$8&lt;=2,I156&lt;=0),0,IF($F$8=3,Q156,-1*R156)*F156*I156*S156/100)</f>
        <v>-0.20661611186659384</v>
      </c>
      <c r="AD156" s="42">
        <f t="shared" ref="AD156:AD163" ca="1" si="882">IF($F$8=1,0,IF($M$28=1,X156-$G$8,OFFSET(V156,0,$M$28))*IF($M$30=1,SIGN($B$8),$T$8))</f>
        <v>1626.2479237501182</v>
      </c>
      <c r="AF156" s="36">
        <f t="shared" si="664"/>
        <v>80</v>
      </c>
      <c r="AG156" s="35">
        <f t="shared" si="665"/>
        <v>0.28399999999999997</v>
      </c>
      <c r="AH156" s="197">
        <f t="shared" ca="1" si="626"/>
        <v>169.23611111111677</v>
      </c>
      <c r="AI156" s="41">
        <f t="shared" ca="1" si="666"/>
        <v>0.46366057838662128</v>
      </c>
      <c r="AJ156" s="40">
        <f t="shared" ref="AJ156:AJ163" ca="1" si="883">LN($A156/AF156)</f>
        <v>-0.10397259038297835</v>
      </c>
      <c r="AK156" s="40">
        <f t="shared" ref="AK156:AK163" ca="1" si="884">($E156-$D156+POWER(AG156,2)/2)*AI156</f>
        <v>2.5189751902588361E-2</v>
      </c>
      <c r="AL156" s="40">
        <f t="shared" ref="AL156:AL163" ca="1" si="885">MAX(0,0.000000000001,AG156*SQRT(AI156))</f>
        <v>0.19338305926412305</v>
      </c>
      <c r="AM156" s="42">
        <f t="shared" ref="AM156:AM163" ca="1" si="886">(AJ156+AK156)/AL156</f>
        <v>-0.40739265776527089</v>
      </c>
      <c r="AN156" s="42">
        <f t="shared" ref="AN156:AN163" ca="1" si="887">AM156-AL156</f>
        <v>-0.60077571702939392</v>
      </c>
      <c r="AO156" s="42">
        <f t="shared" ref="AO156:AO163" ca="1" si="888">_xlfn.NORM.DIST(AM156,0,1,TRUE)</f>
        <v>0.34185980935030791</v>
      </c>
      <c r="AP156" s="42">
        <f t="shared" ref="AP156:AP163" ca="1" si="889">_xlfn.NORM.DIST(-AM156,0,1,TRUE)</f>
        <v>0.65814019064969209</v>
      </c>
      <c r="AQ156" s="42">
        <f t="shared" ref="AQ156:AQ163" ca="1" si="890">_xlfn.NORM.DIST(AN156,0,1,TRUE)</f>
        <v>0.27399468992164328</v>
      </c>
      <c r="AR156" s="42">
        <f t="shared" ref="AR156:AR163" ca="1" si="891">_xlfn.NORM.DIST(-AN156,0,1,TRUE)</f>
        <v>0.72600531007835678</v>
      </c>
      <c r="AS156" s="42">
        <f t="shared" ref="AS156:AS163" ca="1" si="892">EXP(-$E156*AI156)</f>
        <v>0.98162450344672281</v>
      </c>
      <c r="AT156" s="42">
        <f t="shared" ref="AT156:AT163" ca="1" si="893">AF156*AS156</f>
        <v>78.529960275737821</v>
      </c>
      <c r="AU156" s="42">
        <f t="shared" ref="AU156:AU163" ca="1" si="894">EXP(-$D156*AI156)</f>
        <v>0.98801719747153338</v>
      </c>
      <c r="AV156" s="42">
        <f t="shared" ref="AV156:AV163" ca="1" si="895">$A156*AU156</f>
        <v>71.236039937697555</v>
      </c>
      <c r="AW156" s="42">
        <f t="shared" ref="AW156:AW163" ca="1" si="896">EXP(-1*POWER(AM156,2)/2)/SQRT(2*PI())</f>
        <v>0.3671727174038627</v>
      </c>
      <c r="AX156" s="42">
        <f t="shared" ref="AX156:AX163" ca="1" si="897">IF($F$10=1,0,IF($F$10=2,$A156,IF($F$10=3,AV156*AO156-AT156*AQ156,AT156*AR156-AV156*AP156)))</f>
        <v>10.129867254702731</v>
      </c>
      <c r="AY156" s="42">
        <f t="shared" ref="AY156:AY163" ca="1" si="898">IF($F$10=2,1,IF(OR($F$10=1,AI156&lt;=0),0,IF($F$10=3,AO156*AU156,(AO156-1)*AU156)))</f>
        <v>-0.65025382670908949</v>
      </c>
      <c r="AZ156" s="42">
        <f t="shared" ref="AZ156:AZ163" ca="1" si="899">IF(OR($F$10&lt;=2,AI156&lt;=0),0,AW156*AU156/($A156*AL156))</f>
        <v>2.601843777108084E-2</v>
      </c>
      <c r="BA156" s="42">
        <f t="shared" ca="1" si="684"/>
        <v>-1.2035569477263006E-2</v>
      </c>
      <c r="BB156" s="42">
        <f t="shared" ref="BB156:BB163" ca="1" si="900">IF(OR($F$10&lt;=2,AI156&lt;=0),0,(AW156*$A156*AU156*SQRT(AI156))/100)</f>
        <v>0.17810259968705433</v>
      </c>
      <c r="BC156" s="42">
        <f t="shared" ref="BC156:BC163" ca="1" si="901">IF(OR($F$10&lt;=2,AI156&lt;=0),0,IF($F$10=3,AQ156,-1*AR156)*AF156*AI156*AS156/100)</f>
        <v>-0.26434758524917784</v>
      </c>
      <c r="BD156" s="42">
        <f t="shared" ref="BD156:BD163" ca="1" si="902">IF($F$10=1,0,IF($M$28=1,AX156-$G$10,OFFSET(AV156,0,$M$28))*IF($M$30=1,SIGN($B$10),$T$10))</f>
        <v>-2239.9336273513654</v>
      </c>
      <c r="BE156" s="40"/>
      <c r="BF156" s="36">
        <f t="shared" si="687"/>
        <v>90</v>
      </c>
      <c r="BG156" s="35">
        <f t="shared" si="688"/>
        <v>0.28399999999999997</v>
      </c>
      <c r="BH156" s="197">
        <f t="shared" ca="1" si="627"/>
        <v>169.23611111111677</v>
      </c>
      <c r="BI156" s="41">
        <f t="shared" ca="1" si="689"/>
        <v>0.46366057838662128</v>
      </c>
      <c r="BJ156" s="40">
        <f t="shared" ref="BJ156:BJ163" ca="1" si="903">LN($A156/BF156)</f>
        <v>-0.22175562603936183</v>
      </c>
      <c r="BK156" s="40">
        <f t="shared" ref="BK156:BK163" ca="1" si="904">($E156-$D156+POWER(BG156,2)/2)*BI156</f>
        <v>2.5189751902588361E-2</v>
      </c>
      <c r="BL156" s="40">
        <f t="shared" ref="BL156:BL163" ca="1" si="905">MAX(0,0.000000000001,BG156*SQRT(BI156))</f>
        <v>0.19338305926412305</v>
      </c>
      <c r="BM156" s="42">
        <f t="shared" ref="BM156:BM163" ca="1" si="906">(BJ156+BK156)/BL156</f>
        <v>-1.0164586023448068</v>
      </c>
      <c r="BN156" s="42">
        <f t="shared" ref="BN156:BN163" ca="1" si="907">BM156-BL156</f>
        <v>-1.2098416616089298</v>
      </c>
      <c r="BO156" s="42">
        <f t="shared" ref="BO156:BO163" ca="1" si="908">_xlfn.NORM.DIST(BM156,0,1,TRUE)</f>
        <v>0.15470552571416668</v>
      </c>
      <c r="BP156" s="42">
        <f t="shared" ref="BP156:BP163" ca="1" si="909">_xlfn.NORM.DIST(-BM156,0,1,TRUE)</f>
        <v>0.84529447428583326</v>
      </c>
      <c r="BQ156" s="42">
        <f t="shared" ref="BQ156:BQ163" ca="1" si="910">_xlfn.NORM.DIST(BN156,0,1,TRUE)</f>
        <v>0.11316982818237553</v>
      </c>
      <c r="BR156" s="42">
        <f t="shared" ref="BR156:BR163" ca="1" si="911">_xlfn.NORM.DIST(-BN156,0,1,TRUE)</f>
        <v>0.88683017181762447</v>
      </c>
      <c r="BS156" s="42">
        <f t="shared" ref="BS156:BS163" ca="1" si="912">EXP(-$E156*BI156)</f>
        <v>0.98162450344672281</v>
      </c>
      <c r="BT156" s="42">
        <f t="shared" ref="BT156:BT163" ca="1" si="913">BF156*BS156</f>
        <v>88.34620531020505</v>
      </c>
      <c r="BU156" s="42">
        <f t="shared" ref="BU156:BU163" ca="1" si="914">EXP(-$D156*BI156)</f>
        <v>0.98801719747153338</v>
      </c>
      <c r="BV156" s="42">
        <f t="shared" ref="BV156:BV163" ca="1" si="915">$A156*BU156</f>
        <v>71.236039937697555</v>
      </c>
      <c r="BW156" s="42">
        <f t="shared" ref="BW156:BW163" ca="1" si="916">EXP(-1*POWER(BM156,2)/2)/SQRT(2*PI())</f>
        <v>0.237988582691679</v>
      </c>
      <c r="BX156" s="42">
        <f t="shared" ref="BX156:BX163" ca="1" si="917">IF($F$12=1,0,IF($F$12=2,$A156,IF($F$12=3,BV156*BO156-BT156*BQ156,BT156*BR156-BV156*BP156)))</f>
        <v>1.0224841328360945</v>
      </c>
      <c r="BY156" s="42">
        <f t="shared" ref="BY156:BY163" ca="1" si="918">IF($F$12=2,1,IF(OR($F$12=1,BI156&lt;=0),0,IF($F$12=3,BO156*BU156,(BO156-1)*BU156)))</f>
        <v>0.15285171994947119</v>
      </c>
      <c r="BZ156" s="42">
        <f t="shared" ref="BZ156:BZ163" ca="1" si="919">IF(OR($F$12&lt;=2,BI156&lt;=0),0,BW156*BU156/($A156*BL156))</f>
        <v>1.6864246267459835E-2</v>
      </c>
      <c r="CA156" s="42">
        <f t="shared" ca="1" si="707"/>
        <v>-9.9968073473004192E-3</v>
      </c>
      <c r="CB156" s="42">
        <f t="shared" ref="CB156:CB163" ca="1" si="920">IF(OR($F$12&lt;=2,BI156&lt;=0),0,(BW156*$A156*BU156*SQRT(BI156))/100)</f>
        <v>0.11543990951431084</v>
      </c>
      <c r="CC156" s="42">
        <f t="shared" ref="CC156:CC163" ca="1" si="921">IF(OR($F$12&lt;=2,BI156&lt;=0),0,IF($F$12=3,BQ156,-1*BR156)*BF156*BI156*BS156/100)</f>
        <v>4.6357363625656303E-2</v>
      </c>
      <c r="CD156" s="42">
        <f t="shared" ref="CD156:CD163" ca="1" si="922">IF($F$12=1,0,IF($M$28=1,BX156-$G$12,OFFSET(BV156,0,$M$28))*IF($M$30=1,SIGN($B$12),$T$12))</f>
        <v>2888.7579335819528</v>
      </c>
      <c r="CE156" s="40"/>
      <c r="CF156" s="36">
        <f t="shared" si="710"/>
        <v>95</v>
      </c>
      <c r="CG156" s="35">
        <f t="shared" si="711"/>
        <v>0.28399999999999997</v>
      </c>
      <c r="CH156" s="197">
        <f t="shared" ca="1" si="628"/>
        <v>169.23611111111677</v>
      </c>
      <c r="CI156" s="41">
        <f t="shared" ca="1" si="712"/>
        <v>0.46366057838662128</v>
      </c>
      <c r="CJ156" s="40">
        <f t="shared" ref="CJ156:CJ163" ca="1" si="923">LN($A156/CF156)</f>
        <v>-0.27582284730963752</v>
      </c>
      <c r="CK156" s="40">
        <f t="shared" ref="CK156:CK163" ca="1" si="924">($E156-$D156+POWER(CG156,2)/2)*CI156</f>
        <v>2.5189751902588361E-2</v>
      </c>
      <c r="CL156" s="40">
        <f t="shared" ref="CL156:CL163" ca="1" si="925">MAX(0,0.000000000001,CG156*SQRT(CI156))</f>
        <v>0.19338305926412305</v>
      </c>
      <c r="CM156" s="42">
        <f t="shared" ref="CM156:CM163" ca="1" si="926">(CJ156+CK156)/CL156</f>
        <v>-1.2960447329811546</v>
      </c>
      <c r="CN156" s="42">
        <f t="shared" ref="CN156:CN163" ca="1" si="927">CM156-CL156</f>
        <v>-1.4894277922452777</v>
      </c>
      <c r="CO156" s="42">
        <f t="shared" ref="CO156:CO163" ca="1" si="928">_xlfn.NORM.DIST(CM156,0,1,TRUE)</f>
        <v>9.7480036936196612E-2</v>
      </c>
      <c r="CP156" s="42">
        <f t="shared" ref="CP156:CP163" ca="1" si="929">_xlfn.NORM.DIST(-CM156,0,1,TRUE)</f>
        <v>0.90251996306380344</v>
      </c>
      <c r="CQ156" s="42">
        <f t="shared" ref="CQ156:CQ163" ca="1" si="930">_xlfn.NORM.DIST(CN156,0,1,TRUE)</f>
        <v>6.818737729579348E-2</v>
      </c>
      <c r="CR156" s="42">
        <f t="shared" ref="CR156:CR163" ca="1" si="931">_xlfn.NORM.DIST(-CN156,0,1,TRUE)</f>
        <v>0.93181262270420651</v>
      </c>
      <c r="CS156" s="42">
        <f t="shared" ref="CS156:CS163" ca="1" si="932">EXP(-$E156*CI156)</f>
        <v>0.98162450344672281</v>
      </c>
      <c r="CT156" s="42">
        <f t="shared" ref="CT156:CT163" ca="1" si="933">CF156*CS156</f>
        <v>93.254327827438672</v>
      </c>
      <c r="CU156" s="42">
        <f t="shared" ref="CU156:CU163" ca="1" si="934">EXP(-$D156*CI156)</f>
        <v>0.98801719747153338</v>
      </c>
      <c r="CV156" s="42">
        <f t="shared" ref="CV156:CV163" ca="1" si="935">$A156*CU156</f>
        <v>71.236039937697555</v>
      </c>
      <c r="CW156" s="42">
        <f t="shared" ref="CW156:CW163" ca="1" si="936">EXP(-1*POWER(CM156,2)/2)/SQRT(2*PI())</f>
        <v>0.17225066504813</v>
      </c>
      <c r="CX156" s="42">
        <f t="shared" ref="CX156:CX163" ca="1" si="937">IF($F$14=1,0,IF($F$14=2,$A156,IF($F$14=3,CV156*CO156-CT156*CQ156,CT156*CR156-CV156*CP156)))</f>
        <v>0.58532376827996124</v>
      </c>
      <c r="CY156" s="42">
        <f t="shared" ref="CY156:CY163" ca="1" si="938">IF($F$14=2,1,IF(OR($F$14=1,CI156&lt;=0),0,IF($F$14=3,CO156*CU156,(CO156-1)*CU156)))</f>
        <v>9.6311952903122541E-2</v>
      </c>
      <c r="CZ156" s="42">
        <f t="shared" ref="CZ156:CZ163" ca="1" si="939">IF(OR($F$14&lt;=2,CI156&lt;=0),0,CW156*CU156/($A156*CL156))</f>
        <v>1.2205953757322689E-2</v>
      </c>
      <c r="DA156" s="42">
        <f t="shared" ca="1" si="730"/>
        <v>-7.2128178807475407E-3</v>
      </c>
      <c r="DB156" s="42">
        <f t="shared" ref="DB156:DB163" ca="1" si="940">IF(OR($F$14&lt;=2,CI156&lt;=0),0,(CW156*$A156*CU156*SQRT(CI156))/100)</f>
        <v>8.3552752665858154E-2</v>
      </c>
      <c r="DC156" s="42">
        <f t="shared" ref="DC156:DC163" ca="1" si="941">IF(OR($F$14&lt;=2,CI156&lt;=0),0,IF($F$14=3,CQ156,-1*CR156)*CF156*CI156*CS156/100)</f>
        <v>2.9483100654144282E-2</v>
      </c>
      <c r="DD156" s="42">
        <f t="shared" ref="DD156:DD163" ca="1" si="942">IF($F$14=1,0,IF($M$28=1,CX156-$G$14,OFFSET(CV156,0,$M$28))*IF($M$30=1,SIGN($B$14),$T$14))</f>
        <v>-2282.3381158600196</v>
      </c>
      <c r="DE156" s="40"/>
      <c r="DF156" s="36">
        <f t="shared" si="733"/>
        <v>200</v>
      </c>
      <c r="DG156" s="35">
        <f t="shared" si="734"/>
        <v>0.28399999999999997</v>
      </c>
      <c r="DH156" s="197">
        <f t="shared" ca="1" si="629"/>
        <v>169.23611111111677</v>
      </c>
      <c r="DI156" s="41">
        <f t="shared" ca="1" si="735"/>
        <v>0.46366057838662128</v>
      </c>
      <c r="DJ156" s="40">
        <f t="shared" ref="DJ156:DJ163" ca="1" si="943">LN($A156/DF156)</f>
        <v>-1.0202633222571333</v>
      </c>
      <c r="DK156" s="40">
        <f t="shared" ref="DK156:DK163" ca="1" si="944">($E156-$D156+POWER(DG156,2)/2)*DI156</f>
        <v>2.5189751902588361E-2</v>
      </c>
      <c r="DL156" s="40">
        <f t="shared" ref="DL156:DL163" ca="1" si="945">MAX(0,0.000000000001,DG156*SQRT(DI156))</f>
        <v>0.19338305926412305</v>
      </c>
      <c r="DM156" s="42">
        <f t="shared" ref="DM156:DM163" ca="1" si="946">(DJ156+DK156)/DL156</f>
        <v>-5.1456087939713022</v>
      </c>
      <c r="DN156" s="42">
        <f t="shared" ref="DN156:DN163" ca="1" si="947">DM156-DL156</f>
        <v>-5.3389918532354255</v>
      </c>
      <c r="DO156" s="42">
        <f t="shared" ref="DO156:DO163" ca="1" si="948">_xlfn.NORM.DIST(DM156,0,1,TRUE)</f>
        <v>1.3332730328198881E-7</v>
      </c>
      <c r="DP156" s="42">
        <f t="shared" ref="DP156:DP163" ca="1" si="949">_xlfn.NORM.DIST(-DM156,0,1,TRUE)</f>
        <v>0.99999986667269669</v>
      </c>
      <c r="DQ156" s="42">
        <f t="shared" ref="DQ156:DQ163" ca="1" si="950">_xlfn.NORM.DIST(DN156,0,1,TRUE)</f>
        <v>4.6732421786366432E-8</v>
      </c>
      <c r="DR156" s="42">
        <f t="shared" ref="DR156:DR163" ca="1" si="951">_xlfn.NORM.DIST(-DN156,0,1,TRUE)</f>
        <v>0.99999995326757818</v>
      </c>
      <c r="DS156" s="42">
        <f t="shared" ref="DS156:DS163" ca="1" si="952">EXP(-$E156*DI156)</f>
        <v>0.98162450344672281</v>
      </c>
      <c r="DT156" s="42">
        <f t="shared" ref="DT156:DT163" ca="1" si="953">DF156*DS156</f>
        <v>196.32490068934456</v>
      </c>
      <c r="DU156" s="42">
        <f t="shared" ref="DU156:DU163" ca="1" si="954">EXP(-$D156*DI156)</f>
        <v>0.98801719747153338</v>
      </c>
      <c r="DV156" s="42">
        <f t="shared" ref="DV156:DV163" ca="1" si="955">$A156*DU156</f>
        <v>71.236039937697555</v>
      </c>
      <c r="DW156" s="42">
        <f t="shared" ref="DW156:DW163" ca="1" si="956">EXP(-1*POWER(DM156,2)/2)/SQRT(2*PI())</f>
        <v>7.1029641827907113E-7</v>
      </c>
      <c r="DX156" s="42">
        <f t="shared" ref="DX156:DX163" si="957">IF($F$16=1,0,IF($F$16=2,$A156,IF($F$16=3,DV156*DO156-DT156*DQ156,DT156*DR156-DV156*DP156)))</f>
        <v>0</v>
      </c>
      <c r="DY156" s="92">
        <f t="shared" ref="DY156:DY163" ca="1" si="958">IF($F$16=2,1,IF(OR($F$16=1,DI156&lt;=0),0,IF($F$16=3,DO156*DU156,(DO156-1)*DU156)))</f>
        <v>0</v>
      </c>
      <c r="DZ156" s="42">
        <f t="shared" ref="DZ156:DZ163" ca="1" si="959">IF(OR($F$16&lt;=2,DI156&lt;=0),0,DW156*DU156/($A156*DL156))</f>
        <v>0</v>
      </c>
      <c r="EA156" s="42">
        <f t="shared" ca="1" si="753"/>
        <v>0</v>
      </c>
      <c r="EB156" s="42">
        <f t="shared" ref="EB156:EB163" ca="1" si="960">IF(OR($F$16&lt;=2,DI156&lt;=0),0,(DW156*$A156*DU156*SQRT(DI156))/100)</f>
        <v>0</v>
      </c>
      <c r="EC156" s="42">
        <f t="shared" ref="EC156:EC163" ca="1" si="961">IF(OR($F$16&lt;=2,DI156&lt;=0),0,IF($F$16=3,DQ156,-1*DR156)*DF156*DI156*DS156/100)</f>
        <v>0</v>
      </c>
      <c r="ED156" s="42">
        <f t="shared" ref="ED156:ED163" ca="1" si="962">IF($F$16=1,0,IF($M$28=1,DX156-$G$16,OFFSET(DV156,0,$M$28))*IF($M$30=1,SIGN($B$16),$T$16))</f>
        <v>0</v>
      </c>
      <c r="EE156" s="40"/>
      <c r="EF156" s="120">
        <f t="shared" ca="1" si="756"/>
        <v>72.099999999999994</v>
      </c>
      <c r="EG156" s="42">
        <f t="shared" ca="1" si="757"/>
        <v>-7.2658858793138279</v>
      </c>
      <c r="EH156" s="36">
        <f t="shared" ca="1" si="758"/>
        <v>-7.2658858793138279</v>
      </c>
      <c r="EI156" s="143">
        <f t="shared" ca="1" si="854"/>
        <v>-7.266</v>
      </c>
      <c r="EJ156" s="143">
        <f t="shared" ca="1" si="862"/>
        <v>1.7690000000000001</v>
      </c>
      <c r="EK156" s="153">
        <f t="shared" ca="1" si="855"/>
        <v>0</v>
      </c>
      <c r="EL156" s="143">
        <f t="shared" ca="1" si="856"/>
        <v>0</v>
      </c>
    </row>
    <row r="157" spans="1:144" x14ac:dyDescent="0.3">
      <c r="A157" s="143">
        <f t="shared" ca="1" si="857"/>
        <v>72.149999999999991</v>
      </c>
      <c r="B157" s="144">
        <f t="shared" ca="1" si="858"/>
        <v>0.28399999999999997</v>
      </c>
      <c r="C157" s="145">
        <f t="shared" ca="1" si="859"/>
        <v>45295.440972222219</v>
      </c>
      <c r="D157" s="144">
        <f t="shared" ca="1" si="860"/>
        <v>2.5999999999999999E-2</v>
      </c>
      <c r="E157" s="144">
        <f t="shared" ca="1" si="861"/>
        <v>0.04</v>
      </c>
      <c r="F157" s="36">
        <f t="shared" si="641"/>
        <v>75</v>
      </c>
      <c r="G157" s="35">
        <f t="shared" si="642"/>
        <v>0.28399999999999997</v>
      </c>
      <c r="H157" s="197">
        <f t="shared" ca="1" si="625"/>
        <v>169.23611111111677</v>
      </c>
      <c r="I157" s="41">
        <f t="shared" ca="1" si="643"/>
        <v>0.46366057838662128</v>
      </c>
      <c r="J157" s="40">
        <f t="shared" ca="1" si="863"/>
        <v>-3.8740828316430713E-2</v>
      </c>
      <c r="K157" s="40">
        <f t="shared" ca="1" si="864"/>
        <v>2.5189751902588361E-2</v>
      </c>
      <c r="L157" s="40">
        <f t="shared" ca="1" si="865"/>
        <v>0.19338305926412305</v>
      </c>
      <c r="M157" s="42">
        <f t="shared" ca="1" si="866"/>
        <v>-7.0073751368956563E-2</v>
      </c>
      <c r="N157" s="42">
        <f t="shared" ca="1" si="867"/>
        <v>-0.26345681063307963</v>
      </c>
      <c r="O157" s="42">
        <f t="shared" ca="1" si="868"/>
        <v>0.47206747935294258</v>
      </c>
      <c r="P157" s="42">
        <f t="shared" ca="1" si="869"/>
        <v>0.52793252064705742</v>
      </c>
      <c r="Q157" s="42">
        <f t="shared" ca="1" si="870"/>
        <v>0.39609925403666024</v>
      </c>
      <c r="R157" s="42">
        <f t="shared" ca="1" si="871"/>
        <v>0.60390074596333976</v>
      </c>
      <c r="S157" s="42">
        <f t="shared" ca="1" si="872"/>
        <v>0.98162450344672281</v>
      </c>
      <c r="T157" s="42">
        <f t="shared" ca="1" si="873"/>
        <v>73.621837758504213</v>
      </c>
      <c r="U157" s="42">
        <f t="shared" ca="1" si="874"/>
        <v>0.98801719747153338</v>
      </c>
      <c r="V157" s="42">
        <f t="shared" ca="1" si="875"/>
        <v>71.285440797571127</v>
      </c>
      <c r="W157" s="42">
        <f t="shared" ca="1" si="876"/>
        <v>0.39796401254777586</v>
      </c>
      <c r="X157" s="42">
        <f t="shared" ca="1" si="877"/>
        <v>6.8263802958543565</v>
      </c>
      <c r="Y157" s="42">
        <f t="shared" ca="1" si="878"/>
        <v>-0.52160640950378812</v>
      </c>
      <c r="Z157" s="42">
        <f t="shared" ca="1" si="879"/>
        <v>2.8180814634256986E-2</v>
      </c>
      <c r="AA157" s="42">
        <f t="shared" ca="1" si="661"/>
        <v>-1.4016807208212781E-2</v>
      </c>
      <c r="AB157" s="42">
        <f t="shared" ca="1" si="880"/>
        <v>0.19317224487405427</v>
      </c>
      <c r="AC157" s="42">
        <f t="shared" ca="1" si="881"/>
        <v>-0.20614480411181027</v>
      </c>
      <c r="AD157" s="42">
        <f t="shared" ca="1" si="882"/>
        <v>1613.1901479271783</v>
      </c>
      <c r="AF157" s="36">
        <f t="shared" si="664"/>
        <v>80</v>
      </c>
      <c r="AG157" s="35">
        <f t="shared" si="665"/>
        <v>0.28399999999999997</v>
      </c>
      <c r="AH157" s="197">
        <f t="shared" ca="1" si="626"/>
        <v>169.23611111111677</v>
      </c>
      <c r="AI157" s="41">
        <f t="shared" ca="1" si="666"/>
        <v>0.46366057838662128</v>
      </c>
      <c r="AJ157" s="40">
        <f t="shared" ca="1" si="883"/>
        <v>-0.10327934945400187</v>
      </c>
      <c r="AK157" s="40">
        <f t="shared" ca="1" si="884"/>
        <v>2.5189751902588361E-2</v>
      </c>
      <c r="AL157" s="40">
        <f t="shared" ca="1" si="885"/>
        <v>0.19338305926412305</v>
      </c>
      <c r="AM157" s="42">
        <f t="shared" ca="1" si="886"/>
        <v>-0.40380785084570697</v>
      </c>
      <c r="AN157" s="42">
        <f t="shared" ca="1" si="887"/>
        <v>-0.59719091010983005</v>
      </c>
      <c r="AO157" s="42">
        <f t="shared" ca="1" si="888"/>
        <v>0.34317701143083257</v>
      </c>
      <c r="AP157" s="42">
        <f t="shared" ca="1" si="889"/>
        <v>0.65682298856916743</v>
      </c>
      <c r="AQ157" s="42">
        <f t="shared" ca="1" si="890"/>
        <v>0.27518996366516307</v>
      </c>
      <c r="AR157" s="42">
        <f t="shared" ca="1" si="891"/>
        <v>0.72481003633483687</v>
      </c>
      <c r="AS157" s="42">
        <f t="shared" ca="1" si="892"/>
        <v>0.98162450344672281</v>
      </c>
      <c r="AT157" s="42">
        <f t="shared" ca="1" si="893"/>
        <v>78.529960275737821</v>
      </c>
      <c r="AU157" s="42">
        <f t="shared" ca="1" si="894"/>
        <v>0.98801719747153338</v>
      </c>
      <c r="AV157" s="42">
        <f t="shared" ca="1" si="895"/>
        <v>71.285440797571127</v>
      </c>
      <c r="AW157" s="42">
        <f t="shared" ca="1" si="896"/>
        <v>0.36770697433055738</v>
      </c>
      <c r="AX157" s="42">
        <f t="shared" ca="1" si="897"/>
        <v>10.097387094699705</v>
      </c>
      <c r="AY157" s="42">
        <f t="shared" ca="1" si="898"/>
        <v>-0.64895240840098578</v>
      </c>
      <c r="AZ157" s="42">
        <f t="shared" ca="1" si="899"/>
        <v>2.6038239028180796E-2</v>
      </c>
      <c r="BA157" s="42">
        <f t="shared" ca="1" si="684"/>
        <v>-1.2073606153400914E-2</v>
      </c>
      <c r="BB157" s="42">
        <f t="shared" ca="1" si="900"/>
        <v>0.17848543950629886</v>
      </c>
      <c r="BC157" s="42">
        <f t="shared" ca="1" si="901"/>
        <v>-0.26391237117646382</v>
      </c>
      <c r="BD157" s="42">
        <f t="shared" ca="1" si="902"/>
        <v>-2223.6935473498525</v>
      </c>
      <c r="BE157" s="40"/>
      <c r="BF157" s="36">
        <f t="shared" si="687"/>
        <v>90</v>
      </c>
      <c r="BG157" s="35">
        <f t="shared" si="688"/>
        <v>0.28399999999999997</v>
      </c>
      <c r="BH157" s="197">
        <f t="shared" ca="1" si="627"/>
        <v>169.23611111111677</v>
      </c>
      <c r="BI157" s="41">
        <f t="shared" ca="1" si="689"/>
        <v>0.46366057838662128</v>
      </c>
      <c r="BJ157" s="40">
        <f t="shared" ca="1" si="903"/>
        <v>-0.22106238511038537</v>
      </c>
      <c r="BK157" s="40">
        <f t="shared" ca="1" si="904"/>
        <v>2.5189751902588361E-2</v>
      </c>
      <c r="BL157" s="40">
        <f t="shared" ca="1" si="905"/>
        <v>0.19338305926412305</v>
      </c>
      <c r="BM157" s="42">
        <f t="shared" ca="1" si="906"/>
        <v>-1.0128737954252429</v>
      </c>
      <c r="BN157" s="42">
        <f t="shared" ca="1" si="907"/>
        <v>-1.2062568546893659</v>
      </c>
      <c r="BO157" s="42">
        <f t="shared" ca="1" si="908"/>
        <v>0.15556022323433136</v>
      </c>
      <c r="BP157" s="42">
        <f t="shared" ca="1" si="909"/>
        <v>0.84443977676566861</v>
      </c>
      <c r="BQ157" s="42">
        <f t="shared" ca="1" si="910"/>
        <v>0.11385923400600557</v>
      </c>
      <c r="BR157" s="42">
        <f t="shared" ca="1" si="911"/>
        <v>0.88614076599399438</v>
      </c>
      <c r="BS157" s="42">
        <f t="shared" ca="1" si="912"/>
        <v>0.98162450344672281</v>
      </c>
      <c r="BT157" s="42">
        <f t="shared" ca="1" si="913"/>
        <v>88.34620531020505</v>
      </c>
      <c r="BU157" s="42">
        <f t="shared" ca="1" si="914"/>
        <v>0.98801719747153338</v>
      </c>
      <c r="BV157" s="42">
        <f t="shared" ca="1" si="915"/>
        <v>71.285440797571127</v>
      </c>
      <c r="BW157" s="42">
        <f t="shared" ca="1" si="916"/>
        <v>0.23885581444693918</v>
      </c>
      <c r="BX157" s="42">
        <f t="shared" ca="1" si="917"/>
        <v>1.030147819870626</v>
      </c>
      <c r="BY157" s="42">
        <f t="shared" ca="1" si="918"/>
        <v>0.15369617579803019</v>
      </c>
      <c r="BZ157" s="42">
        <f t="shared" ca="1" si="919"/>
        <v>1.6913970155619525E-2</v>
      </c>
      <c r="CA157" s="42">
        <f t="shared" ca="1" si="707"/>
        <v>-1.004063561243433E-2</v>
      </c>
      <c r="CB157" s="42">
        <f t="shared" ca="1" si="920"/>
        <v>0.1159409203423805</v>
      </c>
      <c r="CC157" s="42">
        <f t="shared" ca="1" si="921"/>
        <v>4.6639762538555243E-2</v>
      </c>
      <c r="CD157" s="42">
        <f t="shared" ca="1" si="922"/>
        <v>2884.9260900646868</v>
      </c>
      <c r="CE157" s="40"/>
      <c r="CF157" s="36">
        <f t="shared" si="710"/>
        <v>95</v>
      </c>
      <c r="CG157" s="35">
        <f t="shared" si="711"/>
        <v>0.28399999999999997</v>
      </c>
      <c r="CH157" s="197">
        <f t="shared" ca="1" si="628"/>
        <v>169.23611111111677</v>
      </c>
      <c r="CI157" s="41">
        <f t="shared" ca="1" si="712"/>
        <v>0.46366057838662128</v>
      </c>
      <c r="CJ157" s="40">
        <f t="shared" ca="1" si="923"/>
        <v>-0.27512960638066114</v>
      </c>
      <c r="CK157" s="40">
        <f t="shared" ca="1" si="924"/>
        <v>2.5189751902588361E-2</v>
      </c>
      <c r="CL157" s="40">
        <f t="shared" ca="1" si="925"/>
        <v>0.19338305926412305</v>
      </c>
      <c r="CM157" s="42">
        <f t="shared" ca="1" si="926"/>
        <v>-1.292459926061591</v>
      </c>
      <c r="CN157" s="42">
        <f t="shared" ca="1" si="927"/>
        <v>-1.485842985325714</v>
      </c>
      <c r="CO157" s="42">
        <f t="shared" ca="1" si="928"/>
        <v>9.809895764927723E-2</v>
      </c>
      <c r="CP157" s="42">
        <f t="shared" ca="1" si="929"/>
        <v>0.90190104235072277</v>
      </c>
      <c r="CQ157" s="42">
        <f t="shared" ca="1" si="930"/>
        <v>6.866032862497759E-2</v>
      </c>
      <c r="CR157" s="42">
        <f t="shared" ca="1" si="931"/>
        <v>0.93133967137502238</v>
      </c>
      <c r="CS157" s="42">
        <f t="shared" ca="1" si="932"/>
        <v>0.98162450344672281</v>
      </c>
      <c r="CT157" s="42">
        <f t="shared" ca="1" si="933"/>
        <v>93.254327827438672</v>
      </c>
      <c r="CU157" s="42">
        <f t="shared" ca="1" si="934"/>
        <v>0.98801719747153338</v>
      </c>
      <c r="CV157" s="42">
        <f t="shared" ca="1" si="935"/>
        <v>71.285440797571127</v>
      </c>
      <c r="CW157" s="42">
        <f t="shared" ca="1" si="936"/>
        <v>0.1730517037649883</v>
      </c>
      <c r="CX157" s="42">
        <f t="shared" ca="1" si="937"/>
        <v>0.590154643477657</v>
      </c>
      <c r="CY157" s="42">
        <f t="shared" ca="1" si="938"/>
        <v>9.692345721151753E-2</v>
      </c>
      <c r="CZ157" s="42">
        <f t="shared" ca="1" si="939"/>
        <v>1.2254218552884933E-2</v>
      </c>
      <c r="DA157" s="42">
        <f t="shared" ca="1" si="730"/>
        <v>-7.251652124086105E-3</v>
      </c>
      <c r="DB157" s="42">
        <f t="shared" ca="1" si="940"/>
        <v>8.3999520161510757E-2</v>
      </c>
      <c r="DC157" s="42">
        <f t="shared" ca="1" si="941"/>
        <v>2.9687597031565548E-2</v>
      </c>
      <c r="DD157" s="42">
        <f t="shared" ca="1" si="942"/>
        <v>-2279.9226782611718</v>
      </c>
      <c r="DE157" s="40"/>
      <c r="DF157" s="36">
        <f t="shared" si="733"/>
        <v>200</v>
      </c>
      <c r="DG157" s="35">
        <f t="shared" si="734"/>
        <v>0.28399999999999997</v>
      </c>
      <c r="DH157" s="197">
        <f t="shared" ca="1" si="629"/>
        <v>169.23611111111677</v>
      </c>
      <c r="DI157" s="41">
        <f t="shared" ca="1" si="735"/>
        <v>0.46366057838662128</v>
      </c>
      <c r="DJ157" s="40">
        <f t="shared" ca="1" si="943"/>
        <v>-1.019570081328157</v>
      </c>
      <c r="DK157" s="40">
        <f t="shared" ca="1" si="944"/>
        <v>2.5189751902588361E-2</v>
      </c>
      <c r="DL157" s="40">
        <f t="shared" ca="1" si="945"/>
        <v>0.19338305926412305</v>
      </c>
      <c r="DM157" s="42">
        <f t="shared" ca="1" si="946"/>
        <v>-5.1420239870517381</v>
      </c>
      <c r="DN157" s="42">
        <f t="shared" ca="1" si="947"/>
        <v>-5.3354070463158614</v>
      </c>
      <c r="DO157" s="42">
        <f t="shared" ca="1" si="948"/>
        <v>1.3589720265016233E-7</v>
      </c>
      <c r="DP157" s="42">
        <f t="shared" ca="1" si="949"/>
        <v>0.9999998641027974</v>
      </c>
      <c r="DQ157" s="42">
        <f t="shared" ca="1" si="950"/>
        <v>4.7665228163710918E-8</v>
      </c>
      <c r="DR157" s="42">
        <f t="shared" ca="1" si="951"/>
        <v>0.99999995233477179</v>
      </c>
      <c r="DS157" s="42">
        <f t="shared" ca="1" si="952"/>
        <v>0.98162450344672281</v>
      </c>
      <c r="DT157" s="42">
        <f t="shared" ca="1" si="953"/>
        <v>196.32490068934456</v>
      </c>
      <c r="DU157" s="42">
        <f t="shared" ca="1" si="954"/>
        <v>0.98801719747153338</v>
      </c>
      <c r="DV157" s="42">
        <f t="shared" ca="1" si="955"/>
        <v>71.285440797571127</v>
      </c>
      <c r="DW157" s="42">
        <f t="shared" ca="1" si="956"/>
        <v>7.2351549461476468E-7</v>
      </c>
      <c r="DX157" s="42">
        <f t="shared" si="957"/>
        <v>0</v>
      </c>
      <c r="DY157" s="92">
        <f t="shared" ca="1" si="958"/>
        <v>0</v>
      </c>
      <c r="DZ157" s="42">
        <f t="shared" ca="1" si="959"/>
        <v>0</v>
      </c>
      <c r="EA157" s="42">
        <f t="shared" ca="1" si="753"/>
        <v>0</v>
      </c>
      <c r="EB157" s="42">
        <f t="shared" ca="1" si="960"/>
        <v>0</v>
      </c>
      <c r="EC157" s="42">
        <f t="shared" ca="1" si="961"/>
        <v>0</v>
      </c>
      <c r="ED157" s="42">
        <f t="shared" ca="1" si="962"/>
        <v>0</v>
      </c>
      <c r="EE157" s="40"/>
      <c r="EF157" s="120">
        <f t="shared" ca="1" si="756"/>
        <v>72.149999999999991</v>
      </c>
      <c r="EG157" s="42">
        <f t="shared" ca="1" si="757"/>
        <v>-5.4999876191591284</v>
      </c>
      <c r="EH157" s="36">
        <f t="shared" ca="1" si="758"/>
        <v>-5.4999876191591284</v>
      </c>
      <c r="EI157" s="143">
        <f t="shared" ca="1" si="854"/>
        <v>-5.5</v>
      </c>
      <c r="EJ157" s="143">
        <f t="shared" ca="1" si="862"/>
        <v>1.766</v>
      </c>
      <c r="EK157" s="153">
        <f t="shared" ca="1" si="855"/>
        <v>0</v>
      </c>
      <c r="EL157" s="143">
        <f t="shared" ca="1" si="856"/>
        <v>0</v>
      </c>
    </row>
    <row r="158" spans="1:144" x14ac:dyDescent="0.3">
      <c r="A158" s="143">
        <f t="shared" ca="1" si="857"/>
        <v>72.199999999999989</v>
      </c>
      <c r="B158" s="144">
        <f t="shared" ca="1" si="858"/>
        <v>0.28399999999999997</v>
      </c>
      <c r="C158" s="145">
        <f t="shared" ca="1" si="859"/>
        <v>45295.440972222219</v>
      </c>
      <c r="D158" s="144">
        <f t="shared" ca="1" si="860"/>
        <v>2.5999999999999999E-2</v>
      </c>
      <c r="E158" s="144">
        <f t="shared" ca="1" si="861"/>
        <v>0.04</v>
      </c>
      <c r="F158" s="36">
        <f t="shared" si="641"/>
        <v>75</v>
      </c>
      <c r="G158" s="35">
        <f t="shared" si="642"/>
        <v>0.28399999999999997</v>
      </c>
      <c r="H158" s="197">
        <f t="shared" ca="1" si="625"/>
        <v>169.23611111111677</v>
      </c>
      <c r="I158" s="41">
        <f t="shared" ca="1" si="643"/>
        <v>0.46366057838662128</v>
      </c>
      <c r="J158" s="40">
        <f t="shared" ca="1" si="863"/>
        <v>-3.8048067637530006E-2</v>
      </c>
      <c r="K158" s="40">
        <f t="shared" ca="1" si="864"/>
        <v>2.5189751902588361E-2</v>
      </c>
      <c r="L158" s="40">
        <f t="shared" ca="1" si="865"/>
        <v>0.19338305926412305</v>
      </c>
      <c r="M158" s="42">
        <f t="shared" ca="1" si="866"/>
        <v>-6.6491427862767058E-2</v>
      </c>
      <c r="N158" s="42">
        <f t="shared" ca="1" si="867"/>
        <v>-0.2598744871268901</v>
      </c>
      <c r="O158" s="42">
        <f t="shared" ca="1" si="868"/>
        <v>0.47349329109134225</v>
      </c>
      <c r="P158" s="42">
        <f t="shared" ca="1" si="869"/>
        <v>0.52650670890865769</v>
      </c>
      <c r="Q158" s="42">
        <f t="shared" ca="1" si="870"/>
        <v>0.39748029581576022</v>
      </c>
      <c r="R158" s="42">
        <f t="shared" ca="1" si="871"/>
        <v>0.60251970418423983</v>
      </c>
      <c r="S158" s="42">
        <f t="shared" ca="1" si="872"/>
        <v>0.98162450344672281</v>
      </c>
      <c r="T158" s="42">
        <f t="shared" ca="1" si="873"/>
        <v>73.621837758504213</v>
      </c>
      <c r="U158" s="42">
        <f t="shared" ca="1" si="874"/>
        <v>0.98801719747153338</v>
      </c>
      <c r="V158" s="42">
        <f t="shared" ca="1" si="875"/>
        <v>71.334841657444699</v>
      </c>
      <c r="W158" s="42">
        <f t="shared" ca="1" si="876"/>
        <v>0.39806137056146185</v>
      </c>
      <c r="X158" s="42">
        <f t="shared" ca="1" si="877"/>
        <v>6.8003351961726324</v>
      </c>
      <c r="Y158" s="42">
        <f t="shared" ca="1" si="878"/>
        <v>-0.52019768298589242</v>
      </c>
      <c r="Z158" s="42">
        <f t="shared" ca="1" si="879"/>
        <v>2.8168188221706178E-2</v>
      </c>
      <c r="AA158" s="42">
        <f t="shared" ca="1" si="661"/>
        <v>-1.403776273560413E-2</v>
      </c>
      <c r="AB158" s="42">
        <f t="shared" ca="1" si="880"/>
        <v>0.19335340382863156</v>
      </c>
      <c r="AC158" s="42">
        <f t="shared" ca="1" si="881"/>
        <v>-0.20567337798934598</v>
      </c>
      <c r="AD158" s="42">
        <f t="shared" ca="1" si="882"/>
        <v>1600.167598086316</v>
      </c>
      <c r="AF158" s="36">
        <f t="shared" si="664"/>
        <v>80</v>
      </c>
      <c r="AG158" s="35">
        <f t="shared" si="665"/>
        <v>0.28399999999999997</v>
      </c>
      <c r="AH158" s="197">
        <f t="shared" ca="1" si="626"/>
        <v>169.23611111111677</v>
      </c>
      <c r="AI158" s="41">
        <f t="shared" ca="1" si="666"/>
        <v>0.46366057838662128</v>
      </c>
      <c r="AJ158" s="40">
        <f t="shared" ca="1" si="883"/>
        <v>-0.10258658877510123</v>
      </c>
      <c r="AK158" s="40">
        <f t="shared" ca="1" si="884"/>
        <v>2.5189751902588361E-2</v>
      </c>
      <c r="AL158" s="40">
        <f t="shared" ca="1" si="885"/>
        <v>0.19338305926412305</v>
      </c>
      <c r="AM158" s="42">
        <f t="shared" ca="1" si="886"/>
        <v>-0.40022552733951777</v>
      </c>
      <c r="AN158" s="42">
        <f t="shared" ca="1" si="887"/>
        <v>-0.5936085866036408</v>
      </c>
      <c r="AO158" s="42">
        <f t="shared" ca="1" si="888"/>
        <v>0.3444952071515347</v>
      </c>
      <c r="AP158" s="42">
        <f t="shared" ca="1" si="889"/>
        <v>0.6555047928484653</v>
      </c>
      <c r="AQ158" s="42">
        <f t="shared" ca="1" si="890"/>
        <v>0.27638696830816245</v>
      </c>
      <c r="AR158" s="42">
        <f t="shared" ca="1" si="891"/>
        <v>0.72361303169183755</v>
      </c>
      <c r="AS158" s="42">
        <f t="shared" ca="1" si="892"/>
        <v>0.98162450344672281</v>
      </c>
      <c r="AT158" s="42">
        <f t="shared" ca="1" si="893"/>
        <v>78.529960275737821</v>
      </c>
      <c r="AU158" s="42">
        <f t="shared" ca="1" si="894"/>
        <v>0.98801719747153338</v>
      </c>
      <c r="AV158" s="42">
        <f t="shared" ca="1" si="895"/>
        <v>71.334841657444699</v>
      </c>
      <c r="AW158" s="42">
        <f t="shared" ca="1" si="896"/>
        <v>0.36823691044304535</v>
      </c>
      <c r="AX158" s="42">
        <f t="shared" ca="1" si="897"/>
        <v>10.064972030224851</v>
      </c>
      <c r="AY158" s="42">
        <f t="shared" ca="1" si="898"/>
        <v>-0.64765000835929876</v>
      </c>
      <c r="AZ158" s="42">
        <f t="shared" ca="1" si="899"/>
        <v>2.6057707104080095E-2</v>
      </c>
      <c r="BA158" s="42">
        <f t="shared" ca="1" si="684"/>
        <v>-1.2111497463424881E-2</v>
      </c>
      <c r="BB158" s="42">
        <f t="shared" ca="1" si="900"/>
        <v>0.17886653997366042</v>
      </c>
      <c r="BC158" s="42">
        <f t="shared" ca="1" si="901"/>
        <v>-0.26347652686166834</v>
      </c>
      <c r="BD158" s="42">
        <f t="shared" ca="1" si="902"/>
        <v>-2207.4860151124253</v>
      </c>
      <c r="BE158" s="40"/>
      <c r="BF158" s="36">
        <f t="shared" si="687"/>
        <v>90</v>
      </c>
      <c r="BG158" s="35">
        <f t="shared" si="688"/>
        <v>0.28399999999999997</v>
      </c>
      <c r="BH158" s="197">
        <f t="shared" ca="1" si="627"/>
        <v>169.23611111111677</v>
      </c>
      <c r="BI158" s="41">
        <f t="shared" ca="1" si="689"/>
        <v>0.46366057838662128</v>
      </c>
      <c r="BJ158" s="40">
        <f t="shared" ca="1" si="903"/>
        <v>-0.22036962443148472</v>
      </c>
      <c r="BK158" s="40">
        <f t="shared" ca="1" si="904"/>
        <v>2.5189751902588361E-2</v>
      </c>
      <c r="BL158" s="40">
        <f t="shared" ca="1" si="905"/>
        <v>0.19338305926412305</v>
      </c>
      <c r="BM158" s="42">
        <f t="shared" ca="1" si="906"/>
        <v>-1.0092914719190538</v>
      </c>
      <c r="BN158" s="42">
        <f t="shared" ca="1" si="907"/>
        <v>-1.2026745311831768</v>
      </c>
      <c r="BO158" s="42">
        <f t="shared" ca="1" si="908"/>
        <v>0.15641743443115227</v>
      </c>
      <c r="BP158" s="42">
        <f t="shared" ca="1" si="909"/>
        <v>0.8435825655688477</v>
      </c>
      <c r="BQ158" s="42">
        <f t="shared" ca="1" si="910"/>
        <v>0.11455114671045706</v>
      </c>
      <c r="BR158" s="42">
        <f t="shared" ca="1" si="911"/>
        <v>0.88544885328954293</v>
      </c>
      <c r="BS158" s="42">
        <f t="shared" ca="1" si="912"/>
        <v>0.98162450344672281</v>
      </c>
      <c r="BT158" s="42">
        <f t="shared" ca="1" si="913"/>
        <v>88.34620531020505</v>
      </c>
      <c r="BU158" s="42">
        <f t="shared" ca="1" si="914"/>
        <v>0.98801719747153338</v>
      </c>
      <c r="BV158" s="42">
        <f t="shared" ca="1" si="915"/>
        <v>71.334841657444699</v>
      </c>
      <c r="BW158" s="42">
        <f t="shared" ca="1" si="916"/>
        <v>0.23972252487455611</v>
      </c>
      <c r="BX158" s="42">
        <f t="shared" ca="1" si="917"/>
        <v>1.0378537918085264</v>
      </c>
      <c r="BY158" s="42">
        <f t="shared" ca="1" si="918"/>
        <v>0.15454311520235439</v>
      </c>
      <c r="BZ158" s="42">
        <f t="shared" ca="1" si="919"/>
        <v>1.6963588283195455E-2</v>
      </c>
      <c r="CA158" s="42">
        <f t="shared" ca="1" si="707"/>
        <v>-1.0084497067639028E-2</v>
      </c>
      <c r="CB158" s="42">
        <f t="shared" ca="1" si="920"/>
        <v>0.11644226138675885</v>
      </c>
      <c r="CC158" s="42">
        <f t="shared" ca="1" si="921"/>
        <v>4.6923188336337483E-2</v>
      </c>
      <c r="CD158" s="42">
        <f t="shared" ca="1" si="922"/>
        <v>2881.0731040957367</v>
      </c>
      <c r="CE158" s="40"/>
      <c r="CF158" s="36">
        <f t="shared" si="710"/>
        <v>95</v>
      </c>
      <c r="CG158" s="35">
        <f t="shared" si="711"/>
        <v>0.28399999999999997</v>
      </c>
      <c r="CH158" s="197">
        <f t="shared" ca="1" si="628"/>
        <v>169.23611111111677</v>
      </c>
      <c r="CI158" s="41">
        <f t="shared" ca="1" si="712"/>
        <v>0.46366057838662128</v>
      </c>
      <c r="CJ158" s="40">
        <f t="shared" ca="1" si="923"/>
        <v>-0.27443684570176041</v>
      </c>
      <c r="CK158" s="40">
        <f t="shared" ca="1" si="924"/>
        <v>2.5189751902588361E-2</v>
      </c>
      <c r="CL158" s="40">
        <f t="shared" ca="1" si="925"/>
        <v>0.19338305926412305</v>
      </c>
      <c r="CM158" s="42">
        <f t="shared" ca="1" si="926"/>
        <v>-1.2888776025554014</v>
      </c>
      <c r="CN158" s="42">
        <f t="shared" ca="1" si="927"/>
        <v>-1.4822606618195244</v>
      </c>
      <c r="CO158" s="42">
        <f t="shared" ca="1" si="928"/>
        <v>9.8720320856790264E-2</v>
      </c>
      <c r="CP158" s="42">
        <f t="shared" ca="1" si="929"/>
        <v>0.90127967914320972</v>
      </c>
      <c r="CQ158" s="42">
        <f t="shared" ca="1" si="930"/>
        <v>6.9135475560981929E-2</v>
      </c>
      <c r="CR158" s="42">
        <f t="shared" ca="1" si="931"/>
        <v>0.93086452443901813</v>
      </c>
      <c r="CS158" s="42">
        <f t="shared" ca="1" si="932"/>
        <v>0.98162450344672281</v>
      </c>
      <c r="CT158" s="42">
        <f t="shared" ca="1" si="933"/>
        <v>93.254327827438672</v>
      </c>
      <c r="CU158" s="42">
        <f t="shared" ca="1" si="934"/>
        <v>0.98801719747153338</v>
      </c>
      <c r="CV158" s="42">
        <f t="shared" ca="1" si="935"/>
        <v>71.334841657444699</v>
      </c>
      <c r="CW158" s="42">
        <f t="shared" ca="1" si="936"/>
        <v>0.17385367699056933</v>
      </c>
      <c r="CX158" s="42">
        <f t="shared" ca="1" si="937"/>
        <v>0.59501615422158505</v>
      </c>
      <c r="CY158" s="42">
        <f t="shared" ca="1" si="938"/>
        <v>9.753737474641648E-2</v>
      </c>
      <c r="CZ158" s="42">
        <f t="shared" ca="1" si="939"/>
        <v>1.2302482628743127E-2</v>
      </c>
      <c r="DA158" s="42">
        <f t="shared" ca="1" si="730"/>
        <v>-7.2905753441225513E-3</v>
      </c>
      <c r="DB158" s="42">
        <f t="shared" ca="1" si="940"/>
        <v>8.4447280495557997E-2</v>
      </c>
      <c r="DC158" s="42">
        <f t="shared" ca="1" si="941"/>
        <v>2.9893042753270819E-2</v>
      </c>
      <c r="DD158" s="42">
        <f t="shared" ca="1" si="942"/>
        <v>-2277.4919228892077</v>
      </c>
      <c r="DE158" s="40"/>
      <c r="DF158" s="36">
        <f t="shared" si="733"/>
        <v>200</v>
      </c>
      <c r="DG158" s="35">
        <f t="shared" si="734"/>
        <v>0.28399999999999997</v>
      </c>
      <c r="DH158" s="197">
        <f t="shared" ca="1" si="629"/>
        <v>169.23611111111677</v>
      </c>
      <c r="DI158" s="41">
        <f t="shared" ca="1" si="735"/>
        <v>0.46366057838662128</v>
      </c>
      <c r="DJ158" s="40">
        <f t="shared" ca="1" si="943"/>
        <v>-1.0188773206492563</v>
      </c>
      <c r="DK158" s="40">
        <f t="shared" ca="1" si="944"/>
        <v>2.5189751902588361E-2</v>
      </c>
      <c r="DL158" s="40">
        <f t="shared" ca="1" si="945"/>
        <v>0.19338305926412305</v>
      </c>
      <c r="DM158" s="42">
        <f t="shared" ca="1" si="946"/>
        <v>-5.1384416635455494</v>
      </c>
      <c r="DN158" s="42">
        <f t="shared" ca="1" si="947"/>
        <v>-5.3318247228096727</v>
      </c>
      <c r="DO158" s="42">
        <f t="shared" ca="1" si="948"/>
        <v>1.3851308244599381E-7</v>
      </c>
      <c r="DP158" s="42">
        <f t="shared" ca="1" si="949"/>
        <v>0.99999986148691755</v>
      </c>
      <c r="DQ158" s="42">
        <f t="shared" ca="1" si="950"/>
        <v>4.8615382463326643E-8</v>
      </c>
      <c r="DR158" s="42">
        <f t="shared" ca="1" si="951"/>
        <v>0.9999999513846175</v>
      </c>
      <c r="DS158" s="42">
        <f t="shared" ca="1" si="952"/>
        <v>0.98162450344672281</v>
      </c>
      <c r="DT158" s="42">
        <f t="shared" ca="1" si="953"/>
        <v>196.32490068934456</v>
      </c>
      <c r="DU158" s="42">
        <f t="shared" ca="1" si="954"/>
        <v>0.98801719747153338</v>
      </c>
      <c r="DV158" s="42">
        <f t="shared" ca="1" si="955"/>
        <v>71.334841657444699</v>
      </c>
      <c r="DW158" s="42">
        <f t="shared" ca="1" si="956"/>
        <v>7.3696171142874893E-7</v>
      </c>
      <c r="DX158" s="42">
        <f t="shared" si="957"/>
        <v>0</v>
      </c>
      <c r="DY158" s="92">
        <f t="shared" ca="1" si="958"/>
        <v>0</v>
      </c>
      <c r="DZ158" s="42">
        <f t="shared" ca="1" si="959"/>
        <v>0</v>
      </c>
      <c r="EA158" s="42">
        <f t="shared" ca="1" si="753"/>
        <v>0</v>
      </c>
      <c r="EB158" s="42">
        <f t="shared" ca="1" si="960"/>
        <v>0</v>
      </c>
      <c r="EC158" s="42">
        <f t="shared" ca="1" si="961"/>
        <v>0</v>
      </c>
      <c r="ED158" s="42">
        <f t="shared" ca="1" si="962"/>
        <v>0</v>
      </c>
      <c r="EE158" s="40"/>
      <c r="EF158" s="120">
        <f t="shared" ca="1" si="756"/>
        <v>72.199999999999989</v>
      </c>
      <c r="EG158" s="42">
        <f t="shared" ca="1" si="757"/>
        <v>-3.7372358195802917</v>
      </c>
      <c r="EH158" s="36">
        <f t="shared" ca="1" si="758"/>
        <v>-3.7372358195802917</v>
      </c>
      <c r="EI158" s="143">
        <f t="shared" ca="1" si="854"/>
        <v>-3.7370000000000001</v>
      </c>
      <c r="EJ158" s="143">
        <f t="shared" ca="1" si="862"/>
        <v>1.7629999999999999</v>
      </c>
      <c r="EK158" s="153">
        <f t="shared" ca="1" si="855"/>
        <v>0</v>
      </c>
      <c r="EL158" s="143">
        <f t="shared" ca="1" si="856"/>
        <v>0</v>
      </c>
    </row>
    <row r="159" spans="1:144" x14ac:dyDescent="0.3">
      <c r="A159" s="143">
        <f t="shared" ca="1" si="857"/>
        <v>72.249999999999986</v>
      </c>
      <c r="B159" s="144">
        <f t="shared" ca="1" si="858"/>
        <v>0.28399999999999997</v>
      </c>
      <c r="C159" s="145">
        <f t="shared" ca="1" si="859"/>
        <v>45295.440972222219</v>
      </c>
      <c r="D159" s="144">
        <f t="shared" ca="1" si="860"/>
        <v>2.5999999999999999E-2</v>
      </c>
      <c r="E159" s="144">
        <f t="shared" ca="1" si="861"/>
        <v>0.04</v>
      </c>
      <c r="F159" s="36">
        <f t="shared" si="641"/>
        <v>75</v>
      </c>
      <c r="G159" s="35">
        <f t="shared" si="642"/>
        <v>0.28399999999999997</v>
      </c>
      <c r="H159" s="197">
        <f t="shared" ca="1" si="625"/>
        <v>169.23611111111677</v>
      </c>
      <c r="I159" s="41">
        <f t="shared" ca="1" si="643"/>
        <v>0.46366057838662128</v>
      </c>
      <c r="J159" s="40">
        <f t="shared" ca="1" si="863"/>
        <v>-3.7355786543769087E-2</v>
      </c>
      <c r="K159" s="40">
        <f t="shared" ca="1" si="864"/>
        <v>2.5189751902588361E-2</v>
      </c>
      <c r="L159" s="40">
        <f t="shared" ca="1" si="865"/>
        <v>0.19338305926412305</v>
      </c>
      <c r="M159" s="42">
        <f t="shared" ca="1" si="866"/>
        <v>-6.2911584331512338E-2</v>
      </c>
      <c r="N159" s="42">
        <f t="shared" ca="1" si="867"/>
        <v>-0.25629464359563536</v>
      </c>
      <c r="O159" s="42">
        <f t="shared" ca="1" si="868"/>
        <v>0.47491845507837521</v>
      </c>
      <c r="P159" s="42">
        <f t="shared" ca="1" si="869"/>
        <v>0.52508154492162484</v>
      </c>
      <c r="Q159" s="42">
        <f t="shared" ca="1" si="870"/>
        <v>0.39886166647842947</v>
      </c>
      <c r="R159" s="42">
        <f t="shared" ca="1" si="871"/>
        <v>0.60113833352157053</v>
      </c>
      <c r="S159" s="42">
        <f t="shared" ca="1" si="872"/>
        <v>0.98162450344672281</v>
      </c>
      <c r="T159" s="42">
        <f t="shared" ca="1" si="873"/>
        <v>73.621837758504213</v>
      </c>
      <c r="U159" s="42">
        <f t="shared" ca="1" si="874"/>
        <v>0.98801719747153338</v>
      </c>
      <c r="V159" s="42">
        <f t="shared" ca="1" si="875"/>
        <v>71.38424251731827</v>
      </c>
      <c r="W159" s="42">
        <f t="shared" ca="1" si="876"/>
        <v>0.39815358071938328</v>
      </c>
      <c r="X159" s="42">
        <f t="shared" ca="1" si="877"/>
        <v>6.7743605168892458</v>
      </c>
      <c r="Y159" s="42">
        <f t="shared" ca="1" si="878"/>
        <v>-0.51878959645748679</v>
      </c>
      <c r="Z159" s="42">
        <f t="shared" ca="1" si="879"/>
        <v>2.8155215257320943E-2</v>
      </c>
      <c r="AA159" s="42">
        <f t="shared" ca="1" si="661"/>
        <v>-1.4058509717291296E-2</v>
      </c>
      <c r="AB159" s="42">
        <f t="shared" ca="1" si="880"/>
        <v>0.19353212604332082</v>
      </c>
      <c r="AC159" s="42">
        <f t="shared" ca="1" si="881"/>
        <v>-0.20520183960068658</v>
      </c>
      <c r="AD159" s="42">
        <f t="shared" ca="1" si="882"/>
        <v>1587.180258444623</v>
      </c>
      <c r="AF159" s="36">
        <f t="shared" si="664"/>
        <v>80</v>
      </c>
      <c r="AG159" s="35">
        <f t="shared" si="665"/>
        <v>0.28399999999999997</v>
      </c>
      <c r="AH159" s="197">
        <f t="shared" ca="1" si="626"/>
        <v>169.23611111111677</v>
      </c>
      <c r="AI159" s="41">
        <f t="shared" ca="1" si="666"/>
        <v>0.46366057838662128</v>
      </c>
      <c r="AJ159" s="40">
        <f t="shared" ca="1" si="883"/>
        <v>-0.10189430768134024</v>
      </c>
      <c r="AK159" s="40">
        <f t="shared" ca="1" si="884"/>
        <v>2.5189751902588361E-2</v>
      </c>
      <c r="AL159" s="40">
        <f t="shared" ca="1" si="885"/>
        <v>0.19338305926412305</v>
      </c>
      <c r="AM159" s="42">
        <f t="shared" ca="1" si="886"/>
        <v>-0.39664568380826271</v>
      </c>
      <c r="AN159" s="42">
        <f t="shared" ca="1" si="887"/>
        <v>-0.59002874307238573</v>
      </c>
      <c r="AO159" s="42">
        <f t="shared" ca="1" si="888"/>
        <v>0.34581437964985212</v>
      </c>
      <c r="AP159" s="42">
        <f t="shared" ca="1" si="889"/>
        <v>0.65418562035014793</v>
      </c>
      <c r="AQ159" s="42">
        <f t="shared" ca="1" si="890"/>
        <v>0.27758568977790588</v>
      </c>
      <c r="AR159" s="42">
        <f t="shared" ca="1" si="891"/>
        <v>0.72241431022209412</v>
      </c>
      <c r="AS159" s="42">
        <f t="shared" ca="1" si="892"/>
        <v>0.98162450344672281</v>
      </c>
      <c r="AT159" s="42">
        <f t="shared" ca="1" si="893"/>
        <v>78.529960275737821</v>
      </c>
      <c r="AU159" s="42">
        <f t="shared" ca="1" si="894"/>
        <v>0.98801719747153338</v>
      </c>
      <c r="AV159" s="42">
        <f t="shared" ca="1" si="895"/>
        <v>71.38424251731827</v>
      </c>
      <c r="AW159" s="42">
        <f t="shared" ca="1" si="896"/>
        <v>0.36876251517495423</v>
      </c>
      <c r="AX159" s="42">
        <f t="shared" ca="1" si="897"/>
        <v>10.032622109948328</v>
      </c>
      <c r="AY159" s="42">
        <f t="shared" ca="1" si="898"/>
        <v>-0.64634664324452973</v>
      </c>
      <c r="AZ159" s="42">
        <f t="shared" ca="1" si="899"/>
        <v>2.6076841943309097E-2</v>
      </c>
      <c r="BA159" s="42">
        <f t="shared" ca="1" si="684"/>
        <v>-1.2149242564671058E-2</v>
      </c>
      <c r="BB159" s="42">
        <f t="shared" ca="1" si="900"/>
        <v>0.17924589159274859</v>
      </c>
      <c r="BC159" s="42">
        <f t="shared" ca="1" si="901"/>
        <v>-0.26304005742885</v>
      </c>
      <c r="BD159" s="42">
        <f t="shared" ca="1" si="902"/>
        <v>-2191.3110549741637</v>
      </c>
      <c r="BE159" s="40"/>
      <c r="BF159" s="36">
        <f t="shared" si="687"/>
        <v>90</v>
      </c>
      <c r="BG159" s="35">
        <f t="shared" si="688"/>
        <v>0.28399999999999997</v>
      </c>
      <c r="BH159" s="197">
        <f t="shared" ca="1" si="627"/>
        <v>169.23611111111677</v>
      </c>
      <c r="BI159" s="41">
        <f t="shared" ca="1" si="689"/>
        <v>0.46366057838662128</v>
      </c>
      <c r="BJ159" s="40">
        <f t="shared" ca="1" si="903"/>
        <v>-0.21967734333772376</v>
      </c>
      <c r="BK159" s="40">
        <f t="shared" ca="1" si="904"/>
        <v>2.5189751902588361E-2</v>
      </c>
      <c r="BL159" s="40">
        <f t="shared" ca="1" si="905"/>
        <v>0.19338305926412305</v>
      </c>
      <c r="BM159" s="42">
        <f t="shared" ca="1" si="906"/>
        <v>-1.0057116283877987</v>
      </c>
      <c r="BN159" s="42">
        <f t="shared" ca="1" si="907"/>
        <v>-1.1990946876519217</v>
      </c>
      <c r="BO159" s="42">
        <f t="shared" ca="1" si="908"/>
        <v>0.15727715391987934</v>
      </c>
      <c r="BP159" s="42">
        <f t="shared" ca="1" si="909"/>
        <v>0.8427228460801206</v>
      </c>
      <c r="BQ159" s="42">
        <f t="shared" ca="1" si="910"/>
        <v>0.11524556475748653</v>
      </c>
      <c r="BR159" s="42">
        <f t="shared" ca="1" si="911"/>
        <v>0.88475443524251352</v>
      </c>
      <c r="BS159" s="42">
        <f t="shared" ca="1" si="912"/>
        <v>0.98162450344672281</v>
      </c>
      <c r="BT159" s="42">
        <f t="shared" ca="1" si="913"/>
        <v>88.34620531020505</v>
      </c>
      <c r="BU159" s="42">
        <f t="shared" ca="1" si="914"/>
        <v>0.98801719747153338</v>
      </c>
      <c r="BV159" s="42">
        <f t="shared" ca="1" si="915"/>
        <v>71.38424251731827</v>
      </c>
      <c r="BW159" s="42">
        <f t="shared" ca="1" si="916"/>
        <v>0.24058869266713015</v>
      </c>
      <c r="BX159" s="42">
        <f t="shared" ca="1" si="917"/>
        <v>1.0456021726948244</v>
      </c>
      <c r="BY159" s="42">
        <f t="shared" ca="1" si="918"/>
        <v>0.15539253284221818</v>
      </c>
      <c r="BZ159" s="42">
        <f t="shared" ca="1" si="919"/>
        <v>1.7013099363018518E-2</v>
      </c>
      <c r="CA159" s="42">
        <f t="shared" ca="1" si="707"/>
        <v>-1.0128390785706045E-2</v>
      </c>
      <c r="CB159" s="42">
        <f t="shared" ca="1" si="920"/>
        <v>0.11694392176437372</v>
      </c>
      <c r="CC159" s="42">
        <f t="shared" ca="1" si="921"/>
        <v>4.7207640388897694E-2</v>
      </c>
      <c r="CD159" s="42">
        <f t="shared" ca="1" si="922"/>
        <v>2877.1989136525876</v>
      </c>
      <c r="CE159" s="40"/>
      <c r="CF159" s="36">
        <f t="shared" si="710"/>
        <v>95</v>
      </c>
      <c r="CG159" s="35">
        <f t="shared" si="711"/>
        <v>0.28399999999999997</v>
      </c>
      <c r="CH159" s="197">
        <f t="shared" ca="1" si="628"/>
        <v>169.23611111111677</v>
      </c>
      <c r="CI159" s="41">
        <f t="shared" ca="1" si="712"/>
        <v>0.46366057838662128</v>
      </c>
      <c r="CJ159" s="40">
        <f t="shared" ca="1" si="923"/>
        <v>-0.27374456460799956</v>
      </c>
      <c r="CK159" s="40">
        <f t="shared" ca="1" si="924"/>
        <v>2.5189751902588361E-2</v>
      </c>
      <c r="CL159" s="40">
        <f t="shared" ca="1" si="925"/>
        <v>0.19338305926412305</v>
      </c>
      <c r="CM159" s="42">
        <f t="shared" ca="1" si="926"/>
        <v>-1.285297759024147</v>
      </c>
      <c r="CN159" s="42">
        <f t="shared" ca="1" si="927"/>
        <v>-1.47868081828827</v>
      </c>
      <c r="CO159" s="42">
        <f t="shared" ca="1" si="928"/>
        <v>9.9344126493652651E-2</v>
      </c>
      <c r="CP159" s="42">
        <f t="shared" ca="1" si="929"/>
        <v>0.90065587350634735</v>
      </c>
      <c r="CQ159" s="42">
        <f t="shared" ca="1" si="930"/>
        <v>6.9612820641791848E-2</v>
      </c>
      <c r="CR159" s="42">
        <f t="shared" ca="1" si="931"/>
        <v>0.93038717935820814</v>
      </c>
      <c r="CS159" s="42">
        <f t="shared" ca="1" si="932"/>
        <v>0.98162450344672281</v>
      </c>
      <c r="CT159" s="42">
        <f t="shared" ca="1" si="933"/>
        <v>93.254327827438672</v>
      </c>
      <c r="CU159" s="42">
        <f t="shared" ca="1" si="934"/>
        <v>0.98801719747153338</v>
      </c>
      <c r="CV159" s="42">
        <f t="shared" ca="1" si="935"/>
        <v>71.38424251731827</v>
      </c>
      <c r="CW159" s="42">
        <f t="shared" ca="1" si="936"/>
        <v>0.17465656868354174</v>
      </c>
      <c r="CX159" s="42">
        <f t="shared" ca="1" si="937"/>
        <v>0.59990842117169674</v>
      </c>
      <c r="CY159" s="42">
        <f t="shared" ca="1" si="938"/>
        <v>9.8153705443516204E-2</v>
      </c>
      <c r="CZ159" s="42">
        <f t="shared" ca="1" si="939"/>
        <v>1.2350744852037394E-2</v>
      </c>
      <c r="DA159" s="42">
        <f t="shared" ca="1" si="730"/>
        <v>-7.3295869662271754E-3</v>
      </c>
      <c r="DB159" s="42">
        <f t="shared" ca="1" si="940"/>
        <v>8.4896026813784609E-2</v>
      </c>
      <c r="DC159" s="42">
        <f t="shared" ca="1" si="941"/>
        <v>3.0099438916643243E-2</v>
      </c>
      <c r="DD159" s="42">
        <f t="shared" ca="1" si="942"/>
        <v>-2275.0457894141518</v>
      </c>
      <c r="DE159" s="40"/>
      <c r="DF159" s="36">
        <f t="shared" si="733"/>
        <v>200</v>
      </c>
      <c r="DG159" s="35">
        <f t="shared" si="734"/>
        <v>0.28399999999999997</v>
      </c>
      <c r="DH159" s="197">
        <f t="shared" ca="1" si="629"/>
        <v>169.23611111111677</v>
      </c>
      <c r="DI159" s="41">
        <f t="shared" ca="1" si="735"/>
        <v>0.46366057838662128</v>
      </c>
      <c r="DJ159" s="40">
        <f t="shared" ca="1" si="943"/>
        <v>-1.0181850395554954</v>
      </c>
      <c r="DK159" s="40">
        <f t="shared" ca="1" si="944"/>
        <v>2.5189751902588361E-2</v>
      </c>
      <c r="DL159" s="40">
        <f t="shared" ca="1" si="945"/>
        <v>0.19338305926412305</v>
      </c>
      <c r="DM159" s="42">
        <f t="shared" ca="1" si="946"/>
        <v>-5.1348618200142946</v>
      </c>
      <c r="DN159" s="42">
        <f t="shared" ca="1" si="947"/>
        <v>-5.3282448792784178</v>
      </c>
      <c r="DO159" s="42">
        <f t="shared" ca="1" si="948"/>
        <v>1.4117569848971745E-7</v>
      </c>
      <c r="DP159" s="42">
        <f t="shared" ca="1" si="949"/>
        <v>0.99999985882430154</v>
      </c>
      <c r="DQ159" s="42">
        <f t="shared" ca="1" si="950"/>
        <v>4.9583182548485365E-8</v>
      </c>
      <c r="DR159" s="42">
        <f t="shared" ca="1" si="951"/>
        <v>0.99999995041681744</v>
      </c>
      <c r="DS159" s="42">
        <f t="shared" ca="1" si="952"/>
        <v>0.98162450344672281</v>
      </c>
      <c r="DT159" s="42">
        <f t="shared" ca="1" si="953"/>
        <v>196.32490068934456</v>
      </c>
      <c r="DU159" s="42">
        <f t="shared" ca="1" si="954"/>
        <v>0.98801719747153338</v>
      </c>
      <c r="DV159" s="42">
        <f t="shared" ca="1" si="955"/>
        <v>71.38424251731827</v>
      </c>
      <c r="DW159" s="42">
        <f t="shared" ca="1" si="956"/>
        <v>7.506386281613799E-7</v>
      </c>
      <c r="DX159" s="42">
        <f t="shared" si="957"/>
        <v>0</v>
      </c>
      <c r="DY159" s="92">
        <f t="shared" ca="1" si="958"/>
        <v>0</v>
      </c>
      <c r="DZ159" s="42">
        <f t="shared" ca="1" si="959"/>
        <v>0</v>
      </c>
      <c r="EA159" s="42">
        <f t="shared" ca="1" si="753"/>
        <v>0</v>
      </c>
      <c r="EB159" s="42">
        <f t="shared" ca="1" si="960"/>
        <v>0</v>
      </c>
      <c r="EC159" s="42">
        <f t="shared" ca="1" si="961"/>
        <v>0</v>
      </c>
      <c r="ED159" s="42">
        <f t="shared" ca="1" si="962"/>
        <v>0</v>
      </c>
      <c r="EE159" s="40"/>
      <c r="EF159" s="120">
        <f t="shared" ca="1" si="756"/>
        <v>72.249999999999986</v>
      </c>
      <c r="EG159" s="42">
        <f t="shared" ca="1" si="757"/>
        <v>-1.9776722911046818</v>
      </c>
      <c r="EH159" s="36">
        <f t="shared" ca="1" si="758"/>
        <v>-1.9776722911046818</v>
      </c>
      <c r="EI159" s="143">
        <f t="shared" ca="1" si="854"/>
        <v>-1.978</v>
      </c>
      <c r="EJ159" s="143">
        <f t="shared" ca="1" si="862"/>
        <v>1.7590000000000001</v>
      </c>
      <c r="EK159" s="153">
        <f t="shared" ca="1" si="855"/>
        <v>0</v>
      </c>
      <c r="EL159" s="143">
        <f t="shared" ca="1" si="856"/>
        <v>0</v>
      </c>
    </row>
    <row r="160" spans="1:144" x14ac:dyDescent="0.3">
      <c r="A160" s="143">
        <f t="shared" ca="1" si="857"/>
        <v>72.299999999999983</v>
      </c>
      <c r="B160" s="144">
        <f t="shared" ca="1" si="858"/>
        <v>0.28399999999999997</v>
      </c>
      <c r="C160" s="145">
        <f t="shared" ca="1" si="859"/>
        <v>45295.440972222219</v>
      </c>
      <c r="D160" s="144">
        <f t="shared" ca="1" si="860"/>
        <v>2.5999999999999999E-2</v>
      </c>
      <c r="E160" s="144">
        <f t="shared" ca="1" si="861"/>
        <v>0.04</v>
      </c>
      <c r="F160" s="36">
        <f t="shared" si="641"/>
        <v>75</v>
      </c>
      <c r="G160" s="35">
        <f t="shared" si="642"/>
        <v>0.28399999999999997</v>
      </c>
      <c r="H160" s="197">
        <f t="shared" ca="1" si="625"/>
        <v>169.23611111111677</v>
      </c>
      <c r="I160" s="41">
        <f t="shared" ca="1" si="643"/>
        <v>0.46366057838662128</v>
      </c>
      <c r="J160" s="40">
        <f t="shared" ca="1" si="863"/>
        <v>-3.6663984371591699E-2</v>
      </c>
      <c r="K160" s="40">
        <f t="shared" ca="1" si="864"/>
        <v>2.5189751902588361E-2</v>
      </c>
      <c r="L160" s="40">
        <f t="shared" ca="1" si="865"/>
        <v>0.19338305926412305</v>
      </c>
      <c r="M160" s="42">
        <f t="shared" ca="1" si="866"/>
        <v>-5.9334217343887413E-2</v>
      </c>
      <c r="N160" s="42">
        <f t="shared" ca="1" si="867"/>
        <v>-0.25271727660801047</v>
      </c>
      <c r="O160" s="42">
        <f t="shared" ca="1" si="868"/>
        <v>0.47634295380714575</v>
      </c>
      <c r="P160" s="42">
        <f t="shared" ca="1" si="869"/>
        <v>0.52365704619285425</v>
      </c>
      <c r="Q160" s="42">
        <f t="shared" ca="1" si="870"/>
        <v>0.40024334817469776</v>
      </c>
      <c r="R160" s="42">
        <f t="shared" ca="1" si="871"/>
        <v>0.59975665182530224</v>
      </c>
      <c r="S160" s="42">
        <f t="shared" ca="1" si="872"/>
        <v>0.98162450344672281</v>
      </c>
      <c r="T160" s="42">
        <f t="shared" ca="1" si="873"/>
        <v>73.621837758504213</v>
      </c>
      <c r="U160" s="42">
        <f t="shared" ca="1" si="874"/>
        <v>0.98801719747153338</v>
      </c>
      <c r="V160" s="42">
        <f t="shared" ca="1" si="875"/>
        <v>71.433643377191842</v>
      </c>
      <c r="W160" s="42">
        <f t="shared" ca="1" si="876"/>
        <v>0.39824065012106902</v>
      </c>
      <c r="X160" s="42">
        <f t="shared" ca="1" si="877"/>
        <v>6.7484562255720775</v>
      </c>
      <c r="Y160" s="42">
        <f t="shared" ca="1" si="878"/>
        <v>-0.5173821672156852</v>
      </c>
      <c r="Z160" s="42">
        <f t="shared" ca="1" si="879"/>
        <v>2.8141896961780648E-2</v>
      </c>
      <c r="AA160" s="42">
        <f t="shared" ca="1" si="661"/>
        <v>-1.4079047959041087E-2</v>
      </c>
      <c r="AB160" s="42">
        <f t="shared" ca="1" si="880"/>
        <v>0.19370840977644696</v>
      </c>
      <c r="AC160" s="42">
        <f t="shared" ca="1" si="881"/>
        <v>-0.20473019503901649</v>
      </c>
      <c r="AD160" s="42">
        <f t="shared" ca="1" si="882"/>
        <v>1574.2281127860388</v>
      </c>
      <c r="AF160" s="36">
        <f t="shared" si="664"/>
        <v>80</v>
      </c>
      <c r="AG160" s="35">
        <f t="shared" si="665"/>
        <v>0.28399999999999997</v>
      </c>
      <c r="AH160" s="197">
        <f t="shared" ca="1" si="626"/>
        <v>169.23611111111677</v>
      </c>
      <c r="AI160" s="41">
        <f t="shared" ca="1" si="666"/>
        <v>0.46366057838662128</v>
      </c>
      <c r="AJ160" s="40">
        <f t="shared" ca="1" si="883"/>
        <v>-0.10120250550916279</v>
      </c>
      <c r="AK160" s="40">
        <f t="shared" ca="1" si="884"/>
        <v>2.5189751902588361E-2</v>
      </c>
      <c r="AL160" s="40">
        <f t="shared" ca="1" si="885"/>
        <v>0.19338305926412305</v>
      </c>
      <c r="AM160" s="42">
        <f t="shared" ca="1" si="886"/>
        <v>-0.39306831682063748</v>
      </c>
      <c r="AN160" s="42">
        <f t="shared" ca="1" si="887"/>
        <v>-0.5864513760847605</v>
      </c>
      <c r="AO160" s="42">
        <f t="shared" ca="1" si="888"/>
        <v>0.34713451206074675</v>
      </c>
      <c r="AP160" s="42">
        <f t="shared" ca="1" si="889"/>
        <v>0.65286548793925325</v>
      </c>
      <c r="AQ160" s="42">
        <f t="shared" ca="1" si="890"/>
        <v>0.27878611396758313</v>
      </c>
      <c r="AR160" s="42">
        <f t="shared" ca="1" si="891"/>
        <v>0.72121388603241687</v>
      </c>
      <c r="AS160" s="42">
        <f t="shared" ca="1" si="892"/>
        <v>0.98162450344672281</v>
      </c>
      <c r="AT160" s="42">
        <f t="shared" ca="1" si="893"/>
        <v>78.529960275737821</v>
      </c>
      <c r="AU160" s="42">
        <f t="shared" ca="1" si="894"/>
        <v>0.98801719747153338</v>
      </c>
      <c r="AV160" s="42">
        <f t="shared" ca="1" si="895"/>
        <v>71.433643377191842</v>
      </c>
      <c r="AW160" s="42">
        <f t="shared" ca="1" si="896"/>
        <v>0.36928377814283009</v>
      </c>
      <c r="AX160" s="42">
        <f t="shared" ca="1" si="897"/>
        <v>10.000337381707247</v>
      </c>
      <c r="AY160" s="42">
        <f t="shared" ca="1" si="898"/>
        <v>-0.64504232971962616</v>
      </c>
      <c r="AZ160" s="42">
        <f t="shared" ca="1" si="899"/>
        <v>2.6095643503477643E-2</v>
      </c>
      <c r="BA160" s="42">
        <f t="shared" ca="1" si="684"/>
        <v>-1.2186840620704808E-2</v>
      </c>
      <c r="BB160" s="42">
        <f t="shared" ca="1" si="900"/>
        <v>0.17962348494192903</v>
      </c>
      <c r="BC160" s="42">
        <f t="shared" ca="1" si="901"/>
        <v>-0.26260296801447419</v>
      </c>
      <c r="BD160" s="42">
        <f t="shared" ca="1" si="902"/>
        <v>-2175.1686908536235</v>
      </c>
      <c r="BE160" s="40"/>
      <c r="BF160" s="36">
        <f t="shared" si="687"/>
        <v>90</v>
      </c>
      <c r="BG160" s="35">
        <f t="shared" si="688"/>
        <v>0.28399999999999997</v>
      </c>
      <c r="BH160" s="197">
        <f t="shared" ca="1" si="627"/>
        <v>169.23611111111677</v>
      </c>
      <c r="BI160" s="41">
        <f t="shared" ca="1" si="689"/>
        <v>0.46366057838662128</v>
      </c>
      <c r="BJ160" s="40">
        <f t="shared" ca="1" si="903"/>
        <v>-0.21898554116554633</v>
      </c>
      <c r="BK160" s="40">
        <f t="shared" ca="1" si="904"/>
        <v>2.5189751902588361E-2</v>
      </c>
      <c r="BL160" s="40">
        <f t="shared" ca="1" si="905"/>
        <v>0.19338305926412305</v>
      </c>
      <c r="BM160" s="42">
        <f t="shared" ca="1" si="906"/>
        <v>-1.0021342614001738</v>
      </c>
      <c r="BN160" s="42">
        <f t="shared" ca="1" si="907"/>
        <v>-1.1955173206642968</v>
      </c>
      <c r="BO160" s="42">
        <f t="shared" ca="1" si="908"/>
        <v>0.15813937625072824</v>
      </c>
      <c r="BP160" s="42">
        <f t="shared" ca="1" si="909"/>
        <v>0.84186062374927173</v>
      </c>
      <c r="BQ160" s="42">
        <f t="shared" ca="1" si="910"/>
        <v>0.11594248654725089</v>
      </c>
      <c r="BR160" s="42">
        <f t="shared" ca="1" si="911"/>
        <v>0.88405751345274908</v>
      </c>
      <c r="BS160" s="42">
        <f t="shared" ca="1" si="912"/>
        <v>0.98162450344672281</v>
      </c>
      <c r="BT160" s="42">
        <f t="shared" ca="1" si="913"/>
        <v>88.34620531020505</v>
      </c>
      <c r="BU160" s="42">
        <f t="shared" ca="1" si="914"/>
        <v>0.98801719747153338</v>
      </c>
      <c r="BV160" s="42">
        <f t="shared" ca="1" si="915"/>
        <v>71.433643377191842</v>
      </c>
      <c r="BW160" s="42">
        <f t="shared" ca="1" si="916"/>
        <v>0.24145429652553452</v>
      </c>
      <c r="BX160" s="42">
        <f t="shared" ca="1" si="917"/>
        <v>1.0533930863069667</v>
      </c>
      <c r="BY160" s="42">
        <f t="shared" ca="1" si="918"/>
        <v>0.15624442333314087</v>
      </c>
      <c r="BZ160" s="42">
        <f t="shared" ca="1" si="919"/>
        <v>1.7062502112064861E-2</v>
      </c>
      <c r="CA160" s="42">
        <f t="shared" ca="1" si="707"/>
        <v>-1.0172315837169285E-2</v>
      </c>
      <c r="CB160" s="42">
        <f t="shared" ca="1" si="920"/>
        <v>0.11744589056750715</v>
      </c>
      <c r="CC160" s="42">
        <f t="shared" ca="1" si="921"/>
        <v>4.749311804089771E-2</v>
      </c>
      <c r="CD160" s="42">
        <f t="shared" ca="1" si="922"/>
        <v>2873.3034568465164</v>
      </c>
      <c r="CE160" s="40"/>
      <c r="CF160" s="36">
        <f t="shared" si="710"/>
        <v>95</v>
      </c>
      <c r="CG160" s="35">
        <f t="shared" si="711"/>
        <v>0.28399999999999997</v>
      </c>
      <c r="CH160" s="197">
        <f t="shared" ca="1" si="628"/>
        <v>169.23611111111677</v>
      </c>
      <c r="CI160" s="41">
        <f t="shared" ca="1" si="712"/>
        <v>0.46366057838662128</v>
      </c>
      <c r="CJ160" s="40">
        <f t="shared" ca="1" si="923"/>
        <v>-0.27305276243582205</v>
      </c>
      <c r="CK160" s="40">
        <f t="shared" ca="1" si="924"/>
        <v>2.5189751902588361E-2</v>
      </c>
      <c r="CL160" s="40">
        <f t="shared" ca="1" si="925"/>
        <v>0.19338305926412305</v>
      </c>
      <c r="CM160" s="42">
        <f t="shared" ca="1" si="926"/>
        <v>-1.2817203920365214</v>
      </c>
      <c r="CN160" s="42">
        <f t="shared" ca="1" si="927"/>
        <v>-1.4751034513006445</v>
      </c>
      <c r="CO160" s="42">
        <f t="shared" ca="1" si="928"/>
        <v>9.9970374437429371E-2</v>
      </c>
      <c r="CP160" s="42">
        <f t="shared" ca="1" si="929"/>
        <v>0.9000296255625706</v>
      </c>
      <c r="CQ160" s="42">
        <f t="shared" ca="1" si="930"/>
        <v>7.0092366361372282E-2</v>
      </c>
      <c r="CR160" s="42">
        <f t="shared" ca="1" si="931"/>
        <v>0.92990763363862772</v>
      </c>
      <c r="CS160" s="42">
        <f t="shared" ca="1" si="932"/>
        <v>0.98162450344672281</v>
      </c>
      <c r="CT160" s="42">
        <f t="shared" ca="1" si="933"/>
        <v>93.254327827438672</v>
      </c>
      <c r="CU160" s="42">
        <f t="shared" ca="1" si="934"/>
        <v>0.98801719747153338</v>
      </c>
      <c r="CV160" s="42">
        <f t="shared" ca="1" si="935"/>
        <v>71.433643377191842</v>
      </c>
      <c r="CW160" s="42">
        <f t="shared" ca="1" si="936"/>
        <v>0.17546036274569457</v>
      </c>
      <c r="CX160" s="42">
        <f t="shared" ca="1" si="937"/>
        <v>0.60483156498331958</v>
      </c>
      <c r="CY160" s="42">
        <f t="shared" ca="1" si="938"/>
        <v>9.8772449181848784E-2</v>
      </c>
      <c r="CZ160" s="42">
        <f t="shared" ca="1" si="939"/>
        <v>1.2399004089022194E-2</v>
      </c>
      <c r="DA160" s="42">
        <f t="shared" ca="1" si="730"/>
        <v>-7.3686864114806674E-3</v>
      </c>
      <c r="DB160" s="42">
        <f t="shared" ca="1" si="940"/>
        <v>8.5345752212724404E-2</v>
      </c>
      <c r="DC160" s="42">
        <f t="shared" ca="1" si="941"/>
        <v>3.0306786600032231E-2</v>
      </c>
      <c r="DD160" s="42">
        <f t="shared" ca="1" si="942"/>
        <v>-2272.5842175083403</v>
      </c>
      <c r="DE160" s="40"/>
      <c r="DF160" s="36">
        <f t="shared" si="733"/>
        <v>200</v>
      </c>
      <c r="DG160" s="35">
        <f t="shared" si="734"/>
        <v>0.28399999999999997</v>
      </c>
      <c r="DH160" s="197">
        <f t="shared" ca="1" si="629"/>
        <v>169.23611111111677</v>
      </c>
      <c r="DI160" s="41">
        <f t="shared" ca="1" si="735"/>
        <v>0.46366057838662128</v>
      </c>
      <c r="DJ160" s="40">
        <f t="shared" ca="1" si="943"/>
        <v>-1.0174932373833179</v>
      </c>
      <c r="DK160" s="40">
        <f t="shared" ca="1" si="944"/>
        <v>2.5189751902588361E-2</v>
      </c>
      <c r="DL160" s="40">
        <f t="shared" ca="1" si="945"/>
        <v>0.19338305926412305</v>
      </c>
      <c r="DM160" s="42">
        <f t="shared" ca="1" si="946"/>
        <v>-5.1312844530266686</v>
      </c>
      <c r="DN160" s="42">
        <f t="shared" ca="1" si="947"/>
        <v>-5.3246675122907918</v>
      </c>
      <c r="DO160" s="42">
        <f t="shared" ca="1" si="948"/>
        <v>1.4388581785557686E-7</v>
      </c>
      <c r="DP160" s="42">
        <f t="shared" ca="1" si="949"/>
        <v>0.99999985611418218</v>
      </c>
      <c r="DQ160" s="42">
        <f t="shared" ca="1" si="950"/>
        <v>5.0568930946420814E-8</v>
      </c>
      <c r="DR160" s="42">
        <f t="shared" ca="1" si="951"/>
        <v>0.99999994943106907</v>
      </c>
      <c r="DS160" s="42">
        <f t="shared" ca="1" si="952"/>
        <v>0.98162450344672281</v>
      </c>
      <c r="DT160" s="42">
        <f t="shared" ca="1" si="953"/>
        <v>196.32490068934456</v>
      </c>
      <c r="DU160" s="42">
        <f t="shared" ca="1" si="954"/>
        <v>0.98801719747153338</v>
      </c>
      <c r="DV160" s="42">
        <f t="shared" ca="1" si="955"/>
        <v>71.433643377191842</v>
      </c>
      <c r="DW160" s="42">
        <f t="shared" ca="1" si="956"/>
        <v>7.645498542393056E-7</v>
      </c>
      <c r="DX160" s="42">
        <f t="shared" si="957"/>
        <v>0</v>
      </c>
      <c r="DY160" s="92">
        <f t="shared" ca="1" si="958"/>
        <v>0</v>
      </c>
      <c r="DZ160" s="42">
        <f t="shared" ca="1" si="959"/>
        <v>0</v>
      </c>
      <c r="EA160" s="42">
        <f t="shared" ca="1" si="753"/>
        <v>0</v>
      </c>
      <c r="EB160" s="42">
        <f t="shared" ca="1" si="960"/>
        <v>0</v>
      </c>
      <c r="EC160" s="42">
        <f t="shared" ca="1" si="961"/>
        <v>0</v>
      </c>
      <c r="ED160" s="42">
        <f t="shared" ca="1" si="962"/>
        <v>0</v>
      </c>
      <c r="EE160" s="40"/>
      <c r="EF160" s="120">
        <f t="shared" ca="1" si="756"/>
        <v>72.299999999999983</v>
      </c>
      <c r="EG160" s="42">
        <f t="shared" ca="1" si="757"/>
        <v>-0.2213387294086715</v>
      </c>
      <c r="EH160" s="36">
        <f t="shared" ca="1" si="758"/>
        <v>-0.2213387294086715</v>
      </c>
      <c r="EI160" s="143">
        <f t="shared" ca="1" si="854"/>
        <v>-0.221</v>
      </c>
      <c r="EJ160" s="143">
        <f t="shared" ca="1" si="862"/>
        <v>1.7569999999999999</v>
      </c>
      <c r="EK160" s="153">
        <f t="shared" ca="1" si="855"/>
        <v>0</v>
      </c>
      <c r="EL160" s="143">
        <f t="shared" ca="1" si="856"/>
        <v>0</v>
      </c>
    </row>
    <row r="161" spans="1:142" x14ac:dyDescent="0.3">
      <c r="A161" s="143">
        <f t="shared" ca="1" si="857"/>
        <v>72.34999999999998</v>
      </c>
      <c r="B161" s="144">
        <f t="shared" ca="1" si="858"/>
        <v>0.28399999999999997</v>
      </c>
      <c r="C161" s="145">
        <f t="shared" ca="1" si="859"/>
        <v>45295.440972222219</v>
      </c>
      <c r="D161" s="144">
        <f t="shared" ca="1" si="860"/>
        <v>2.5999999999999999E-2</v>
      </c>
      <c r="E161" s="144">
        <f t="shared" ca="1" si="861"/>
        <v>0.04</v>
      </c>
      <c r="F161" s="36">
        <f t="shared" si="641"/>
        <v>75</v>
      </c>
      <c r="G161" s="35">
        <f t="shared" si="642"/>
        <v>0.28399999999999997</v>
      </c>
      <c r="H161" s="197">
        <f t="shared" ca="1" si="625"/>
        <v>169.23611111111677</v>
      </c>
      <c r="I161" s="41">
        <f t="shared" ca="1" si="643"/>
        <v>0.46366057838662128</v>
      </c>
      <c r="J161" s="40">
        <f t="shared" ca="1" si="863"/>
        <v>-3.59726604588178E-2</v>
      </c>
      <c r="K161" s="40">
        <f t="shared" ca="1" si="864"/>
        <v>2.5189751902588361E-2</v>
      </c>
      <c r="L161" s="40">
        <f t="shared" ca="1" si="865"/>
        <v>0.19338305926412305</v>
      </c>
      <c r="M161" s="42">
        <f t="shared" ca="1" si="866"/>
        <v>-5.5759323475703816E-2</v>
      </c>
      <c r="N161" s="42">
        <f t="shared" ca="1" si="867"/>
        <v>-0.24914238273982686</v>
      </c>
      <c r="O161" s="42">
        <f t="shared" ca="1" si="868"/>
        <v>0.47776676983277189</v>
      </c>
      <c r="P161" s="42">
        <f t="shared" ca="1" si="869"/>
        <v>0.52223323016722811</v>
      </c>
      <c r="Q161" s="42">
        <f t="shared" ca="1" si="870"/>
        <v>0.40162532307954457</v>
      </c>
      <c r="R161" s="42">
        <f t="shared" ca="1" si="871"/>
        <v>0.59837467692045543</v>
      </c>
      <c r="S161" s="42">
        <f t="shared" ca="1" si="872"/>
        <v>0.98162450344672281</v>
      </c>
      <c r="T161" s="42">
        <f t="shared" ca="1" si="873"/>
        <v>73.621837758504213</v>
      </c>
      <c r="U161" s="42">
        <f t="shared" ca="1" si="874"/>
        <v>0.98801719747153338</v>
      </c>
      <c r="V161" s="42">
        <f t="shared" ca="1" si="875"/>
        <v>71.483044237065414</v>
      </c>
      <c r="W161" s="42">
        <f t="shared" ca="1" si="876"/>
        <v>0.39832258604774062</v>
      </c>
      <c r="X161" s="42">
        <f t="shared" ca="1" si="877"/>
        <v>6.7226222889256135</v>
      </c>
      <c r="Y161" s="42">
        <f t="shared" ca="1" si="878"/>
        <v>-0.51597541249633094</v>
      </c>
      <c r="Z161" s="42">
        <f t="shared" ca="1" si="879"/>
        <v>2.8128234565220813E-2</v>
      </c>
      <c r="AA161" s="42">
        <f t="shared" ca="1" si="661"/>
        <v>-1.4099377274974338E-2</v>
      </c>
      <c r="AB161" s="42">
        <f t="shared" ca="1" si="880"/>
        <v>0.19388225338432577</v>
      </c>
      <c r="AC161" s="42">
        <f t="shared" ca="1" si="881"/>
        <v>-0.20425845038900348</v>
      </c>
      <c r="AD161" s="42">
        <f t="shared" ca="1" si="882"/>
        <v>1561.3111444628066</v>
      </c>
      <c r="AF161" s="36">
        <f t="shared" si="664"/>
        <v>80</v>
      </c>
      <c r="AG161" s="35">
        <f t="shared" si="665"/>
        <v>0.28399999999999997</v>
      </c>
      <c r="AH161" s="197">
        <f t="shared" ca="1" si="626"/>
        <v>169.23611111111677</v>
      </c>
      <c r="AI161" s="41">
        <f t="shared" ca="1" si="666"/>
        <v>0.46366057838662128</v>
      </c>
      <c r="AJ161" s="40">
        <f t="shared" ca="1" si="883"/>
        <v>-0.10051118159638907</v>
      </c>
      <c r="AK161" s="40">
        <f t="shared" ca="1" si="884"/>
        <v>2.5189751902588361E-2</v>
      </c>
      <c r="AL161" s="40">
        <f t="shared" ca="1" si="885"/>
        <v>0.19338305926412305</v>
      </c>
      <c r="AM161" s="42">
        <f t="shared" ca="1" si="886"/>
        <v>-0.38949342295245476</v>
      </c>
      <c r="AN161" s="42">
        <f t="shared" ca="1" si="887"/>
        <v>-0.58287648221657784</v>
      </c>
      <c r="AO161" s="42">
        <f t="shared" ca="1" si="888"/>
        <v>0.34845558751736516</v>
      </c>
      <c r="AP161" s="42">
        <f t="shared" ca="1" si="889"/>
        <v>0.65154441248263484</v>
      </c>
      <c r="AQ161" s="42">
        <f t="shared" ca="1" si="890"/>
        <v>0.27998822673690427</v>
      </c>
      <c r="AR161" s="42">
        <f t="shared" ca="1" si="891"/>
        <v>0.72001177326309573</v>
      </c>
      <c r="AS161" s="42">
        <f t="shared" ca="1" si="892"/>
        <v>0.98162450344672281</v>
      </c>
      <c r="AT161" s="42">
        <f t="shared" ca="1" si="893"/>
        <v>78.529960275737821</v>
      </c>
      <c r="AU161" s="42">
        <f t="shared" ca="1" si="894"/>
        <v>0.98801719747153338</v>
      </c>
      <c r="AV161" s="42">
        <f t="shared" ca="1" si="895"/>
        <v>71.483044237065414</v>
      </c>
      <c r="AW161" s="42">
        <f t="shared" ca="1" si="896"/>
        <v>0.3698006891461767</v>
      </c>
      <c r="AX161" s="42">
        <f t="shared" ca="1" si="897"/>
        <v>9.9681178925054752</v>
      </c>
      <c r="AY161" s="42">
        <f t="shared" ca="1" si="898"/>
        <v>-0.64373708444932964</v>
      </c>
      <c r="AZ161" s="42">
        <f t="shared" ca="1" si="899"/>
        <v>2.6114111755232632E-2</v>
      </c>
      <c r="BA161" s="42">
        <f t="shared" ca="1" si="684"/>
        <v>-1.222429080134995E-2</v>
      </c>
      <c r="BB161" s="42">
        <f t="shared" ca="1" si="900"/>
        <v>0.17999931067465011</v>
      </c>
      <c r="BC161" s="42">
        <f t="shared" ca="1" si="901"/>
        <v>-0.26216526376719679</v>
      </c>
      <c r="BD161" s="42">
        <f t="shared" ca="1" si="902"/>
        <v>-2159.0589462527373</v>
      </c>
      <c r="BE161" s="40"/>
      <c r="BF161" s="36">
        <f t="shared" si="687"/>
        <v>90</v>
      </c>
      <c r="BG161" s="35">
        <f t="shared" si="688"/>
        <v>0.28399999999999997</v>
      </c>
      <c r="BH161" s="197">
        <f t="shared" ca="1" si="627"/>
        <v>169.23611111111677</v>
      </c>
      <c r="BI161" s="41">
        <f t="shared" ca="1" si="689"/>
        <v>0.46366057838662128</v>
      </c>
      <c r="BJ161" s="40">
        <f t="shared" ca="1" si="903"/>
        <v>-0.21829421725277248</v>
      </c>
      <c r="BK161" s="40">
        <f t="shared" ca="1" si="904"/>
        <v>2.5189751902588361E-2</v>
      </c>
      <c r="BL161" s="40">
        <f t="shared" ca="1" si="905"/>
        <v>0.19338305926412305</v>
      </c>
      <c r="BM161" s="42">
        <f t="shared" ca="1" si="906"/>
        <v>-0.99855936753199026</v>
      </c>
      <c r="BN161" s="42">
        <f t="shared" ca="1" si="907"/>
        <v>-1.1919424267961134</v>
      </c>
      <c r="BO161" s="42">
        <f t="shared" ca="1" si="908"/>
        <v>0.15900409590909168</v>
      </c>
      <c r="BP161" s="42">
        <f t="shared" ca="1" si="909"/>
        <v>0.8409959040909083</v>
      </c>
      <c r="BQ161" s="42">
        <f t="shared" ca="1" si="910"/>
        <v>0.11664191041833351</v>
      </c>
      <c r="BR161" s="42">
        <f t="shared" ca="1" si="911"/>
        <v>0.88335808958166651</v>
      </c>
      <c r="BS161" s="42">
        <f t="shared" ca="1" si="912"/>
        <v>0.98162450344672281</v>
      </c>
      <c r="BT161" s="42">
        <f t="shared" ca="1" si="913"/>
        <v>88.34620531020505</v>
      </c>
      <c r="BU161" s="42">
        <f t="shared" ca="1" si="914"/>
        <v>0.98801719747153338</v>
      </c>
      <c r="BV161" s="42">
        <f t="shared" ca="1" si="915"/>
        <v>71.483044237065414</v>
      </c>
      <c r="BW161" s="42">
        <f t="shared" ca="1" si="916"/>
        <v>0.24231931515994898</v>
      </c>
      <c r="BX161" s="42">
        <f t="shared" ca="1" si="917"/>
        <v>1.061226656151554</v>
      </c>
      <c r="BY161" s="42">
        <f t="shared" ca="1" si="918"/>
        <v>0.15709878122659565</v>
      </c>
      <c r="BZ161" s="42">
        <f t="shared" ca="1" si="919"/>
        <v>1.7111795251514524E-2</v>
      </c>
      <c r="CA161" s="42">
        <f t="shared" ca="1" si="707"/>
        <v>-1.0216271290348739E-2</v>
      </c>
      <c r="CB161" s="42">
        <f t="shared" ca="1" si="920"/>
        <v>0.1179481568643125</v>
      </c>
      <c r="CC161" s="42">
        <f t="shared" ca="1" si="921"/>
        <v>4.77796206117772E-2</v>
      </c>
      <c r="CD161" s="42">
        <f t="shared" ca="1" si="922"/>
        <v>2869.3866719242228</v>
      </c>
      <c r="CE161" s="40"/>
      <c r="CF161" s="36">
        <f t="shared" si="710"/>
        <v>95</v>
      </c>
      <c r="CG161" s="35">
        <f t="shared" si="711"/>
        <v>0.28399999999999997</v>
      </c>
      <c r="CH161" s="197">
        <f t="shared" ca="1" si="628"/>
        <v>169.23611111111677</v>
      </c>
      <c r="CI161" s="41">
        <f t="shared" ca="1" si="712"/>
        <v>0.46366057838662128</v>
      </c>
      <c r="CJ161" s="40">
        <f t="shared" ca="1" si="923"/>
        <v>-0.27236143852304828</v>
      </c>
      <c r="CK161" s="40">
        <f t="shared" ca="1" si="924"/>
        <v>2.5189751902588361E-2</v>
      </c>
      <c r="CL161" s="40">
        <f t="shared" ca="1" si="925"/>
        <v>0.19338305926412305</v>
      </c>
      <c r="CM161" s="42">
        <f t="shared" ca="1" si="926"/>
        <v>-1.2781454981683387</v>
      </c>
      <c r="CN161" s="42">
        <f t="shared" ca="1" si="927"/>
        <v>-1.4715285574324617</v>
      </c>
      <c r="CO161" s="42">
        <f t="shared" ca="1" si="928"/>
        <v>0.10059906450828864</v>
      </c>
      <c r="CP161" s="42">
        <f t="shared" ca="1" si="929"/>
        <v>0.89940093549171141</v>
      </c>
      <c r="CQ161" s="42">
        <f t="shared" ca="1" si="930"/>
        <v>7.057411516951205E-2</v>
      </c>
      <c r="CR161" s="42">
        <f t="shared" ca="1" si="931"/>
        <v>0.92942588483048794</v>
      </c>
      <c r="CS161" s="42">
        <f t="shared" ca="1" si="932"/>
        <v>0.98162450344672281</v>
      </c>
      <c r="CT161" s="42">
        <f t="shared" ca="1" si="933"/>
        <v>93.254327827438672</v>
      </c>
      <c r="CU161" s="42">
        <f t="shared" ca="1" si="934"/>
        <v>0.98801719747153338</v>
      </c>
      <c r="CV161" s="42">
        <f t="shared" ca="1" si="935"/>
        <v>71.483044237065414</v>
      </c>
      <c r="CW161" s="42">
        <f t="shared" ca="1" si="936"/>
        <v>0.17626504302267043</v>
      </c>
      <c r="CX161" s="42">
        <f t="shared" ca="1" si="937"/>
        <v>0.6097857063043044</v>
      </c>
      <c r="CY161" s="42">
        <f t="shared" ca="1" si="938"/>
        <v>9.9393605783737335E-2</v>
      </c>
      <c r="CZ161" s="42">
        <f t="shared" ca="1" si="939"/>
        <v>1.2447259205121177E-2</v>
      </c>
      <c r="DA161" s="42">
        <f t="shared" ca="1" si="730"/>
        <v>-7.4078730966956798E-3</v>
      </c>
      <c r="DB161" s="42">
        <f t="shared" ca="1" si="940"/>
        <v>8.5796449739921329E-2</v>
      </c>
      <c r="DC161" s="42">
        <f t="shared" ca="1" si="941"/>
        <v>3.0515086862686197E-2</v>
      </c>
      <c r="DD161" s="42">
        <f t="shared" ca="1" si="942"/>
        <v>-2270.1071468478481</v>
      </c>
      <c r="DE161" s="40"/>
      <c r="DF161" s="36">
        <f t="shared" si="733"/>
        <v>200</v>
      </c>
      <c r="DG161" s="35">
        <f t="shared" si="734"/>
        <v>0.28399999999999997</v>
      </c>
      <c r="DH161" s="197">
        <f t="shared" ca="1" si="629"/>
        <v>169.23611111111677</v>
      </c>
      <c r="DI161" s="41">
        <f t="shared" ca="1" si="735"/>
        <v>0.46366057838662128</v>
      </c>
      <c r="DJ161" s="40">
        <f t="shared" ca="1" si="943"/>
        <v>-1.0168019134705442</v>
      </c>
      <c r="DK161" s="40">
        <f t="shared" ca="1" si="944"/>
        <v>2.5189751902588361E-2</v>
      </c>
      <c r="DL161" s="40">
        <f t="shared" ca="1" si="945"/>
        <v>0.19338305926412305</v>
      </c>
      <c r="DM161" s="42">
        <f t="shared" ca="1" si="946"/>
        <v>-5.127709559158486</v>
      </c>
      <c r="DN161" s="42">
        <f t="shared" ca="1" si="947"/>
        <v>-5.3210926184226093</v>
      </c>
      <c r="DO161" s="42">
        <f t="shared" ca="1" si="948"/>
        <v>1.4664421902048991E-7</v>
      </c>
      <c r="DP161" s="42">
        <f t="shared" ca="1" si="949"/>
        <v>0.99999985335578101</v>
      </c>
      <c r="DQ161" s="42">
        <f t="shared" ca="1" si="950"/>
        <v>5.1572934913768781E-8</v>
      </c>
      <c r="DR161" s="42">
        <f t="shared" ca="1" si="951"/>
        <v>0.99999994842706508</v>
      </c>
      <c r="DS161" s="42">
        <f t="shared" ca="1" si="952"/>
        <v>0.98162450344672281</v>
      </c>
      <c r="DT161" s="42">
        <f t="shared" ca="1" si="953"/>
        <v>196.32490068934456</v>
      </c>
      <c r="DU161" s="42">
        <f t="shared" ca="1" si="954"/>
        <v>0.98801719747153338</v>
      </c>
      <c r="DV161" s="42">
        <f t="shared" ca="1" si="955"/>
        <v>71.483044237065414</v>
      </c>
      <c r="DW161" s="42">
        <f t="shared" ca="1" si="956"/>
        <v>7.7869904968766793E-7</v>
      </c>
      <c r="DX161" s="42">
        <f t="shared" si="957"/>
        <v>0</v>
      </c>
      <c r="DY161" s="92">
        <f t="shared" ca="1" si="958"/>
        <v>0</v>
      </c>
      <c r="DZ161" s="42">
        <f t="shared" ca="1" si="959"/>
        <v>0</v>
      </c>
      <c r="EA161" s="42">
        <f t="shared" ca="1" si="753"/>
        <v>0</v>
      </c>
      <c r="EB161" s="42">
        <f t="shared" ca="1" si="960"/>
        <v>0</v>
      </c>
      <c r="EC161" s="42">
        <f t="shared" ca="1" si="961"/>
        <v>0</v>
      </c>
      <c r="ED161" s="42">
        <f t="shared" ca="1" si="962"/>
        <v>0</v>
      </c>
      <c r="EE161" s="40"/>
      <c r="EF161" s="120">
        <f t="shared" ca="1" si="756"/>
        <v>72.34999999999998</v>
      </c>
      <c r="EG161" s="42">
        <f t="shared" ca="1" si="757"/>
        <v>1.5317232864440484</v>
      </c>
      <c r="EH161" s="36">
        <f t="shared" ca="1" si="758"/>
        <v>1.5317232864440484</v>
      </c>
      <c r="EI161" s="143">
        <f t="shared" ca="1" si="854"/>
        <v>1.532</v>
      </c>
      <c r="EJ161" s="143">
        <f t="shared" ca="1" si="862"/>
        <v>1.7530000000000001</v>
      </c>
      <c r="EK161" s="153">
        <f t="shared" ca="1" si="855"/>
        <v>0</v>
      </c>
      <c r="EL161" s="143">
        <f t="shared" ca="1" si="856"/>
        <v>2</v>
      </c>
    </row>
    <row r="162" spans="1:142" x14ac:dyDescent="0.3">
      <c r="A162" s="143">
        <f t="shared" ca="1" si="857"/>
        <v>72.399999999999977</v>
      </c>
      <c r="B162" s="144">
        <f t="shared" ca="1" si="858"/>
        <v>0.28399999999999997</v>
      </c>
      <c r="C162" s="145">
        <f t="shared" ca="1" si="859"/>
        <v>45295.440972222219</v>
      </c>
      <c r="D162" s="144">
        <f t="shared" ca="1" si="860"/>
        <v>2.5999999999999999E-2</v>
      </c>
      <c r="E162" s="144">
        <f t="shared" ca="1" si="861"/>
        <v>0.04</v>
      </c>
      <c r="F162" s="36">
        <f t="shared" si="641"/>
        <v>75</v>
      </c>
      <c r="G162" s="35">
        <f t="shared" si="642"/>
        <v>0.28399999999999997</v>
      </c>
      <c r="H162" s="197">
        <f t="shared" ca="1" si="625"/>
        <v>169.23611111111677</v>
      </c>
      <c r="I162" s="41">
        <f t="shared" ca="1" si="643"/>
        <v>0.46366057838662128</v>
      </c>
      <c r="J162" s="40">
        <f t="shared" ca="1" si="863"/>
        <v>-3.5281814144640058E-2</v>
      </c>
      <c r="K162" s="40">
        <f t="shared" ca="1" si="864"/>
        <v>2.5189751902588361E-2</v>
      </c>
      <c r="L162" s="40">
        <f t="shared" ca="1" si="865"/>
        <v>0.19338305926412305</v>
      </c>
      <c r="M162" s="42">
        <f t="shared" ca="1" si="866"/>
        <v>-5.2186899309871471E-2</v>
      </c>
      <c r="N162" s="42">
        <f t="shared" ca="1" si="867"/>
        <v>-0.24556995857399452</v>
      </c>
      <c r="O162" s="42">
        <f t="shared" ca="1" si="868"/>
        <v>0.47918988577286081</v>
      </c>
      <c r="P162" s="42">
        <f t="shared" ca="1" si="869"/>
        <v>0.52081011422713919</v>
      </c>
      <c r="Q162" s="42">
        <f t="shared" ca="1" si="870"/>
        <v>0.403007573393527</v>
      </c>
      <c r="R162" s="42">
        <f t="shared" ca="1" si="871"/>
        <v>0.596992426606473</v>
      </c>
      <c r="S162" s="42">
        <f t="shared" ca="1" si="872"/>
        <v>0.98162450344672281</v>
      </c>
      <c r="T162" s="42">
        <f t="shared" ca="1" si="873"/>
        <v>73.621837758504213</v>
      </c>
      <c r="U162" s="42">
        <f t="shared" ca="1" si="874"/>
        <v>0.98801719747153338</v>
      </c>
      <c r="V162" s="42">
        <f t="shared" ca="1" si="875"/>
        <v>71.532445096939</v>
      </c>
      <c r="W162" s="42">
        <f t="shared" ca="1" si="876"/>
        <v>0.3983993959612111</v>
      </c>
      <c r="X162" s="42">
        <f t="shared" ca="1" si="877"/>
        <v>6.6968586727941286</v>
      </c>
      <c r="Y162" s="42">
        <f t="shared" ca="1" si="878"/>
        <v>-0.51456934947352728</v>
      </c>
      <c r="Z162" s="42">
        <f t="shared" ca="1" si="879"/>
        <v>2.8114229307122783E-2</v>
      </c>
      <c r="AA162" s="42">
        <f t="shared" ca="1" si="661"/>
        <v>-1.4119497487548085E-2</v>
      </c>
      <c r="AB162" s="42">
        <f t="shared" ca="1" si="880"/>
        <v>0.19405365532103322</v>
      </c>
      <c r="AC162" s="42">
        <f t="shared" ca="1" si="881"/>
        <v>-0.2037866117265841</v>
      </c>
      <c r="AD162" s="42">
        <f t="shared" ca="1" si="882"/>
        <v>1548.4293363970642</v>
      </c>
      <c r="AF162" s="36">
        <f t="shared" si="664"/>
        <v>80</v>
      </c>
      <c r="AG162" s="35">
        <f t="shared" si="665"/>
        <v>0.28399999999999997</v>
      </c>
      <c r="AH162" s="197">
        <f t="shared" ca="1" si="626"/>
        <v>169.23611111111677</v>
      </c>
      <c r="AI162" s="41">
        <f t="shared" ca="1" si="666"/>
        <v>0.46366057838662128</v>
      </c>
      <c r="AJ162" s="40">
        <f t="shared" ca="1" si="883"/>
        <v>-9.9820335282211264E-2</v>
      </c>
      <c r="AK162" s="40">
        <f t="shared" ca="1" si="884"/>
        <v>2.5189751902588361E-2</v>
      </c>
      <c r="AL162" s="40">
        <f t="shared" ca="1" si="885"/>
        <v>0.19338305926412305</v>
      </c>
      <c r="AM162" s="42">
        <f t="shared" ca="1" si="886"/>
        <v>-0.38592099878662212</v>
      </c>
      <c r="AN162" s="42">
        <f t="shared" ca="1" si="887"/>
        <v>-0.57930405805074514</v>
      </c>
      <c r="AO162" s="42">
        <f t="shared" ca="1" si="888"/>
        <v>0.34977758915169804</v>
      </c>
      <c r="AP162" s="42">
        <f t="shared" ca="1" si="889"/>
        <v>0.6502224108483019</v>
      </c>
      <c r="AQ162" s="42">
        <f t="shared" ca="1" si="890"/>
        <v>0.28119201391269577</v>
      </c>
      <c r="AR162" s="42">
        <f t="shared" ca="1" si="891"/>
        <v>0.71880798608730423</v>
      </c>
      <c r="AS162" s="42">
        <f t="shared" ca="1" si="892"/>
        <v>0.98162450344672281</v>
      </c>
      <c r="AT162" s="42">
        <f t="shared" ca="1" si="893"/>
        <v>78.529960275737821</v>
      </c>
      <c r="AU162" s="42">
        <f t="shared" ca="1" si="894"/>
        <v>0.98801719747153338</v>
      </c>
      <c r="AV162" s="42">
        <f t="shared" ca="1" si="895"/>
        <v>71.532445096939</v>
      </c>
      <c r="AW162" s="42">
        <f t="shared" ca="1" si="896"/>
        <v>0.37031323816748346</v>
      </c>
      <c r="AX162" s="42">
        <f t="shared" ca="1" si="897"/>
        <v>9.9359636885136382</v>
      </c>
      <c r="AY162" s="42">
        <f t="shared" ca="1" si="898"/>
        <v>-0.64243092409952318</v>
      </c>
      <c r="AZ162" s="42">
        <f t="shared" ca="1" si="899"/>
        <v>2.6132246682214959E-2</v>
      </c>
      <c r="BA162" s="42">
        <f t="shared" ca="1" si="684"/>
        <v>-1.2261592282717476E-2</v>
      </c>
      <c r="BB162" s="42">
        <f t="shared" ca="1" si="900"/>
        <v>0.18037335951976444</v>
      </c>
      <c r="BC162" s="42">
        <f t="shared" ca="1" si="901"/>
        <v>-0.26172694984764699</v>
      </c>
      <c r="BD162" s="42">
        <f t="shared" ca="1" si="902"/>
        <v>-2142.9818442568189</v>
      </c>
      <c r="BE162" s="40"/>
      <c r="BF162" s="36">
        <f t="shared" si="687"/>
        <v>90</v>
      </c>
      <c r="BG162" s="35">
        <f t="shared" si="688"/>
        <v>0.28399999999999997</v>
      </c>
      <c r="BH162" s="197">
        <f t="shared" ca="1" si="627"/>
        <v>169.23611111111677</v>
      </c>
      <c r="BI162" s="41">
        <f t="shared" ca="1" si="689"/>
        <v>0.46366057838662128</v>
      </c>
      <c r="BJ162" s="40">
        <f t="shared" ca="1" si="903"/>
        <v>-0.21760337093859472</v>
      </c>
      <c r="BK162" s="40">
        <f t="shared" ca="1" si="904"/>
        <v>2.5189751902588361E-2</v>
      </c>
      <c r="BL162" s="40">
        <f t="shared" ca="1" si="905"/>
        <v>0.19338305926412305</v>
      </c>
      <c r="BM162" s="42">
        <f t="shared" ca="1" si="906"/>
        <v>-0.99498694336615778</v>
      </c>
      <c r="BN162" s="42">
        <f t="shared" ca="1" si="907"/>
        <v>-1.1883700026302808</v>
      </c>
      <c r="BO162" s="42">
        <f t="shared" ca="1" si="908"/>
        <v>0.15987130731575308</v>
      </c>
      <c r="BP162" s="42">
        <f t="shared" ca="1" si="909"/>
        <v>0.84012869268424695</v>
      </c>
      <c r="BQ162" s="42">
        <f t="shared" ca="1" si="910"/>
        <v>0.1173438346477719</v>
      </c>
      <c r="BR162" s="42">
        <f t="shared" ca="1" si="911"/>
        <v>0.88265616535222813</v>
      </c>
      <c r="BS162" s="42">
        <f t="shared" ca="1" si="912"/>
        <v>0.98162450344672281</v>
      </c>
      <c r="BT162" s="42">
        <f t="shared" ca="1" si="913"/>
        <v>88.34620531020505</v>
      </c>
      <c r="BU162" s="42">
        <f t="shared" ca="1" si="914"/>
        <v>0.98801719747153338</v>
      </c>
      <c r="BV162" s="42">
        <f t="shared" ca="1" si="915"/>
        <v>71.532445096939</v>
      </c>
      <c r="BW162" s="42">
        <f t="shared" ca="1" si="916"/>
        <v>0.24318372729089024</v>
      </c>
      <c r="BX162" s="42">
        <f t="shared" ca="1" si="917"/>
        <v>1.0691030054611605</v>
      </c>
      <c r="BY162" s="42">
        <f t="shared" ca="1" si="918"/>
        <v>0.1579556010102206</v>
      </c>
      <c r="BZ162" s="42">
        <f t="shared" ca="1" si="919"/>
        <v>1.7160977506809665E-2</v>
      </c>
      <c r="CA162" s="42">
        <f t="shared" ca="1" si="707"/>
        <v>-1.0260256211394231E-2</v>
      </c>
      <c r="CB162" s="42">
        <f t="shared" ca="1" si="920"/>
        <v>0.11845070969933179</v>
      </c>
      <c r="CC162" s="42">
        <f t="shared" ca="1" si="921"/>
        <v>4.8067147395765036E-2</v>
      </c>
      <c r="CD162" s="42">
        <f t="shared" ca="1" si="922"/>
        <v>2865.4484972694195</v>
      </c>
      <c r="CE162" s="40"/>
      <c r="CF162" s="36">
        <f t="shared" si="710"/>
        <v>95</v>
      </c>
      <c r="CG162" s="35">
        <f t="shared" si="711"/>
        <v>0.28399999999999997</v>
      </c>
      <c r="CH162" s="197">
        <f t="shared" ca="1" si="628"/>
        <v>169.23611111111677</v>
      </c>
      <c r="CI162" s="41">
        <f t="shared" ca="1" si="712"/>
        <v>0.46366057838662128</v>
      </c>
      <c r="CJ162" s="40">
        <f t="shared" ca="1" si="923"/>
        <v>-0.27167059220887047</v>
      </c>
      <c r="CK162" s="40">
        <f t="shared" ca="1" si="924"/>
        <v>2.5189751902588361E-2</v>
      </c>
      <c r="CL162" s="40">
        <f t="shared" ca="1" si="925"/>
        <v>0.19338305926412305</v>
      </c>
      <c r="CM162" s="42">
        <f t="shared" ca="1" si="926"/>
        <v>-1.2745730740025059</v>
      </c>
      <c r="CN162" s="42">
        <f t="shared" ca="1" si="927"/>
        <v>-1.4679561332666289</v>
      </c>
      <c r="CO162" s="42">
        <f t="shared" ca="1" si="928"/>
        <v>0.10123019646896268</v>
      </c>
      <c r="CP162" s="42">
        <f t="shared" ca="1" si="929"/>
        <v>0.8987698035310373</v>
      </c>
      <c r="CQ162" s="42">
        <f t="shared" ca="1" si="930"/>
        <v>7.1058069471671953E-2</v>
      </c>
      <c r="CR162" s="42">
        <f t="shared" ca="1" si="931"/>
        <v>0.92894193052832807</v>
      </c>
      <c r="CS162" s="42">
        <f t="shared" ca="1" si="932"/>
        <v>0.98162450344672281</v>
      </c>
      <c r="CT162" s="42">
        <f t="shared" ca="1" si="933"/>
        <v>93.254327827438672</v>
      </c>
      <c r="CU162" s="42">
        <f t="shared" ca="1" si="934"/>
        <v>0.98801719747153338</v>
      </c>
      <c r="CV162" s="42">
        <f t="shared" ca="1" si="935"/>
        <v>71.532445096939</v>
      </c>
      <c r="CW162" s="42">
        <f t="shared" ca="1" si="936"/>
        <v>0.17707059330470462</v>
      </c>
      <c r="CX162" s="42">
        <f t="shared" ca="1" si="937"/>
        <v>0.61477096577221335</v>
      </c>
      <c r="CY162" s="42">
        <f t="shared" ca="1" si="938"/>
        <v>0.10001717501475722</v>
      </c>
      <c r="CZ162" s="42">
        <f t="shared" ca="1" si="939"/>
        <v>1.24955090649822E-2</v>
      </c>
      <c r="DA162" s="42">
        <f t="shared" ca="1" si="730"/>
        <v>-7.4471464344387688E-3</v>
      </c>
      <c r="DB162" s="42">
        <f t="shared" ca="1" si="940"/>
        <v>8.6248112394195178E-2</v>
      </c>
      <c r="DC162" s="42">
        <f t="shared" ca="1" si="941"/>
        <v>3.0724340744686832E-2</v>
      </c>
      <c r="DD162" s="42">
        <f t="shared" ca="1" si="942"/>
        <v>-2267.6145171138937</v>
      </c>
      <c r="DE162" s="40"/>
      <c r="DF162" s="36">
        <f t="shared" si="733"/>
        <v>200</v>
      </c>
      <c r="DG162" s="35">
        <f t="shared" si="734"/>
        <v>0.28399999999999997</v>
      </c>
      <c r="DH162" s="197">
        <f t="shared" ca="1" si="629"/>
        <v>169.23611111111677</v>
      </c>
      <c r="DI162" s="41">
        <f t="shared" ca="1" si="735"/>
        <v>0.46366057838662128</v>
      </c>
      <c r="DJ162" s="40">
        <f t="shared" ca="1" si="943"/>
        <v>-1.0161110671563662</v>
      </c>
      <c r="DK162" s="40">
        <f t="shared" ca="1" si="944"/>
        <v>2.5189751902588361E-2</v>
      </c>
      <c r="DL162" s="40">
        <f t="shared" ca="1" si="945"/>
        <v>0.19338305926412305</v>
      </c>
      <c r="DM162" s="42">
        <f t="shared" ca="1" si="946"/>
        <v>-5.1241371349926528</v>
      </c>
      <c r="DN162" s="42">
        <f t="shared" ca="1" si="947"/>
        <v>-5.317520194256776</v>
      </c>
      <c r="DO162" s="42">
        <f t="shared" ca="1" si="948"/>
        <v>1.494516920144075E-7</v>
      </c>
      <c r="DP162" s="42">
        <f t="shared" ca="1" si="949"/>
        <v>0.99999985054830798</v>
      </c>
      <c r="DQ162" s="42">
        <f t="shared" ca="1" si="950"/>
        <v>5.2595506502807629E-8</v>
      </c>
      <c r="DR162" s="42">
        <f t="shared" ca="1" si="951"/>
        <v>0.99999994740449349</v>
      </c>
      <c r="DS162" s="42">
        <f t="shared" ca="1" si="952"/>
        <v>0.98162450344672281</v>
      </c>
      <c r="DT162" s="42">
        <f t="shared" ca="1" si="953"/>
        <v>196.32490068934456</v>
      </c>
      <c r="DU162" s="42">
        <f t="shared" ca="1" si="954"/>
        <v>0.98801719747153338</v>
      </c>
      <c r="DV162" s="42">
        <f t="shared" ca="1" si="955"/>
        <v>71.532445096939</v>
      </c>
      <c r="DW162" s="42">
        <f t="shared" ca="1" si="956"/>
        <v>7.9308992574859624E-7</v>
      </c>
      <c r="DX162" s="42">
        <f t="shared" si="957"/>
        <v>0</v>
      </c>
      <c r="DY162" s="92">
        <f t="shared" ca="1" si="958"/>
        <v>0</v>
      </c>
      <c r="DZ162" s="42">
        <f t="shared" ca="1" si="959"/>
        <v>0</v>
      </c>
      <c r="EA162" s="42">
        <f t="shared" ca="1" si="753"/>
        <v>0</v>
      </c>
      <c r="EB162" s="42">
        <f t="shared" ca="1" si="960"/>
        <v>0</v>
      </c>
      <c r="EC162" s="42">
        <f t="shared" ca="1" si="961"/>
        <v>0</v>
      </c>
      <c r="ED162" s="42">
        <f t="shared" ca="1" si="962"/>
        <v>0</v>
      </c>
      <c r="EE162" s="40"/>
      <c r="EF162" s="120">
        <f t="shared" ca="1" si="756"/>
        <v>72.399999999999977</v>
      </c>
      <c r="EG162" s="42">
        <f t="shared" ca="1" si="757"/>
        <v>3.2814722957709819</v>
      </c>
      <c r="EH162" s="36">
        <f t="shared" ca="1" si="758"/>
        <v>3.2814722957709819</v>
      </c>
      <c r="EI162" s="143">
        <f t="shared" ca="1" si="854"/>
        <v>3.2810000000000001</v>
      </c>
      <c r="EJ162" s="143">
        <f t="shared" ca="1" si="862"/>
        <v>1.7490000000000001</v>
      </c>
      <c r="EK162" s="153">
        <f t="shared" ca="1" si="855"/>
        <v>0</v>
      </c>
      <c r="EL162" s="143">
        <f t="shared" ca="1" si="856"/>
        <v>0</v>
      </c>
    </row>
    <row r="163" spans="1:142" x14ac:dyDescent="0.3">
      <c r="A163" s="143">
        <f t="shared" ca="1" si="857"/>
        <v>72.449999999999974</v>
      </c>
      <c r="B163" s="144">
        <f t="shared" ca="1" si="858"/>
        <v>0.28399999999999997</v>
      </c>
      <c r="C163" s="145">
        <f t="shared" ca="1" si="859"/>
        <v>45295.440972222219</v>
      </c>
      <c r="D163" s="144">
        <f t="shared" ca="1" si="860"/>
        <v>2.5999999999999999E-2</v>
      </c>
      <c r="E163" s="144">
        <f t="shared" ca="1" si="861"/>
        <v>0.04</v>
      </c>
      <c r="F163" s="36">
        <f t="shared" si="641"/>
        <v>75</v>
      </c>
      <c r="G163" s="35">
        <f t="shared" si="642"/>
        <v>0.28399999999999997</v>
      </c>
      <c r="H163" s="197">
        <f t="shared" ca="1" si="625"/>
        <v>169.23611111111677</v>
      </c>
      <c r="I163" s="41">
        <f t="shared" ca="1" si="643"/>
        <v>0.46366057838662128</v>
      </c>
      <c r="J163" s="40">
        <f t="shared" ca="1" si="863"/>
        <v>-3.459144476961943E-2</v>
      </c>
      <c r="K163" s="40">
        <f t="shared" ca="1" si="864"/>
        <v>2.5189751902588361E-2</v>
      </c>
      <c r="L163" s="40">
        <f t="shared" ca="1" si="865"/>
        <v>0.19338305926412305</v>
      </c>
      <c r="M163" s="42">
        <f t="shared" ca="1" si="866"/>
        <v>-4.8616941436375835E-2</v>
      </c>
      <c r="N163" s="42">
        <f t="shared" ca="1" si="867"/>
        <v>-0.24200000070049887</v>
      </c>
      <c r="O163" s="42">
        <f t="shared" ca="1" si="868"/>
        <v>0.48061228430798009</v>
      </c>
      <c r="P163" s="42">
        <f t="shared" ca="1" si="869"/>
        <v>0.51938771569201991</v>
      </c>
      <c r="Q163" s="42">
        <f t="shared" ca="1" si="870"/>
        <v>0.40439008134340565</v>
      </c>
      <c r="R163" s="42">
        <f t="shared" ca="1" si="871"/>
        <v>0.59560991865659441</v>
      </c>
      <c r="S163" s="42">
        <f t="shared" ca="1" si="872"/>
        <v>0.98162450344672281</v>
      </c>
      <c r="T163" s="42">
        <f t="shared" ca="1" si="873"/>
        <v>73.621837758504213</v>
      </c>
      <c r="U163" s="42">
        <f t="shared" ca="1" si="874"/>
        <v>0.98801719747153338</v>
      </c>
      <c r="V163" s="42">
        <f t="shared" ca="1" si="875"/>
        <v>71.581845956812572</v>
      </c>
      <c r="W163" s="42">
        <f t="shared" ca="1" si="876"/>
        <v>0.39847108750277699</v>
      </c>
      <c r="X163" s="42">
        <f t="shared" ca="1" si="877"/>
        <v>6.6711653421647554</v>
      </c>
      <c r="Y163" s="42">
        <f t="shared" ca="1" si="878"/>
        <v>-0.51316399525917111</v>
      </c>
      <c r="Z163" s="42">
        <f t="shared" ca="1" si="879"/>
        <v>2.809988243620332E-2</v>
      </c>
      <c r="AA163" s="42">
        <f t="shared" ca="1" si="661"/>
        <v>-1.4139408427537338E-2</v>
      </c>
      <c r="AB163" s="42">
        <f t="shared" ca="1" si="880"/>
        <v>0.19422261413816927</v>
      </c>
      <c r="AC163" s="42">
        <f t="shared" ca="1" si="881"/>
        <v>-0.20331468511875037</v>
      </c>
      <c r="AD163" s="42">
        <f t="shared" ca="1" si="882"/>
        <v>1535.5826710823776</v>
      </c>
      <c r="AF163" s="36">
        <f t="shared" si="664"/>
        <v>80</v>
      </c>
      <c r="AG163" s="35">
        <f t="shared" si="665"/>
        <v>0.28399999999999997</v>
      </c>
      <c r="AH163" s="197">
        <f t="shared" ca="1" si="626"/>
        <v>169.23611111111677</v>
      </c>
      <c r="AI163" s="41">
        <f t="shared" ca="1" si="666"/>
        <v>0.46366057838662128</v>
      </c>
      <c r="AJ163" s="40">
        <f t="shared" ca="1" si="883"/>
        <v>-9.9129965907190587E-2</v>
      </c>
      <c r="AK163" s="40">
        <f t="shared" ca="1" si="884"/>
        <v>2.5189751902588361E-2</v>
      </c>
      <c r="AL163" s="40">
        <f t="shared" ca="1" si="885"/>
        <v>0.19338305926412305</v>
      </c>
      <c r="AM163" s="42">
        <f t="shared" ca="1" si="886"/>
        <v>-0.38235104091312622</v>
      </c>
      <c r="AN163" s="42">
        <f t="shared" ca="1" si="887"/>
        <v>-0.57573410017724924</v>
      </c>
      <c r="AO163" s="42">
        <f t="shared" ca="1" si="888"/>
        <v>0.35110050009523541</v>
      </c>
      <c r="AP163" s="42">
        <f t="shared" ca="1" si="889"/>
        <v>0.64889949990476459</v>
      </c>
      <c r="AQ163" s="42">
        <f t="shared" ca="1" si="890"/>
        <v>0.28239746128949417</v>
      </c>
      <c r="AR163" s="42">
        <f t="shared" ca="1" si="891"/>
        <v>0.71760253871050583</v>
      </c>
      <c r="AS163" s="42">
        <f t="shared" ca="1" si="892"/>
        <v>0.98162450344672281</v>
      </c>
      <c r="AT163" s="42">
        <f t="shared" ca="1" si="893"/>
        <v>78.529960275737821</v>
      </c>
      <c r="AU163" s="42">
        <f t="shared" ca="1" si="894"/>
        <v>0.98801719747153338</v>
      </c>
      <c r="AV163" s="42">
        <f t="shared" ca="1" si="895"/>
        <v>71.581845956812572</v>
      </c>
      <c r="AW163" s="42">
        <f t="shared" ca="1" si="896"/>
        <v>0.37082141537223989</v>
      </c>
      <c r="AX163" s="42">
        <f t="shared" ca="1" si="897"/>
        <v>9.9038748150690594</v>
      </c>
      <c r="AY163" s="42">
        <f t="shared" ca="1" si="898"/>
        <v>-0.64112386533658505</v>
      </c>
      <c r="AZ163" s="42">
        <f t="shared" ca="1" si="899"/>
        <v>2.6150048281015723E-2</v>
      </c>
      <c r="BA163" s="42">
        <f t="shared" ca="1" si="684"/>
        <v>-1.2298744247233798E-2</v>
      </c>
      <c r="BB163" s="42">
        <f t="shared" ca="1" si="900"/>
        <v>0.18074562228184349</v>
      </c>
      <c r="BC163" s="42">
        <f t="shared" ca="1" si="901"/>
        <v>-0.26128803142821116</v>
      </c>
      <c r="BD163" s="42">
        <f t="shared" ca="1" si="902"/>
        <v>-2126.9374075345295</v>
      </c>
      <c r="BE163" s="40"/>
      <c r="BF163" s="36">
        <f t="shared" si="687"/>
        <v>90</v>
      </c>
      <c r="BG163" s="35">
        <f t="shared" si="688"/>
        <v>0.28399999999999997</v>
      </c>
      <c r="BH163" s="197">
        <f t="shared" ca="1" si="627"/>
        <v>169.23611111111677</v>
      </c>
      <c r="BI163" s="41">
        <f t="shared" ca="1" si="689"/>
        <v>0.46366057838662128</v>
      </c>
      <c r="BJ163" s="40">
        <f t="shared" ca="1" si="903"/>
        <v>-0.21691300156357404</v>
      </c>
      <c r="BK163" s="40">
        <f t="shared" ca="1" si="904"/>
        <v>2.5189751902588361E-2</v>
      </c>
      <c r="BL163" s="40">
        <f t="shared" ca="1" si="905"/>
        <v>0.19338305926412305</v>
      </c>
      <c r="BM163" s="42">
        <f t="shared" ca="1" si="906"/>
        <v>-0.99141698549266211</v>
      </c>
      <c r="BN163" s="42">
        <f t="shared" ca="1" si="907"/>
        <v>-1.1848000447567852</v>
      </c>
      <c r="BO163" s="42">
        <f t="shared" ca="1" si="908"/>
        <v>0.16074100482710457</v>
      </c>
      <c r="BP163" s="42">
        <f t="shared" ca="1" si="909"/>
        <v>0.83925899517289548</v>
      </c>
      <c r="BQ163" s="42">
        <f t="shared" ca="1" si="910"/>
        <v>0.11804825745108941</v>
      </c>
      <c r="BR163" s="42">
        <f t="shared" ca="1" si="911"/>
        <v>0.88195174254891062</v>
      </c>
      <c r="BS163" s="42">
        <f t="shared" ca="1" si="912"/>
        <v>0.98162450344672281</v>
      </c>
      <c r="BT163" s="42">
        <f t="shared" ca="1" si="913"/>
        <v>88.34620531020505</v>
      </c>
      <c r="BU163" s="42">
        <f t="shared" ca="1" si="914"/>
        <v>0.98801719747153338</v>
      </c>
      <c r="BV163" s="42">
        <f t="shared" ca="1" si="915"/>
        <v>71.581845956812572</v>
      </c>
      <c r="BW163" s="42">
        <f t="shared" ca="1" si="916"/>
        <v>0.24404751165024144</v>
      </c>
      <c r="BX163" s="42">
        <f t="shared" ca="1" si="917"/>
        <v>1.0770222571911781</v>
      </c>
      <c r="BY163" s="42">
        <f t="shared" ca="1" si="918"/>
        <v>0.15881487710803407</v>
      </c>
      <c r="BZ163" s="42">
        <f t="shared" ca="1" si="919"/>
        <v>1.7210047607712445E-2</v>
      </c>
      <c r="CA163" s="42">
        <f t="shared" ca="1" si="707"/>
        <v>-1.0304269664329315E-2</v>
      </c>
      <c r="CB163" s="42">
        <f t="shared" ca="1" si="920"/>
        <v>0.1189535380940151</v>
      </c>
      <c r="CC163" s="42">
        <f t="shared" ca="1" si="921"/>
        <v>4.8355697661892245E-2</v>
      </c>
      <c r="CD163" s="42">
        <f t="shared" ca="1" si="922"/>
        <v>2861.4888714044109</v>
      </c>
      <c r="CE163" s="40"/>
      <c r="CF163" s="36">
        <f t="shared" si="710"/>
        <v>95</v>
      </c>
      <c r="CG163" s="35">
        <f t="shared" si="711"/>
        <v>0.28399999999999997</v>
      </c>
      <c r="CH163" s="197">
        <f t="shared" ca="1" si="628"/>
        <v>169.23611111111677</v>
      </c>
      <c r="CI163" s="41">
        <f t="shared" ca="1" si="712"/>
        <v>0.46366057838662128</v>
      </c>
      <c r="CJ163" s="40">
        <f t="shared" ca="1" si="923"/>
        <v>-0.27098022283384987</v>
      </c>
      <c r="CK163" s="40">
        <f t="shared" ca="1" si="924"/>
        <v>2.5189751902588361E-2</v>
      </c>
      <c r="CL163" s="40">
        <f t="shared" ca="1" si="925"/>
        <v>0.19338305926412305</v>
      </c>
      <c r="CM163" s="42">
        <f t="shared" ca="1" si="926"/>
        <v>-1.2710031161290105</v>
      </c>
      <c r="CN163" s="42">
        <f t="shared" ca="1" si="927"/>
        <v>-1.4643861753931335</v>
      </c>
      <c r="CO163" s="42">
        <f t="shared" ca="1" si="928"/>
        <v>0.10186377002470853</v>
      </c>
      <c r="CP163" s="42">
        <f t="shared" ca="1" si="929"/>
        <v>0.89813622997529152</v>
      </c>
      <c r="CQ163" s="42">
        <f t="shared" ca="1" si="930"/>
        <v>7.1544231628833235E-2</v>
      </c>
      <c r="CR163" s="42">
        <f t="shared" ca="1" si="931"/>
        <v>0.92845576837116672</v>
      </c>
      <c r="CS163" s="42">
        <f t="shared" ca="1" si="932"/>
        <v>0.98162450344672281</v>
      </c>
      <c r="CT163" s="42">
        <f t="shared" ca="1" si="933"/>
        <v>93.254327827438672</v>
      </c>
      <c r="CU163" s="42">
        <f t="shared" ca="1" si="934"/>
        <v>0.98801719747153338</v>
      </c>
      <c r="CV163" s="42">
        <f t="shared" ca="1" si="935"/>
        <v>71.581845956812572</v>
      </c>
      <c r="CW163" s="42">
        <f t="shared" ca="1" si="936"/>
        <v>0.17787699732736484</v>
      </c>
      <c r="CX163" s="42">
        <f t="shared" ca="1" si="937"/>
        <v>0.61978746401144758</v>
      </c>
      <c r="CY163" s="42">
        <f t="shared" ca="1" si="938"/>
        <v>0.10064315658369731</v>
      </c>
      <c r="CZ163" s="42">
        <f t="shared" ca="1" si="939"/>
        <v>1.2543752532532164E-2</v>
      </c>
      <c r="DA163" s="42">
        <f t="shared" ca="1" si="730"/>
        <v>-7.4865058330524856E-3</v>
      </c>
      <c r="DB163" s="42">
        <f t="shared" ca="1" si="940"/>
        <v>8.6700733125908869E-2</v>
      </c>
      <c r="DC163" s="42">
        <f t="shared" ca="1" si="941"/>
        <v>3.0934549266883594E-2</v>
      </c>
      <c r="DD163" s="42">
        <f t="shared" ca="1" si="942"/>
        <v>-2265.1062679942765</v>
      </c>
      <c r="DE163" s="40"/>
      <c r="DF163" s="36">
        <f t="shared" si="733"/>
        <v>200</v>
      </c>
      <c r="DG163" s="35">
        <f t="shared" si="734"/>
        <v>0.28399999999999997</v>
      </c>
      <c r="DH163" s="197">
        <f t="shared" ca="1" si="629"/>
        <v>169.23611111111677</v>
      </c>
      <c r="DI163" s="41">
        <f t="shared" ca="1" si="735"/>
        <v>0.46366057838662128</v>
      </c>
      <c r="DJ163" s="40">
        <f t="shared" ca="1" si="943"/>
        <v>-1.0154206977813458</v>
      </c>
      <c r="DK163" s="40">
        <f t="shared" ca="1" si="944"/>
        <v>2.5189751902588361E-2</v>
      </c>
      <c r="DL163" s="40">
        <f t="shared" ca="1" si="945"/>
        <v>0.19338305926412305</v>
      </c>
      <c r="DM163" s="42">
        <f t="shared" ca="1" si="946"/>
        <v>-5.1205671771191588</v>
      </c>
      <c r="DN163" s="42">
        <f t="shared" ca="1" si="947"/>
        <v>-5.313950236383282</v>
      </c>
      <c r="DO163" s="42">
        <f t="shared" ca="1" si="948"/>
        <v>1.5230903857235482E-7</v>
      </c>
      <c r="DP163" s="42">
        <f t="shared" ca="1" si="949"/>
        <v>0.9999998476909614</v>
      </c>
      <c r="DQ163" s="42">
        <f t="shared" ca="1" si="950"/>
        <v>5.363696262850521E-8</v>
      </c>
      <c r="DR163" s="42">
        <f t="shared" ca="1" si="951"/>
        <v>0.99999994636303735</v>
      </c>
      <c r="DS163" s="42">
        <f t="shared" ca="1" si="952"/>
        <v>0.98162450344672281</v>
      </c>
      <c r="DT163" s="42">
        <f t="shared" ca="1" si="953"/>
        <v>196.32490068934456</v>
      </c>
      <c r="DU163" s="42">
        <f t="shared" ca="1" si="954"/>
        <v>0.98801719747153338</v>
      </c>
      <c r="DV163" s="42">
        <f t="shared" ca="1" si="955"/>
        <v>71.581845956812572</v>
      </c>
      <c r="DW163" s="42">
        <f t="shared" ca="1" si="956"/>
        <v>8.0772624550587362E-7</v>
      </c>
      <c r="DX163" s="42">
        <f t="shared" si="957"/>
        <v>0</v>
      </c>
      <c r="DY163" s="92">
        <f t="shared" ca="1" si="958"/>
        <v>0</v>
      </c>
      <c r="DZ163" s="42">
        <f t="shared" ca="1" si="959"/>
        <v>0</v>
      </c>
      <c r="EA163" s="42">
        <f t="shared" ca="1" si="753"/>
        <v>0</v>
      </c>
      <c r="EB163" s="42">
        <f t="shared" ca="1" si="960"/>
        <v>0</v>
      </c>
      <c r="EC163" s="42">
        <f t="shared" ca="1" si="961"/>
        <v>0</v>
      </c>
      <c r="ED163" s="42">
        <f t="shared" ca="1" si="962"/>
        <v>0</v>
      </c>
      <c r="EE163" s="40"/>
      <c r="EF163" s="120">
        <f t="shared" ca="1" si="756"/>
        <v>72.449999999999974</v>
      </c>
      <c r="EG163" s="42">
        <f t="shared" ca="1" si="757"/>
        <v>5.0278669579824964</v>
      </c>
      <c r="EH163" s="36">
        <f t="shared" ca="1" si="758"/>
        <v>5.0278669579824964</v>
      </c>
      <c r="EI163" s="143">
        <f t="shared" ca="1" si="854"/>
        <v>5.0279999999999996</v>
      </c>
      <c r="EJ163" s="143">
        <f t="shared" ca="1" si="862"/>
        <v>1.7469999999999994</v>
      </c>
      <c r="EK163" s="153">
        <f t="shared" ca="1" si="855"/>
        <v>0</v>
      </c>
      <c r="EL163" s="143">
        <f t="shared" ca="1" si="856"/>
        <v>0</v>
      </c>
    </row>
    <row r="164" spans="1:142" x14ac:dyDescent="0.3">
      <c r="A164" s="143">
        <f t="shared" ca="1" si="857"/>
        <v>72.499999999999972</v>
      </c>
      <c r="B164" s="144">
        <f t="shared" ca="1" si="858"/>
        <v>0.28399999999999997</v>
      </c>
      <c r="C164" s="145">
        <f t="shared" ca="1" si="859"/>
        <v>45295.440972222219</v>
      </c>
      <c r="D164" s="144">
        <f t="shared" ca="1" si="860"/>
        <v>2.5999999999999999E-2</v>
      </c>
      <c r="E164" s="144">
        <f t="shared" ca="1" si="861"/>
        <v>0.04</v>
      </c>
      <c r="F164" s="36">
        <f t="shared" si="641"/>
        <v>75</v>
      </c>
      <c r="G164" s="35">
        <f t="shared" si="642"/>
        <v>0.28399999999999997</v>
      </c>
      <c r="H164" s="197">
        <f t="shared" ca="1" si="625"/>
        <v>169.23611111111677</v>
      </c>
      <c r="I164" s="41">
        <f t="shared" ca="1" si="643"/>
        <v>0.46366057838662128</v>
      </c>
      <c r="J164" s="40">
        <f t="shared" ref="J164:J165" ca="1" si="963">LN($A164/F164)</f>
        <v>-3.3901551675681686E-2</v>
      </c>
      <c r="K164" s="40">
        <f t="shared" ref="K164:K165" ca="1" si="964">($E164-$D164+POWER(G164,2)/2)*I164</f>
        <v>2.5189751902588361E-2</v>
      </c>
      <c r="L164" s="40">
        <f t="shared" ref="L164:L165" ca="1" si="965">MAX(0,0.000000000001,G164*SQRT(I164))</f>
        <v>0.19338305926412305</v>
      </c>
      <c r="M164" s="42">
        <f t="shared" ref="M164:M165" ca="1" si="966">(J164+K164)/L164</f>
        <v>-4.5049446452259952E-2</v>
      </c>
      <c r="N164" s="42">
        <f t="shared" ref="N164:N165" ca="1" si="967">M164-L164</f>
        <v>-0.238432505716383</v>
      </c>
      <c r="O164" s="42">
        <f t="shared" ref="O164:O165" ca="1" si="968">_xlfn.NORM.DIST(M164,0,1,TRUE)</f>
        <v>0.48203394818212186</v>
      </c>
      <c r="P164" s="42">
        <f t="shared" ref="P164:P165" ca="1" si="969">_xlfn.NORM.DIST(-M164,0,1,TRUE)</f>
        <v>0.51796605181787814</v>
      </c>
      <c r="Q164" s="42">
        <f t="shared" ref="Q164:Q165" ca="1" si="970">_xlfn.NORM.DIST(N164,0,1,TRUE)</f>
        <v>0.40577282918276525</v>
      </c>
      <c r="R164" s="42">
        <f t="shared" ref="R164:R165" ca="1" si="971">_xlfn.NORM.DIST(-N164,0,1,TRUE)</f>
        <v>0.59422717081723475</v>
      </c>
      <c r="S164" s="42">
        <f t="shared" ref="S164:S165" ca="1" si="972">EXP(-$E164*I164)</f>
        <v>0.98162450344672281</v>
      </c>
      <c r="T164" s="42">
        <f t="shared" ref="T164:T165" ca="1" si="973">F164*S164</f>
        <v>73.621837758504213</v>
      </c>
      <c r="U164" s="42">
        <f t="shared" ref="U164:U165" ca="1" si="974">EXP(-$D164*I164)</f>
        <v>0.98801719747153338</v>
      </c>
      <c r="V164" s="42">
        <f t="shared" ref="V164:V165" ca="1" si="975">$A164*U164</f>
        <v>71.631246816686144</v>
      </c>
      <c r="W164" s="42">
        <f t="shared" ref="W164:W165" ca="1" si="976">EXP(-1*POWER(M164,2)/2)/SQRT(2*PI())</f>
        <v>0.39853766849210343</v>
      </c>
      <c r="X164" s="42">
        <f t="shared" ref="X164:X165" ca="1" si="977">IF($F$8=1,0,IF($F$8=2,$A164,IF($F$8=3,V164*O164-T164*Q164,T164*R164-V164*P164)))</f>
        <v>6.6455422611705544</v>
      </c>
      <c r="Y164" s="42">
        <f t="shared" ref="Y164:Y165" ca="1" si="978">IF($F$8=2,1,IF(OR($F$8=1,I164&lt;=0),0,IF($F$8=3,O164*U164,(O164-1)*U164)))</f>
        <v>-0.51175936690249502</v>
      </c>
      <c r="Z164" s="42">
        <f t="shared" ref="Z164:Z165" ca="1" si="979">IF(OR($F$8&lt;=2,I164&lt;=0),0,W164*U164/($A164*L164))</f>
        <v>2.8085195210304191E-2</v>
      </c>
      <c r="AA164" s="42">
        <f t="shared" ca="1" si="661"/>
        <v>-1.415910993401622E-2</v>
      </c>
      <c r="AB164" s="42">
        <f t="shared" ref="AB164:AB165" ca="1" si="980">IF(OR($F$8&lt;=2,I164&lt;=0),0,(W164*$A164*U164*SQRT(I164))/100)</f>
        <v>0.19438912848461573</v>
      </c>
      <c r="AC164" s="42">
        <f t="shared" ref="AC164:AC165" ca="1" si="981">IF(OR($F$8&lt;=2,I164&lt;=0),0,IF($F$8=3,Q164,-1*R164)*F164*I164*S164/100)</f>
        <v>-0.20284267662333758</v>
      </c>
      <c r="AD164" s="42">
        <f t="shared" ref="AD164:AD165" ca="1" si="982">IF($F$8=1,0,IF($M$28=1,X164-$G$8,OFFSET(V164,0,$M$28))*IF($M$30=1,SIGN($B$8),$T$8))</f>
        <v>1522.7711305852772</v>
      </c>
      <c r="AF164" s="36">
        <f t="shared" si="664"/>
        <v>80</v>
      </c>
      <c r="AG164" s="35">
        <f t="shared" si="665"/>
        <v>0.28399999999999997</v>
      </c>
      <c r="AH164" s="197">
        <f t="shared" ca="1" si="626"/>
        <v>169.23611111111677</v>
      </c>
      <c r="AI164" s="41">
        <f t="shared" ca="1" si="666"/>
        <v>0.46366057838662128</v>
      </c>
      <c r="AJ164" s="40">
        <f t="shared" ref="AJ164:AJ165" ca="1" si="983">LN($A164/AF164)</f>
        <v>-9.8440072813252885E-2</v>
      </c>
      <c r="AK164" s="40">
        <f t="shared" ref="AK164:AK165" ca="1" si="984">($E164-$D164+POWER(AG164,2)/2)*AI164</f>
        <v>2.5189751902588361E-2</v>
      </c>
      <c r="AL164" s="40">
        <f t="shared" ref="AL164:AL165" ca="1" si="985">MAX(0,0.000000000001,AG164*SQRT(AI164))</f>
        <v>0.19338305926412305</v>
      </c>
      <c r="AM164" s="42">
        <f t="shared" ref="AM164:AM165" ca="1" si="986">(AJ164+AK164)/AL164</f>
        <v>-0.37878354592901053</v>
      </c>
      <c r="AN164" s="42">
        <f t="shared" ref="AN164:AN165" ca="1" si="987">AM164-AL164</f>
        <v>-0.57216660519313356</v>
      </c>
      <c r="AO164" s="42">
        <f t="shared" ref="AO164:AO165" ca="1" si="988">_xlfn.NORM.DIST(AM164,0,1,TRUE)</f>
        <v>0.35242430347962184</v>
      </c>
      <c r="AP164" s="42">
        <f t="shared" ref="AP164:AP165" ca="1" si="989">_xlfn.NORM.DIST(-AM164,0,1,TRUE)</f>
        <v>0.64757569652037816</v>
      </c>
      <c r="AQ164" s="42">
        <f t="shared" ref="AQ164:AQ165" ca="1" si="990">_xlfn.NORM.DIST(AN164,0,1,TRUE)</f>
        <v>0.28360455463014245</v>
      </c>
      <c r="AR164" s="42">
        <f t="shared" ref="AR164:AR165" ca="1" si="991">_xlfn.NORM.DIST(-AN164,0,1,TRUE)</f>
        <v>0.71639544536985755</v>
      </c>
      <c r="AS164" s="42">
        <f t="shared" ref="AS164:AS165" ca="1" si="992">EXP(-$E164*AI164)</f>
        <v>0.98162450344672281</v>
      </c>
      <c r="AT164" s="42">
        <f t="shared" ref="AT164:AT165" ca="1" si="993">AF164*AS164</f>
        <v>78.529960275737821</v>
      </c>
      <c r="AU164" s="42">
        <f t="shared" ref="AU164:AU165" ca="1" si="994">EXP(-$D164*AI164)</f>
        <v>0.98801719747153338</v>
      </c>
      <c r="AV164" s="42">
        <f t="shared" ref="AV164:AV165" ca="1" si="995">$A164*AU164</f>
        <v>71.631246816686144</v>
      </c>
      <c r="AW164" s="42">
        <f t="shared" ref="AW164:AW165" ca="1" si="996">EXP(-1*POWER(AM164,2)/2)/SQRT(2*PI())</f>
        <v>0.3713252111089389</v>
      </c>
      <c r="AX164" s="42">
        <f t="shared" ref="AX164:AX165" ca="1" si="997">IF($F$10=1,0,IF($F$10=2,$A164,IF($F$10=3,AV164*AO164-AT164*AQ164,AT164*AR164-AV164*AP164)))</f>
        <v>9.8718513166757731</v>
      </c>
      <c r="AY164" s="42">
        <f t="shared" ref="AY164:AY165" ca="1" si="998">IF($F$10=2,1,IF(OR($F$10=1,AI164&lt;=0),0,IF($F$10=3,AO164*AU164,(AO164-1)*AU164)))</f>
        <v>-0.63981592482674021</v>
      </c>
      <c r="AZ164" s="42">
        <f t="shared" ref="AZ164:AZ165" ca="1" si="999">IF(OR($F$10&lt;=2,AI164&lt;=0),0,AW164*AU164/($A164*AL164))</f>
        <v>2.6167516561131782E-2</v>
      </c>
      <c r="BA164" s="42">
        <f t="shared" ca="1" si="684"/>
        <v>-1.2335745883668489E-2</v>
      </c>
      <c r="BB164" s="42">
        <f t="shared" ref="BB164:BB165" ca="1" si="1000">IF(OR($F$10&lt;=2,AI164&lt;=0),0,(AW164*$A164*AU164*SQRT(AI164))/100)</f>
        <v>0.18111608984148705</v>
      </c>
      <c r="BC164" s="42">
        <f t="shared" ref="BC164:BC165" ca="1" si="1001">IF(OR($F$10&lt;=2,AI164&lt;=0),0,IF($F$10=3,AQ164,-1*AR164)*AF164*AI164*AS164/100)</f>
        <v>-0.26084851369281575</v>
      </c>
      <c r="BD164" s="42">
        <f t="shared" ref="BD164:BD165" ca="1" si="1002">IF($F$10=1,0,IF($M$28=1,AX164-$G$10,OFFSET(AV164,0,$M$28))*IF($M$30=1,SIGN($B$10),$T$10))</f>
        <v>-2110.9256583378865</v>
      </c>
      <c r="BE164" s="40"/>
      <c r="BF164" s="36">
        <f t="shared" si="687"/>
        <v>90</v>
      </c>
      <c r="BG164" s="35">
        <f t="shared" si="688"/>
        <v>0.28399999999999997</v>
      </c>
      <c r="BH164" s="197">
        <f t="shared" ca="1" si="627"/>
        <v>169.23611111111677</v>
      </c>
      <c r="BI164" s="41">
        <f t="shared" ca="1" si="689"/>
        <v>0.46366057838662128</v>
      </c>
      <c r="BJ164" s="40">
        <f t="shared" ref="BJ164:BJ165" ca="1" si="1003">LN($A164/BF164)</f>
        <v>-0.21622310846963635</v>
      </c>
      <c r="BK164" s="40">
        <f t="shared" ref="BK164:BK165" ca="1" si="1004">($E164-$D164+POWER(BG164,2)/2)*BI164</f>
        <v>2.5189751902588361E-2</v>
      </c>
      <c r="BL164" s="40">
        <f t="shared" ref="BL164:BL165" ca="1" si="1005">MAX(0,0.000000000001,BG164*SQRT(BI164))</f>
        <v>0.19338305926412305</v>
      </c>
      <c r="BM164" s="42">
        <f t="shared" ref="BM164:BM165" ca="1" si="1006">(BJ164+BK164)/BL164</f>
        <v>-0.98784949050854653</v>
      </c>
      <c r="BN164" s="42">
        <f t="shared" ref="BN164:BN165" ca="1" si="1007">BM164-BL164</f>
        <v>-1.1812325497726697</v>
      </c>
      <c r="BO164" s="42">
        <f t="shared" ref="BO164:BO165" ca="1" si="1008">_xlfn.NORM.DIST(BM164,0,1,TRUE)</f>
        <v>0.16161318273536665</v>
      </c>
      <c r="BP164" s="42">
        <f t="shared" ref="BP164:BP165" ca="1" si="1009">_xlfn.NORM.DIST(-BM164,0,1,TRUE)</f>
        <v>0.83838681726463338</v>
      </c>
      <c r="BQ164" s="42">
        <f t="shared" ref="BQ164:BQ165" ca="1" si="1010">_xlfn.NORM.DIST(BN164,0,1,TRUE)</f>
        <v>0.11875517698233003</v>
      </c>
      <c r="BR164" s="42">
        <f t="shared" ref="BR164:BR165" ca="1" si="1011">_xlfn.NORM.DIST(-BN164,0,1,TRUE)</f>
        <v>0.88124482301766993</v>
      </c>
      <c r="BS164" s="42">
        <f t="shared" ref="BS164:BS165" ca="1" si="1012">EXP(-$E164*BI164)</f>
        <v>0.98162450344672281</v>
      </c>
      <c r="BT164" s="42">
        <f t="shared" ref="BT164:BT165" ca="1" si="1013">BF164*BS164</f>
        <v>88.34620531020505</v>
      </c>
      <c r="BU164" s="42">
        <f t="shared" ref="BU164:BU165" ca="1" si="1014">EXP(-$D164*BI164)</f>
        <v>0.98801719747153338</v>
      </c>
      <c r="BV164" s="42">
        <f t="shared" ref="BV164:BV165" ca="1" si="1015">$A164*BU164</f>
        <v>71.631246816686144</v>
      </c>
      <c r="BW164" s="42">
        <f t="shared" ref="BW164:BW165" ca="1" si="1016">EXP(-1*POWER(BM164,2)/2)/SQRT(2*PI())</f>
        <v>0.24491064698227857</v>
      </c>
      <c r="BX164" s="42">
        <f t="shared" ref="BX164:BX165" ca="1" si="1017">IF($F$12=1,0,IF($F$12=2,$A164,IF($F$12=3,BV164*BO164-BT164*BQ164,BT164*BR164-BV164*BP164)))</f>
        <v>1.0849845340165825</v>
      </c>
      <c r="BY164" s="42">
        <f t="shared" ref="BY164:BY165" ca="1" si="1018">IF($F$12=2,1,IF(OR($F$12=1,BI164&lt;=0),0,IF($F$12=3,BO164*BU164,(BO164-1)*BU164)))</f>
        <v>0.15967660388065177</v>
      </c>
      <c r="BZ164" s="42">
        <f t="shared" ref="BZ164:BZ165" ca="1" si="1019">IF(OR($F$12&lt;=2,BI164&lt;=0),0,BW164*BU164/($A164*BL164))</f>
        <v>1.7259004288362464E-2</v>
      </c>
      <c r="CA164" s="42">
        <f t="shared" ca="1" si="707"/>
        <v>-1.0348310711095217E-2</v>
      </c>
      <c r="CB164" s="42">
        <f t="shared" ref="CB164:CB165" ca="1" si="1020">IF(OR($F$12&lt;=2,BI164&lt;=0),0,(BW164*$A164*BU164*SQRT(BI164))/100)</f>
        <v>0.11945663104724018</v>
      </c>
      <c r="CC164" s="42">
        <f t="shared" ref="CC164:CC165" ca="1" si="1021">IF(OR($F$12&lt;=2,BI164&lt;=0),0,IF($F$12=3,BQ164,-1*BR164)*BF164*BI164*BS164/100)</f>
        <v>4.8645270654006249E-2</v>
      </c>
      <c r="CD164" s="42">
        <f t="shared" ref="CD164:CD165" ca="1" si="1022">IF($F$12=1,0,IF($M$28=1,BX164-$G$12,OFFSET(BV164,0,$M$28))*IF($M$30=1,SIGN($B$12),$T$12))</f>
        <v>2857.5077329917085</v>
      </c>
      <c r="CE164" s="40"/>
      <c r="CF164" s="36">
        <f t="shared" si="710"/>
        <v>95</v>
      </c>
      <c r="CG164" s="35">
        <f t="shared" si="711"/>
        <v>0.28399999999999997</v>
      </c>
      <c r="CH164" s="197">
        <f t="shared" ca="1" si="628"/>
        <v>169.23611111111677</v>
      </c>
      <c r="CI164" s="41">
        <f t="shared" ca="1" si="712"/>
        <v>0.46366057838662128</v>
      </c>
      <c r="CJ164" s="40">
        <f t="shared" ref="CJ164:CJ165" ca="1" si="1023">LN($A164/CF164)</f>
        <v>-0.27029032973991213</v>
      </c>
      <c r="CK164" s="40">
        <f t="shared" ref="CK164:CK165" ca="1" si="1024">($E164-$D164+POWER(CG164,2)/2)*CI164</f>
        <v>2.5189751902588361E-2</v>
      </c>
      <c r="CL164" s="40">
        <f t="shared" ref="CL164:CL165" ca="1" si="1025">MAX(0,0.000000000001,CG164*SQRT(CI164))</f>
        <v>0.19338305926412305</v>
      </c>
      <c r="CM164" s="42">
        <f t="shared" ref="CM164:CM165" ca="1" si="1026">(CJ164+CK164)/CL164</f>
        <v>-1.2674356211448945</v>
      </c>
      <c r="CN164" s="42">
        <f t="shared" ref="CN164:CN165" ca="1" si="1027">CM164-CL164</f>
        <v>-1.4608186804090175</v>
      </c>
      <c r="CO164" s="42">
        <f t="shared" ref="CO164:CO165" ca="1" si="1028">_xlfn.NORM.DIST(CM164,0,1,TRUE)</f>
        <v>0.10249978482327417</v>
      </c>
      <c r="CP164" s="42">
        <f t="shared" ref="CP164:CP165" ca="1" si="1029">_xlfn.NORM.DIST(-CM164,0,1,TRUE)</f>
        <v>0.89750021517672585</v>
      </c>
      <c r="CQ164" s="42">
        <f t="shared" ref="CQ164:CQ165" ca="1" si="1030">_xlfn.NORM.DIST(CN164,0,1,TRUE)</f>
        <v>7.2032603957349534E-2</v>
      </c>
      <c r="CR164" s="42">
        <f t="shared" ref="CR164:CR165" ca="1" si="1031">_xlfn.NORM.DIST(-CN164,0,1,TRUE)</f>
        <v>0.92796739604265044</v>
      </c>
      <c r="CS164" s="42">
        <f t="shared" ref="CS164:CS165" ca="1" si="1032">EXP(-$E164*CI164)</f>
        <v>0.98162450344672281</v>
      </c>
      <c r="CT164" s="42">
        <f t="shared" ref="CT164:CT165" ca="1" si="1033">CF164*CS164</f>
        <v>93.254327827438672</v>
      </c>
      <c r="CU164" s="42">
        <f t="shared" ref="CU164:CU165" ca="1" si="1034">EXP(-$D164*CI164)</f>
        <v>0.98801719747153338</v>
      </c>
      <c r="CV164" s="42">
        <f t="shared" ref="CV164:CV165" ca="1" si="1035">$A164*CU164</f>
        <v>71.631246816686144</v>
      </c>
      <c r="CW164" s="42">
        <f t="shared" ref="CW164:CW165" ca="1" si="1036">EXP(-1*POWER(CM164,2)/2)/SQRT(2*PI())</f>
        <v>0.17868423877229561</v>
      </c>
      <c r="CX164" s="42">
        <f t="shared" ref="CX164:CX165" ca="1" si="1037">IF($F$14=1,0,IF($F$14=2,$A164,IF($F$14=3,CV164*CO164-CT164*CQ164,CT164*CR164-CV164*CP164)))</f>
        <v>0.6248353216304432</v>
      </c>
      <c r="CY164" s="42">
        <f t="shared" ref="CY164:CY165" ca="1" si="1038">IF($F$14=2,1,IF(OR($F$14=1,CI164&lt;=0),0,IF($F$14=3,CO164*CU164,(CO164-1)*CU164)))</f>
        <v>0.10127155014252655</v>
      </c>
      <c r="CZ164" s="42">
        <f t="shared" ref="CZ164:CZ165" ca="1" si="1039">IF(OR($F$14&lt;=2,CI164&lt;=0),0,CW164*CU164/($A164*CL164))</f>
        <v>1.2591988471031971E-2</v>
      </c>
      <c r="DA164" s="42">
        <f t="shared" ca="1" si="730"/>
        <v>-7.525950696677804E-3</v>
      </c>
      <c r="DB164" s="42">
        <f t="shared" ref="DB164:DB165" ca="1" si="1040">IF(OR($F$14&lt;=2,CI164&lt;=0),0,(CW164*$A164*CU164*SQRT(CI164))/100)</f>
        <v>8.7154304837239641E-2</v>
      </c>
      <c r="DC164" s="42">
        <f t="shared" ref="DC164:DC165" ca="1" si="1041">IF(OR($F$14&lt;=2,CI164&lt;=0),0,IF($F$14=3,CQ164,-1*CR164)*CF164*CI164*CS164/100)</f>
        <v>3.1145713430829721E-2</v>
      </c>
      <c r="DD164" s="42">
        <f t="shared" ref="DD164:DD165" ca="1" si="1042">IF($F$14=1,0,IF($M$28=1,CX164-$G$14,OFFSET(CV164,0,$M$28))*IF($M$30=1,SIGN($B$14),$T$14))</f>
        <v>-2262.5823391847784</v>
      </c>
      <c r="DE164" s="40"/>
      <c r="DF164" s="36">
        <f t="shared" si="733"/>
        <v>200</v>
      </c>
      <c r="DG164" s="35">
        <f t="shared" si="734"/>
        <v>0.28399999999999997</v>
      </c>
      <c r="DH164" s="197">
        <f t="shared" ca="1" si="629"/>
        <v>169.23611111111677</v>
      </c>
      <c r="DI164" s="41">
        <f t="shared" ca="1" si="735"/>
        <v>0.46366057838662128</v>
      </c>
      <c r="DJ164" s="40">
        <f t="shared" ref="DJ164:DJ165" ca="1" si="1043">LN($A164/DF164)</f>
        <v>-1.014730804687408</v>
      </c>
      <c r="DK164" s="40">
        <f t="shared" ref="DK164:DK165" ca="1" si="1044">($E164-$D164+POWER(DG164,2)/2)*DI164</f>
        <v>2.5189751902588361E-2</v>
      </c>
      <c r="DL164" s="40">
        <f t="shared" ref="DL164:DL165" ca="1" si="1045">MAX(0,0.000000000001,DG164*SQRT(DI164))</f>
        <v>0.19338305926412305</v>
      </c>
      <c r="DM164" s="42">
        <f t="shared" ref="DM164:DM165" ca="1" si="1046">(DJ164+DK164)/DL164</f>
        <v>-5.1169996821350416</v>
      </c>
      <c r="DN164" s="42">
        <f t="shared" ref="DN164:DN165" ca="1" si="1047">DM164-DL164</f>
        <v>-5.3103827413991649</v>
      </c>
      <c r="DO164" s="42">
        <f t="shared" ref="DO164:DO165" ca="1" si="1048">_xlfn.NORM.DIST(DM164,0,1,TRUE)</f>
        <v>1.5521707228821596E-7</v>
      </c>
      <c r="DP164" s="42">
        <f t="shared" ref="DP164:DP165" ca="1" si="1049">_xlfn.NORM.DIST(-DM164,0,1,TRUE)</f>
        <v>0.99999984478292769</v>
      </c>
      <c r="DQ164" s="42">
        <f t="shared" ref="DQ164:DQ165" ca="1" si="1050">_xlfn.NORM.DIST(DN164,0,1,TRUE)</f>
        <v>5.4697625136388154E-8</v>
      </c>
      <c r="DR164" s="42">
        <f t="shared" ref="DR164:DR165" ca="1" si="1051">_xlfn.NORM.DIST(-DN164,0,1,TRUE)</f>
        <v>0.9999999453023749</v>
      </c>
      <c r="DS164" s="42">
        <f t="shared" ref="DS164:DS165" ca="1" si="1052">EXP(-$E164*DI164)</f>
        <v>0.98162450344672281</v>
      </c>
      <c r="DT164" s="42">
        <f t="shared" ref="DT164:DT165" ca="1" si="1053">DF164*DS164</f>
        <v>196.32490068934456</v>
      </c>
      <c r="DU164" s="42">
        <f t="shared" ref="DU164:DU165" ca="1" si="1054">EXP(-$D164*DI164)</f>
        <v>0.98801719747153338</v>
      </c>
      <c r="DV164" s="42">
        <f t="shared" ref="DV164:DV165" ca="1" si="1055">$A164*DU164</f>
        <v>71.631246816686144</v>
      </c>
      <c r="DW164" s="42">
        <f t="shared" ref="DW164:DW165" ca="1" si="1056">EXP(-1*POWER(DM164,2)/2)/SQRT(2*PI())</f>
        <v>8.226118245160746E-7</v>
      </c>
      <c r="DX164" s="42">
        <f t="shared" ref="DX164:DX165" si="1057">IF($F$16=1,0,IF($F$16=2,$A164,IF($F$16=3,DV164*DO164-DT164*DQ164,DT164*DR164-DV164*DP164)))</f>
        <v>0</v>
      </c>
      <c r="DY164" s="92">
        <f t="shared" ref="DY164:DY165" ca="1" si="1058">IF($F$16=2,1,IF(OR($F$16=1,DI164&lt;=0),0,IF($F$16=3,DO164*DU164,(DO164-1)*DU164)))</f>
        <v>0</v>
      </c>
      <c r="DZ164" s="42">
        <f t="shared" ref="DZ164:DZ165" ca="1" si="1059">IF(OR($F$16&lt;=2,DI164&lt;=0),0,DW164*DU164/($A164*DL164))</f>
        <v>0</v>
      </c>
      <c r="EA164" s="42">
        <f t="shared" ca="1" si="753"/>
        <v>0</v>
      </c>
      <c r="EB164" s="42">
        <f t="shared" ref="EB164:EB165" ca="1" si="1060">IF(OR($F$16&lt;=2,DI164&lt;=0),0,(DW164*$A164*DU164*SQRT(DI164))/100)</f>
        <v>0</v>
      </c>
      <c r="EC164" s="42">
        <f t="shared" ref="EC164:EC165" ca="1" si="1061">IF(OR($F$16&lt;=2,DI164&lt;=0),0,IF($F$16=3,DQ164,-1*DR164)*DF164*DI164*DS164/100)</f>
        <v>0</v>
      </c>
      <c r="ED164" s="42">
        <f t="shared" ref="ED164:ED165" ca="1" si="1062">IF($F$16=1,0,IF($M$28=1,DX164-$G$16,OFFSET(DV164,0,$M$28))*IF($M$30=1,SIGN($B$16),$T$16))</f>
        <v>0</v>
      </c>
      <c r="EE164" s="40"/>
      <c r="EF164" s="120">
        <f t="shared" ca="1" si="756"/>
        <v>72.499999999999972</v>
      </c>
      <c r="EG164" s="42">
        <f t="shared" ca="1" si="757"/>
        <v>6.770866054320777</v>
      </c>
      <c r="EH164" s="36">
        <f t="shared" ca="1" si="758"/>
        <v>6.770866054320777</v>
      </c>
      <c r="EI164" s="143">
        <f t="shared" ca="1" si="854"/>
        <v>6.7709999999999999</v>
      </c>
      <c r="EJ164" s="143">
        <f t="shared" ca="1" si="862"/>
        <v>1.7430000000000003</v>
      </c>
      <c r="EK164" s="153">
        <f t="shared" ca="1" si="855"/>
        <v>0</v>
      </c>
      <c r="EL164" s="143">
        <f t="shared" ca="1" si="856"/>
        <v>0</v>
      </c>
    </row>
    <row r="165" spans="1:142" x14ac:dyDescent="0.3">
      <c r="A165" s="143">
        <f t="shared" ca="1" si="857"/>
        <v>72.549999999999969</v>
      </c>
      <c r="B165" s="144">
        <f t="shared" ca="1" si="858"/>
        <v>0.28399999999999997</v>
      </c>
      <c r="C165" s="145">
        <f t="shared" ca="1" si="859"/>
        <v>45295.440972222219</v>
      </c>
      <c r="D165" s="144">
        <f t="shared" ca="1" si="860"/>
        <v>2.5999999999999999E-2</v>
      </c>
      <c r="E165" s="144">
        <f t="shared" ca="1" si="861"/>
        <v>0.04</v>
      </c>
      <c r="F165" s="36">
        <f t="shared" si="641"/>
        <v>75</v>
      </c>
      <c r="G165" s="35">
        <f t="shared" si="642"/>
        <v>0.28399999999999997</v>
      </c>
      <c r="H165" s="197">
        <f t="shared" ca="1" si="625"/>
        <v>169.23611111111677</v>
      </c>
      <c r="I165" s="41">
        <f t="shared" ca="1" si="643"/>
        <v>0.46366057838662128</v>
      </c>
      <c r="J165" s="40">
        <f t="shared" ca="1" si="963"/>
        <v>-3.3212134206113998E-2</v>
      </c>
      <c r="K165" s="40">
        <f t="shared" ca="1" si="964"/>
        <v>2.5189751902588361E-2</v>
      </c>
      <c r="L165" s="40">
        <f t="shared" ca="1" si="965"/>
        <v>0.19338305926412305</v>
      </c>
      <c r="M165" s="42">
        <f t="shared" ca="1" si="966"/>
        <v>-4.1484410961606766E-2</v>
      </c>
      <c r="N165" s="42">
        <f t="shared" ca="1" si="967"/>
        <v>-0.23486747022572982</v>
      </c>
      <c r="O165" s="42">
        <f t="shared" ca="1" si="968"/>
        <v>0.48345486020316086</v>
      </c>
      <c r="P165" s="42">
        <f t="shared" ca="1" si="969"/>
        <v>0.51654513979683914</v>
      </c>
      <c r="Q165" s="42">
        <f t="shared" ca="1" si="970"/>
        <v>0.40715579919263056</v>
      </c>
      <c r="R165" s="42">
        <f t="shared" ca="1" si="971"/>
        <v>0.59284420080736944</v>
      </c>
      <c r="S165" s="42">
        <f t="shared" ca="1" si="972"/>
        <v>0.98162450344672281</v>
      </c>
      <c r="T165" s="42">
        <f t="shared" ca="1" si="973"/>
        <v>73.621837758504213</v>
      </c>
      <c r="U165" s="42">
        <f t="shared" ca="1" si="974"/>
        <v>0.98801719747153338</v>
      </c>
      <c r="V165" s="42">
        <f t="shared" ca="1" si="975"/>
        <v>71.680647676559715</v>
      </c>
      <c r="W165" s="42">
        <f t="shared" ca="1" si="976"/>
        <v>0.39859914692610326</v>
      </c>
      <c r="X165" s="42">
        <f t="shared" ca="1" si="977"/>
        <v>6.6199893930937392</v>
      </c>
      <c r="Y165" s="42">
        <f t="shared" ca="1" si="978"/>
        <v>-0.5103554813896144</v>
      </c>
      <c r="Z165" s="42">
        <f t="shared" ca="1" si="979"/>
        <v>2.8070168896281802E-2</v>
      </c>
      <c r="AA165" s="42">
        <f t="shared" ca="1" si="661"/>
        <v>-1.4178601854338852E-2</v>
      </c>
      <c r="AB165" s="42">
        <f t="shared" ca="1" si="980"/>
        <v>0.19455319710628949</v>
      </c>
      <c r="AC165" s="42">
        <f t="shared" ca="1" si="981"/>
        <v>-0.20237059228881435</v>
      </c>
      <c r="AD165" s="42">
        <f t="shared" ca="1" si="982"/>
        <v>1509.9946965468696</v>
      </c>
      <c r="AF165" s="36">
        <f t="shared" si="664"/>
        <v>80</v>
      </c>
      <c r="AG165" s="35">
        <f t="shared" si="665"/>
        <v>0.28399999999999997</v>
      </c>
      <c r="AH165" s="197">
        <f t="shared" ca="1" si="626"/>
        <v>169.23611111111677</v>
      </c>
      <c r="AI165" s="41">
        <f t="shared" ca="1" si="666"/>
        <v>0.46366057838662128</v>
      </c>
      <c r="AJ165" s="40">
        <f t="shared" ca="1" si="983"/>
        <v>-9.7750655343685142E-2</v>
      </c>
      <c r="AK165" s="40">
        <f t="shared" ca="1" si="984"/>
        <v>2.5189751902588361E-2</v>
      </c>
      <c r="AL165" s="40">
        <f t="shared" ca="1" si="985"/>
        <v>0.19338305926412305</v>
      </c>
      <c r="AM165" s="42">
        <f t="shared" ca="1" si="986"/>
        <v>-0.37521851043835708</v>
      </c>
      <c r="AN165" s="42">
        <f t="shared" ca="1" si="987"/>
        <v>-0.5686015697024801</v>
      </c>
      <c r="AO165" s="42">
        <f t="shared" ca="1" si="988"/>
        <v>0.35374898243730785</v>
      </c>
      <c r="AP165" s="42">
        <f t="shared" ca="1" si="989"/>
        <v>0.6462510175626921</v>
      </c>
      <c r="AQ165" s="42">
        <f t="shared" ca="1" si="990"/>
        <v>0.28481327966638548</v>
      </c>
      <c r="AR165" s="42">
        <f t="shared" ca="1" si="991"/>
        <v>0.71518672033361452</v>
      </c>
      <c r="AS165" s="42">
        <f t="shared" ca="1" si="992"/>
        <v>0.98162450344672281</v>
      </c>
      <c r="AT165" s="42">
        <f t="shared" ca="1" si="993"/>
        <v>78.529960275737821</v>
      </c>
      <c r="AU165" s="42">
        <f t="shared" ca="1" si="994"/>
        <v>0.98801719747153338</v>
      </c>
      <c r="AV165" s="42">
        <f t="shared" ca="1" si="995"/>
        <v>71.680647676559715</v>
      </c>
      <c r="AW165" s="42">
        <f t="shared" ca="1" si="996"/>
        <v>0.37182461590906835</v>
      </c>
      <c r="AX165" s="42">
        <f t="shared" ca="1" si="997"/>
        <v>9.8398932370044321</v>
      </c>
      <c r="AY165" s="42">
        <f t="shared" ca="1" si="998"/>
        <v>-0.6385071192354177</v>
      </c>
      <c r="AZ165" s="42">
        <f t="shared" ca="1" si="999"/>
        <v>2.6184651544920681E-2</v>
      </c>
      <c r="BA165" s="42">
        <f t="shared" ca="1" si="684"/>
        <v>-1.2372596387161558E-2</v>
      </c>
      <c r="BB165" s="42">
        <f t="shared" ca="1" si="1000"/>
        <v>0.18148475315562704</v>
      </c>
      <c r="BC165" s="42">
        <f t="shared" ca="1" si="1001"/>
        <v>-0.26040840183671016</v>
      </c>
      <c r="BD165" s="42">
        <f t="shared" ca="1" si="1002"/>
        <v>-2094.9466185022156</v>
      </c>
      <c r="BE165" s="40"/>
      <c r="BF165" s="36">
        <f t="shared" si="687"/>
        <v>90</v>
      </c>
      <c r="BG165" s="35">
        <f t="shared" si="688"/>
        <v>0.28399999999999997</v>
      </c>
      <c r="BH165" s="197">
        <f t="shared" ca="1" si="627"/>
        <v>169.23611111111677</v>
      </c>
      <c r="BI165" s="41">
        <f t="shared" ca="1" si="689"/>
        <v>0.46366057838662128</v>
      </c>
      <c r="BJ165" s="40">
        <f t="shared" ca="1" si="1003"/>
        <v>-0.21553369100006864</v>
      </c>
      <c r="BK165" s="40">
        <f t="shared" ca="1" si="1004"/>
        <v>2.5189751902588361E-2</v>
      </c>
      <c r="BL165" s="40">
        <f t="shared" ca="1" si="1005"/>
        <v>0.19338305926412305</v>
      </c>
      <c r="BM165" s="42">
        <f t="shared" ca="1" si="1006"/>
        <v>-0.98428445501789297</v>
      </c>
      <c r="BN165" s="42">
        <f t="shared" ca="1" si="1007"/>
        <v>-1.1776675142820161</v>
      </c>
      <c r="BO165" s="42">
        <f t="shared" ca="1" si="1008"/>
        <v>0.16248783526881072</v>
      </c>
      <c r="BP165" s="42">
        <f t="shared" ca="1" si="1009"/>
        <v>0.83751216473118928</v>
      </c>
      <c r="BQ165" s="42">
        <f t="shared" ca="1" si="1010"/>
        <v>0.11946459133409476</v>
      </c>
      <c r="BR165" s="42">
        <f t="shared" ca="1" si="1011"/>
        <v>0.88053540866590518</v>
      </c>
      <c r="BS165" s="42">
        <f t="shared" ca="1" si="1012"/>
        <v>0.98162450344672281</v>
      </c>
      <c r="BT165" s="42">
        <f t="shared" ca="1" si="1013"/>
        <v>88.34620531020505</v>
      </c>
      <c r="BU165" s="42">
        <f t="shared" ca="1" si="1014"/>
        <v>0.98801719747153338</v>
      </c>
      <c r="BV165" s="42">
        <f t="shared" ca="1" si="1015"/>
        <v>71.680647676559715</v>
      </c>
      <c r="BW165" s="42">
        <f t="shared" ca="1" si="1016"/>
        <v>0.24577311204469432</v>
      </c>
      <c r="BX165" s="42">
        <f t="shared" ca="1" si="1017"/>
        <v>1.0929899583288165</v>
      </c>
      <c r="BY165" s="42">
        <f t="shared" ca="1" si="1018"/>
        <v>0.16054077562550656</v>
      </c>
      <c r="BZ165" s="42">
        <f t="shared" ca="1" si="1019"/>
        <v>1.7307846287333759E-2</v>
      </c>
      <c r="CA165" s="42">
        <f t="shared" ca="1" si="707"/>
        <v>-1.039237841159488E-2</v>
      </c>
      <c r="CB165" s="42">
        <f t="shared" ca="1" si="1020"/>
        <v>0.11995997753583311</v>
      </c>
      <c r="CC165" s="42">
        <f t="shared" ca="1" si="1021"/>
        <v>4.8935865590785867E-2</v>
      </c>
      <c r="CD165" s="42">
        <f t="shared" ca="1" si="1022"/>
        <v>2853.5050208355915</v>
      </c>
      <c r="CE165" s="40"/>
      <c r="CF165" s="36">
        <f t="shared" si="710"/>
        <v>95</v>
      </c>
      <c r="CG165" s="35">
        <f t="shared" si="711"/>
        <v>0.28399999999999997</v>
      </c>
      <c r="CH165" s="197">
        <f t="shared" ca="1" si="628"/>
        <v>169.23611111111677</v>
      </c>
      <c r="CI165" s="41">
        <f t="shared" ca="1" si="712"/>
        <v>0.46366057838662128</v>
      </c>
      <c r="CJ165" s="40">
        <f t="shared" ca="1" si="1023"/>
        <v>-0.26960091227034449</v>
      </c>
      <c r="CK165" s="40">
        <f t="shared" ca="1" si="1024"/>
        <v>2.5189751902588361E-2</v>
      </c>
      <c r="CL165" s="40">
        <f t="shared" ca="1" si="1025"/>
        <v>0.19338305926412305</v>
      </c>
      <c r="CM165" s="42">
        <f t="shared" ca="1" si="1026"/>
        <v>-1.2638705856542416</v>
      </c>
      <c r="CN165" s="42">
        <f t="shared" ca="1" si="1027"/>
        <v>-1.4572536449183646</v>
      </c>
      <c r="CO165" s="42">
        <f t="shared" ca="1" si="1028"/>
        <v>0.10313824045486489</v>
      </c>
      <c r="CP165" s="42">
        <f t="shared" ca="1" si="1029"/>
        <v>0.89686175954513514</v>
      </c>
      <c r="CQ165" s="42">
        <f t="shared" ca="1" si="1030"/>
        <v>7.2523188728799301E-2</v>
      </c>
      <c r="CR165" s="42">
        <f t="shared" ca="1" si="1031"/>
        <v>0.92747681127120074</v>
      </c>
      <c r="CS165" s="42">
        <f t="shared" ca="1" si="1032"/>
        <v>0.98162450344672281</v>
      </c>
      <c r="CT165" s="42">
        <f t="shared" ca="1" si="1033"/>
        <v>93.254327827438672</v>
      </c>
      <c r="CU165" s="42">
        <f t="shared" ca="1" si="1034"/>
        <v>0.98801719747153338</v>
      </c>
      <c r="CV165" s="42">
        <f t="shared" ca="1" si="1035"/>
        <v>71.680647676559715</v>
      </c>
      <c r="CW165" s="42">
        <f t="shared" ca="1" si="1036"/>
        <v>0.17949230126796339</v>
      </c>
      <c r="CX165" s="42">
        <f t="shared" ca="1" si="1037"/>
        <v>0.62991465921881318</v>
      </c>
      <c r="CY165" s="42">
        <f t="shared" ca="1" si="1038"/>
        <v>0.10190235528636074</v>
      </c>
      <c r="CZ165" s="42">
        <f t="shared" ca="1" si="1039"/>
        <v>1.2640215743131279E-2</v>
      </c>
      <c r="DA165" s="42">
        <f t="shared" ca="1" si="730"/>
        <v>-7.5654804252766987E-3</v>
      </c>
      <c r="DB165" s="42">
        <f t="shared" ca="1" si="1040"/>
        <v>8.7608820382452018E-2</v>
      </c>
      <c r="DC165" s="42">
        <f t="shared" ca="1" si="1041"/>
        <v>3.1357834218718357E-2</v>
      </c>
      <c r="DD165" s="42">
        <f t="shared" ca="1" si="1042"/>
        <v>-2260.0426703905937</v>
      </c>
      <c r="DE165" s="40"/>
      <c r="DF165" s="36">
        <f t="shared" si="733"/>
        <v>200</v>
      </c>
      <c r="DG165" s="35">
        <f t="shared" si="734"/>
        <v>0.28399999999999997</v>
      </c>
      <c r="DH165" s="197">
        <f t="shared" ca="1" si="629"/>
        <v>169.23611111111677</v>
      </c>
      <c r="DI165" s="41">
        <f t="shared" ca="1" si="735"/>
        <v>0.46366057838662128</v>
      </c>
      <c r="DJ165" s="40">
        <f t="shared" ca="1" si="1043"/>
        <v>-1.0140413872178402</v>
      </c>
      <c r="DK165" s="40">
        <f t="shared" ca="1" si="1044"/>
        <v>2.5189751902588361E-2</v>
      </c>
      <c r="DL165" s="40">
        <f t="shared" ca="1" si="1045"/>
        <v>0.19338305926412305</v>
      </c>
      <c r="DM165" s="42">
        <f t="shared" ca="1" si="1046"/>
        <v>-5.1134346466443885</v>
      </c>
      <c r="DN165" s="42">
        <f t="shared" ca="1" si="1047"/>
        <v>-5.3068177059085118</v>
      </c>
      <c r="DO165" s="42">
        <f t="shared" ca="1" si="1048"/>
        <v>1.5817661877021047E-7</v>
      </c>
      <c r="DP165" s="42">
        <f t="shared" ca="1" si="1049"/>
        <v>0.9999998418233812</v>
      </c>
      <c r="DQ165" s="42">
        <f t="shared" ca="1" si="1050"/>
        <v>5.5777820871228259E-8</v>
      </c>
      <c r="DR165" s="42">
        <f t="shared" ca="1" si="1051"/>
        <v>0.99999994422217908</v>
      </c>
      <c r="DS165" s="42">
        <f t="shared" ca="1" si="1052"/>
        <v>0.98162450344672281</v>
      </c>
      <c r="DT165" s="42">
        <f t="shared" ca="1" si="1053"/>
        <v>196.32490068934456</v>
      </c>
      <c r="DU165" s="42">
        <f t="shared" ca="1" si="1054"/>
        <v>0.98801719747153338</v>
      </c>
      <c r="DV165" s="42">
        <f t="shared" ca="1" si="1055"/>
        <v>71.680647676559715</v>
      </c>
      <c r="DW165" s="42">
        <f t="shared" ca="1" si="1056"/>
        <v>8.3775053144590383E-7</v>
      </c>
      <c r="DX165" s="42">
        <f t="shared" si="1057"/>
        <v>0</v>
      </c>
      <c r="DY165" s="92">
        <f t="shared" ca="1" si="1058"/>
        <v>0</v>
      </c>
      <c r="DZ165" s="42">
        <f t="shared" ca="1" si="1059"/>
        <v>0</v>
      </c>
      <c r="EA165" s="42">
        <f t="shared" ca="1" si="753"/>
        <v>0</v>
      </c>
      <c r="EB165" s="42">
        <f t="shared" ca="1" si="1060"/>
        <v>0</v>
      </c>
      <c r="EC165" s="42">
        <f t="shared" ca="1" si="1061"/>
        <v>0</v>
      </c>
      <c r="ED165" s="42">
        <f t="shared" ca="1" si="1062"/>
        <v>0</v>
      </c>
      <c r="EE165" s="40"/>
      <c r="EF165" s="120">
        <f t="shared" ca="1" si="756"/>
        <v>72.549999999999969</v>
      </c>
      <c r="EG165" s="42">
        <f t="shared" ca="1" si="757"/>
        <v>8.5104284896519857</v>
      </c>
      <c r="EH165" s="36">
        <f t="shared" ca="1" si="758"/>
        <v>8.5104284896519857</v>
      </c>
      <c r="EI165" s="143">
        <f t="shared" ca="1" si="854"/>
        <v>8.51</v>
      </c>
      <c r="EJ165" s="143">
        <f t="shared" ca="1" si="862"/>
        <v>1.7389999999999999</v>
      </c>
      <c r="EK165" s="153">
        <f t="shared" ca="1" si="855"/>
        <v>0</v>
      </c>
      <c r="EL165" s="143">
        <f t="shared" ca="1" si="856"/>
        <v>0</v>
      </c>
    </row>
    <row r="166" spans="1:142" x14ac:dyDescent="0.3">
      <c r="A166" s="152">
        <v>2</v>
      </c>
      <c r="B166" s="149">
        <f ca="1">MATCH($A166,$EN$53:$EN$149,0)</f>
        <v>50</v>
      </c>
      <c r="C166" s="150" t="str">
        <f ca="1">IF(ISNUMBER($B166),INDEX($EL$53:$EL$149,$B166),"")</f>
        <v>MAX MID</v>
      </c>
      <c r="D166" s="163" t="str">
        <f ca="1">IF($C166="","",LEFT($C166,3))</f>
        <v>MAX</v>
      </c>
      <c r="E166" s="150" t="str">
        <f ca="1">IF($C166="","",MID($C166,5,3))</f>
        <v>MID</v>
      </c>
      <c r="F166" s="150">
        <f ca="1">IF(ISNUMBER($B166),IF($E166="BEG",INDEX($EF$51:$EF$147,$B166),INDEX($EF$52:$EF$148,$B166)),"")</f>
        <v>85.5</v>
      </c>
      <c r="G166" s="150">
        <f ca="1">IF($D166="MAX",MAX($EI167:$EI179),IF($D166="MIN",MIN($EI167:$EI179),""))</f>
        <v>258.44900000000001</v>
      </c>
      <c r="H166" s="150">
        <f ca="1">IF($D166="B/E",MAX($EL168:$EL179),IF($G166="","",SUM($EK167:$EK179)))</f>
        <v>2</v>
      </c>
      <c r="I166" s="150">
        <f ca="1">IF($D166="B/E",MATCH($H166,$EL168:$EL179,0)+1,IF($E166="END",$H166,IF($E166="BEG",14-$H166,IF($E166="MID",MATCH(1,$EK167:$EK179,0),""))))</f>
        <v>5</v>
      </c>
      <c r="J166" s="150">
        <f ca="1">IF($I166="","",INDEX($EF167:$EF179,$I166))</f>
        <v>85.649999999999991</v>
      </c>
      <c r="K166" s="150" t="str">
        <f ca="1">IF($D166="B/E",INDEX($EI167:$EI179,$I166-1),"")</f>
        <v/>
      </c>
      <c r="L166" s="150" t="str">
        <f ca="1">IF($D166="B/E",INDEX($EI167:$EI179,$I166),"")</f>
        <v/>
      </c>
      <c r="M166" s="150" t="str">
        <f ca="1">IF($E166="BEG",INDEX($EJ167:$EJ179,$I166-1),"")</f>
        <v/>
      </c>
      <c r="N166" s="150">
        <f ca="1">IF(OR($E166="BEG",$E166="MID"),INDEX($EJ167:$EJ179,$I166),"")</f>
        <v>7.0000000000050022E-3</v>
      </c>
      <c r="O166" s="150">
        <f ca="1">IF(OR($E166="MID",$E166="END"),INDEX($EJ167:$EJ179,$I166+1),"")</f>
        <v>0</v>
      </c>
      <c r="P166" s="150" t="str">
        <f ca="1">IF($E166="END",INDEX($EJ167:$EJ179,$I166+2),"")</f>
        <v/>
      </c>
      <c r="Q166" s="150" t="str">
        <f ca="1">IF($D166="B/E",IF($H166=1,$J166,IF($H166=2,$J166+$EF$48*(ABS($K166/($L166-$K166))-1),$J166)),"")</f>
        <v/>
      </c>
      <c r="R166" s="150" t="str">
        <f ca="1">IF($E166="BEG",$J166-IF(AND(ISNUMBER($M166),$M166&lt;&gt;0),$EF$48*(1-$N166/$M166),0),"")</f>
        <v/>
      </c>
      <c r="S166" s="150">
        <f ca="1">IF($E166="MID",$J166+$EF$48*(ABS($N166)-ABS($O166))/MAX(ABS($N166),ABS($O166))/2,"")</f>
        <v>85.674999999999997</v>
      </c>
      <c r="T166" s="150" t="str">
        <f ca="1">IF($E166="END",$J166+IF(AND(ISNUMBER($P166),$P166&lt;&gt;0),$EF$48*(1-$O166/$P166),0),"")</f>
        <v/>
      </c>
      <c r="U166" s="150">
        <f ca="1">IF($D166="B/E",$Q166,IF($E166="BEG",$R166,IF($E166="MID",$S166,IF($E166="END",$T166,""))))</f>
        <v>85.674999999999997</v>
      </c>
      <c r="V166" s="163">
        <f ca="1">IF(ISNUMBER($U166),$U166,IF($D166="","",$F166))</f>
        <v>85.674999999999997</v>
      </c>
      <c r="W166" s="163">
        <f ca="1">IF(AND(ISNUMBER($V166),ISNUMBER($EI$238)),$EI$238,"")</f>
        <v>258.45</v>
      </c>
      <c r="AH166" s="201"/>
      <c r="BH166" s="201"/>
      <c r="CH166" s="201"/>
      <c r="DH166" s="201"/>
      <c r="EF166" s="120"/>
      <c r="EG166" s="42"/>
      <c r="EH166" s="36"/>
      <c r="EI166" s="155" t="s">
        <v>109</v>
      </c>
      <c r="EJ166" s="155" t="s">
        <v>110</v>
      </c>
      <c r="EK166" s="155" t="s">
        <v>112</v>
      </c>
      <c r="EL166" s="155" t="s">
        <v>116</v>
      </c>
    </row>
    <row r="167" spans="1:142" x14ac:dyDescent="0.3">
      <c r="A167" s="146">
        <f ca="1">IF(AND($M$22=1,ISNUMBER($B$166)),$F$166-$EF$48,A$48)</f>
        <v>85.45</v>
      </c>
      <c r="B167" s="147">
        <f ca="1">IF(AND($M$22=2,ISNUMBER($B$166)),$F$166-$EF$48,B$48)</f>
        <v>0.28399999999999997</v>
      </c>
      <c r="C167" s="148">
        <f ca="1">IF(AND($M$22=3,ISNUMBER($B$166)),$F$166-$EF$48,C$48)</f>
        <v>45295.440972222219</v>
      </c>
      <c r="D167" s="147">
        <f ca="1">IF(AND($M$22=4,ISNUMBER($B$166)),$F$166-$EF$48,D$48)</f>
        <v>2.5999999999999999E-2</v>
      </c>
      <c r="E167" s="147">
        <f ca="1">IF(AND($M$22=5,ISNUMBER($B$166)),$F$166-$EF$48,E$48)</f>
        <v>0.04</v>
      </c>
      <c r="F167" s="36">
        <f t="shared" si="641"/>
        <v>75</v>
      </c>
      <c r="G167" s="35">
        <f t="shared" ref="G167:G179" si="1063">IF($M$22=2,$B167,G$48)</f>
        <v>0.28399999999999997</v>
      </c>
      <c r="H167" s="197">
        <f t="shared" ca="1" si="625"/>
        <v>169.23611111111677</v>
      </c>
      <c r="I167" s="41">
        <f t="shared" ref="I167:I179" ca="1" si="1064">H167/365</f>
        <v>0.46366057838662128</v>
      </c>
      <c r="J167" s="40">
        <f t="shared" ref="J167:J169" ca="1" si="1065">LN($A167/F167)</f>
        <v>0.13044329602528942</v>
      </c>
      <c r="K167" s="40">
        <f t="shared" ref="K167:K169" ca="1" si="1066">($E167-$D167+POWER(G167,2)/2)*I167</f>
        <v>2.5189751902588361E-2</v>
      </c>
      <c r="L167" s="40">
        <f t="shared" ref="L167:L169" ca="1" si="1067">MAX(0,0.000000000001,G167*SQRT(I167))</f>
        <v>0.19338305926412305</v>
      </c>
      <c r="M167" s="42">
        <f t="shared" ref="M167:M169" ca="1" si="1068">(J167+K167)/L167</f>
        <v>0.80479152889661243</v>
      </c>
      <c r="N167" s="42">
        <f t="shared" ref="N167:N169" ca="1" si="1069">M167-L167</f>
        <v>0.6114084696324894</v>
      </c>
      <c r="O167" s="42">
        <f t="shared" ref="O167:O169" ca="1" si="1070">_xlfn.NORM.DIST(M167,0,1,TRUE)</f>
        <v>0.78953000458040101</v>
      </c>
      <c r="P167" s="42">
        <f t="shared" ref="P167:P169" ca="1" si="1071">_xlfn.NORM.DIST(-M167,0,1,TRUE)</f>
        <v>0.21046999541959899</v>
      </c>
      <c r="Q167" s="42">
        <f t="shared" ref="Q167:Q169" ca="1" si="1072">_xlfn.NORM.DIST(N167,0,1,TRUE)</f>
        <v>0.72953540153603702</v>
      </c>
      <c r="R167" s="42">
        <f t="shared" ref="R167:R169" ca="1" si="1073">_xlfn.NORM.DIST(-N167,0,1,TRUE)</f>
        <v>0.27046459846396298</v>
      </c>
      <c r="S167" s="42">
        <f t="shared" ref="S167:S169" ca="1" si="1074">EXP(-$E167*I167)</f>
        <v>0.98162450344672281</v>
      </c>
      <c r="T167" s="42">
        <f t="shared" ref="T167:T169" ca="1" si="1075">F167*S167</f>
        <v>73.621837758504213</v>
      </c>
      <c r="U167" s="42">
        <f t="shared" ref="U167:U169" ca="1" si="1076">EXP(-$D167*I167)</f>
        <v>0.98801719747153338</v>
      </c>
      <c r="V167" s="42">
        <f t="shared" ref="V167:V169" ca="1" si="1077">$A167*U167</f>
        <v>84.42606952394253</v>
      </c>
      <c r="W167" s="42">
        <f t="shared" ref="W167:W169" ca="1" si="1078">EXP(-1*POWER(M167,2)/2)/SQRT(2*PI())</f>
        <v>0.28857991325762117</v>
      </c>
      <c r="X167" s="42">
        <f t="shared" ref="X167:X169" ca="1" si="1079">IF($F$8=1,0,IF($F$8=2,$A167,IF($F$8=3,V167*O167-T167*Q167,T167*R167-V167*P167)))</f>
        <v>2.142946321533941</v>
      </c>
      <c r="Y167" s="42">
        <f t="shared" ref="Y167:Y169" ca="1" si="1080">IF($F$8=2,1,IF(OR($F$8=1,I167&lt;=0),0,IF($F$8=3,O167*U167,(O167-1)*U167)))</f>
        <v>-0.20794797502631865</v>
      </c>
      <c r="Z167" s="42">
        <f t="shared" ref="Z167:Z169" ca="1" si="1081">IF(OR($F$8&lt;=2,I167&lt;=0),0,W167*U167/($A167*L167))</f>
        <v>1.7254409823981551E-2</v>
      </c>
      <c r="AA167" s="42">
        <f t="shared" ref="AA167:AA179" ca="1" si="1082">IF(OR($F$8&lt;=2,I167&lt;=0),0,(IF($F$8=3,-1*$E167*F167*S167*Q167+$D167*$A167*U167*O167,$E167*F167*S167*R167-$D167*$A167*U167*P167)-(W167*$A167*G167*U167/(2*SQRT(I167))))/365)</f>
        <v>-1.3003562390729749E-2</v>
      </c>
      <c r="AB167" s="42">
        <f t="shared" ref="AB167:AB169" ca="1" si="1083">IF(OR($F$8&lt;=2,I167&lt;=0),0,(W167*$A167*U167*SQRT(I167))/100)</f>
        <v>0.16589861330659744</v>
      </c>
      <c r="AC167" s="42">
        <f t="shared" ref="AC167:AC169" ca="1" si="1084">IF(OR($F$8&lt;=2,I167&lt;=0),0,IF($F$8=3,Q167,-1*R167)*F167*I167*S167/100)</f>
        <v>-9.2324561680401873E-2</v>
      </c>
      <c r="AD167" s="42">
        <f ca="1">IF($F$8=1,0,IF($M$28=1,X167-$G$8,OFFSET(V167,0,$M$28))*IF($M$30=1,SIGN($B$8),$T$8))</f>
        <v>-728.52683923302948</v>
      </c>
      <c r="AF167" s="36">
        <f t="shared" si="664"/>
        <v>80</v>
      </c>
      <c r="AG167" s="35">
        <f t="shared" ref="AG167:AG179" si="1085">IF($M$22=2,$B167,AG$48)</f>
        <v>0.28399999999999997</v>
      </c>
      <c r="AH167" s="197">
        <f t="shared" ca="1" si="626"/>
        <v>169.23611111111677</v>
      </c>
      <c r="AI167" s="41">
        <f t="shared" ref="AI167:AI179" ca="1" si="1086">AH167/365</f>
        <v>0.46366057838662128</v>
      </c>
      <c r="AJ167" s="40">
        <f t="shared" ref="AJ167:AJ169" ca="1" si="1087">LN($A167/AF167)</f>
        <v>6.5904774887718273E-2</v>
      </c>
      <c r="AK167" s="40">
        <f t="shared" ref="AK167:AK169" ca="1" si="1088">($E167-$D167+POWER(AG167,2)/2)*AI167</f>
        <v>2.5189751902588361E-2</v>
      </c>
      <c r="AL167" s="40">
        <f t="shared" ref="AL167:AL169" ca="1" si="1089">MAX(0,0.000000000001,AG167*SQRT(AI167))</f>
        <v>0.19338305926412305</v>
      </c>
      <c r="AM167" s="42">
        <f t="shared" ref="AM167:AM169" ca="1" si="1090">(AJ167+AK167)/AL167</f>
        <v>0.47105742941986201</v>
      </c>
      <c r="AN167" s="42">
        <f t="shared" ref="AN167:AN169" ca="1" si="1091">AM167-AL167</f>
        <v>0.27767437015573893</v>
      </c>
      <c r="AO167" s="42">
        <f t="shared" ref="AO167:AO169" ca="1" si="1092">_xlfn.NORM.DIST(AM167,0,1,TRUE)</f>
        <v>0.6812001378640492</v>
      </c>
      <c r="AP167" s="42">
        <f t="shared" ref="AP167:AP169" ca="1" si="1093">_xlfn.NORM.DIST(-AM167,0,1,TRUE)</f>
        <v>0.3187998621359508</v>
      </c>
      <c r="AQ167" s="42">
        <f t="shared" ref="AQ167:AQ169" ca="1" si="1094">_xlfn.NORM.DIST(AN167,0,1,TRUE)</f>
        <v>0.60936883159008037</v>
      </c>
      <c r="AR167" s="42">
        <f t="shared" ref="AR167:AR169" ca="1" si="1095">_xlfn.NORM.DIST(-AN167,0,1,TRUE)</f>
        <v>0.39063116840991963</v>
      </c>
      <c r="AS167" s="42">
        <f t="shared" ref="AS167:AS169" ca="1" si="1096">EXP(-$E167*AI167)</f>
        <v>0.98162450344672281</v>
      </c>
      <c r="AT167" s="42">
        <f t="shared" ref="AT167:AT169" ca="1" si="1097">AF167*AS167</f>
        <v>78.529960275737821</v>
      </c>
      <c r="AU167" s="42">
        <f t="shared" ref="AU167:AU169" ca="1" si="1098">EXP(-$D167*AI167)</f>
        <v>0.98801719747153338</v>
      </c>
      <c r="AV167" s="42">
        <f t="shared" ref="AV167:AV169" ca="1" si="1099">$A167*AU167</f>
        <v>84.42606952394253</v>
      </c>
      <c r="AW167" s="42">
        <f t="shared" ref="AW167:AW169" ca="1" si="1100">EXP(-1*POWER(AM167,2)/2)/SQRT(2*PI())</f>
        <v>0.35704763165111669</v>
      </c>
      <c r="AX167" s="42">
        <f t="shared" ref="AX167:AX169" ca="1" si="1101">IF($F$10=1,0,IF($F$10=2,$A167,IF($F$10=3,AV167*AO167-AT167*AQ167,AT167*AR167-AV167*AP167)))</f>
        <v>3.7612308127829657</v>
      </c>
      <c r="AY167" s="42">
        <f t="shared" ref="AY167:AY169" ca="1" si="1102">IF($F$10=2,1,IF(OR($F$10=1,AI167&lt;=0),0,IF($F$10=3,AO167*AU167,(AO167-1)*AU167)))</f>
        <v>-0.31497974634187331</v>
      </c>
      <c r="AZ167" s="42">
        <f t="shared" ref="AZ167:AZ169" ca="1" si="1103">IF(OR($F$10&lt;=2,AI167&lt;=0),0,AW167*AU167/($A167*AL167))</f>
        <v>2.1348146146577568E-2</v>
      </c>
      <c r="BA167" s="42">
        <f t="shared" ref="BA167:BA179" ca="1" si="1104">IF(OR($F$10&lt;=2,AI167&lt;=0),0,(IF($F$10=3,-1*$E167*AF167*AS167*AQ167+$D167*$A167*AU167*AO167,$E167*AF167*AS167*AR167-$D167*$A167*AU167*AP167)-(AW167*$A167*AG167*AU167/(2*SQRT(AI167))))/365)</f>
        <v>-1.5778029870844562E-2</v>
      </c>
      <c r="BB167" s="42">
        <f t="shared" ref="BB167:BB169" ca="1" si="1105">IF(OR($F$10&lt;=2,AI167&lt;=0),0,(AW167*$A167*AU167*SQRT(AI167))/100)</f>
        <v>0.20525928609052535</v>
      </c>
      <c r="BC167" s="42">
        <f t="shared" ref="BC167:BC169" ca="1" si="1106">IF(OR($F$10&lt;=2,AI167&lt;=0),0,IF($F$10=3,AQ167,-1*AR167)*AF167*AI167*AS167/100)</f>
        <v>-0.14223367881576818</v>
      </c>
      <c r="BD167" s="42">
        <f ca="1">IF($F$10=1,0,IF($M$28=1,AX167-$G$10,OFFSET(AV167,0,$M$28))*IF($M$30=1,SIGN($B$10),$T$10))</f>
        <v>944.38459360851732</v>
      </c>
      <c r="BE167" s="40"/>
      <c r="BF167" s="36">
        <f t="shared" si="687"/>
        <v>90</v>
      </c>
      <c r="BG167" s="35">
        <f t="shared" ref="BG167:BG179" si="1107">IF($M$22=2,$B167,BG$48)</f>
        <v>0.28399999999999997</v>
      </c>
      <c r="BH167" s="197">
        <f t="shared" ca="1" si="627"/>
        <v>169.23611111111677</v>
      </c>
      <c r="BI167" s="41">
        <f t="shared" ref="BI167:BI179" ca="1" si="1108">BH167/365</f>
        <v>0.46366057838662128</v>
      </c>
      <c r="BJ167" s="40">
        <f t="shared" ref="BJ167:BJ169" ca="1" si="1109">LN($A167/BF167)</f>
        <v>-5.1878260768665189E-2</v>
      </c>
      <c r="BK167" s="40">
        <f t="shared" ref="BK167:BK169" ca="1" si="1110">($E167-$D167+POWER(BG167,2)/2)*BI167</f>
        <v>2.5189751902588361E-2</v>
      </c>
      <c r="BL167" s="40">
        <f t="shared" ref="BL167:BL169" ca="1" si="1111">MAX(0,0.000000000001,BG167*SQRT(BI167))</f>
        <v>0.19338305926412305</v>
      </c>
      <c r="BM167" s="42">
        <f t="shared" ref="BM167:BM169" ca="1" si="1112">(BJ167+BK167)/BL167</f>
        <v>-0.13800851515967383</v>
      </c>
      <c r="BN167" s="42">
        <f t="shared" ref="BN167:BN169" ca="1" si="1113">BM167-BL167</f>
        <v>-0.33139157442379685</v>
      </c>
      <c r="BO167" s="42">
        <f t="shared" ref="BO167:BO169" ca="1" si="1114">_xlfn.NORM.DIST(BM167,0,1,TRUE)</f>
        <v>0.44511684391175127</v>
      </c>
      <c r="BP167" s="42">
        <f t="shared" ref="BP167:BP169" ca="1" si="1115">_xlfn.NORM.DIST(-BM167,0,1,TRUE)</f>
        <v>0.55488315608824879</v>
      </c>
      <c r="BQ167" s="42">
        <f t="shared" ref="BQ167:BQ169" ca="1" si="1116">_xlfn.NORM.DIST(BN167,0,1,TRUE)</f>
        <v>0.37017436416626959</v>
      </c>
      <c r="BR167" s="42">
        <f t="shared" ref="BR167:BR169" ca="1" si="1117">_xlfn.NORM.DIST(-BN167,0,1,TRUE)</f>
        <v>0.62982563583373041</v>
      </c>
      <c r="BS167" s="42">
        <f t="shared" ref="BS167:BS169" ca="1" si="1118">EXP(-$E167*BI167)</f>
        <v>0.98162450344672281</v>
      </c>
      <c r="BT167" s="42">
        <f t="shared" ref="BT167:BT169" ca="1" si="1119">BF167*BS167</f>
        <v>88.34620531020505</v>
      </c>
      <c r="BU167" s="42">
        <f t="shared" ref="BU167:BU169" ca="1" si="1120">EXP(-$D167*BI167)</f>
        <v>0.98801719747153338</v>
      </c>
      <c r="BV167" s="42">
        <f t="shared" ref="BV167:BV169" ca="1" si="1121">$A167*BU167</f>
        <v>84.42606952394253</v>
      </c>
      <c r="BW167" s="42">
        <f t="shared" ref="BW167:BW169" ca="1" si="1122">EXP(-1*POWER(BM167,2)/2)/SQRT(2*PI())</f>
        <v>0.39516111612028826</v>
      </c>
      <c r="BX167" s="42">
        <f t="shared" ref="BX167:BX169" ca="1" si="1123">IF($F$12=1,0,IF($F$12=2,$A167,IF($F$12=3,BV167*BO167-BT167*BQ167,BT167*BR167-BV167*BP167)))</f>
        <v>4.8759652331635195</v>
      </c>
      <c r="BY167" s="42">
        <f t="shared" ref="BY167:BY169" ca="1" si="1124">IF($F$12=2,1,IF(OR($F$12=1,BI167&lt;=0),0,IF($F$12=3,BO167*BU167,(BO167-1)*BU167)))</f>
        <v>0.43978309666906246</v>
      </c>
      <c r="BZ167" s="42">
        <f t="shared" ref="BZ167:BZ169" ca="1" si="1125">IF(OR($F$12&lt;=2,BI167&lt;=0),0,BW167*BU167/($A167*BL167))</f>
        <v>2.3626980017679211E-2</v>
      </c>
      <c r="CA167" s="42">
        <f t="shared" ref="CA167:CA179" ca="1" si="1126">IF(OR($F$12&lt;=2,BI167&lt;=0),0,(IF($F$12=3,-1*$E167*BF167*BS167*BQ167+$D167*$A167*BU167*BO167,$E167*BF167*BS167*BR167-$D167*$A167*BU167*BP167)-(BW167*$A167*BG167*BU167/(2*SQRT(BI167))))/365)</f>
        <v>-1.9968073168363572E-2</v>
      </c>
      <c r="CB167" s="42">
        <f t="shared" ref="CB167:CB169" ca="1" si="1127">IF(OR($F$12&lt;=2,BI167&lt;=0),0,(BW167*$A167*BU167*SQRT(BI167))/100)</f>
        <v>0.22716993867317217</v>
      </c>
      <c r="CC167" s="42">
        <f t="shared" ref="CC167:CC169" ca="1" si="1128">IF(OR($F$12&lt;=2,BI167&lt;=0),0,IF($F$12=3,BQ167,-1*BR167)*BF167*BI167*BS167/100)</f>
        <v>0.15163323900163286</v>
      </c>
      <c r="CD167" s="42">
        <f ca="1">IF($F$12=1,0,IF($M$28=1,BX167-$G$12,OFFSET(BV167,0,$M$28))*IF($M$30=1,SIGN($B$12),$T$12))</f>
        <v>962.01738341824012</v>
      </c>
      <c r="CE167" s="40"/>
      <c r="CF167" s="36">
        <f t="shared" si="710"/>
        <v>95</v>
      </c>
      <c r="CG167" s="35">
        <f t="shared" ref="CG167:CG179" si="1129">IF($M$22=2,$B167,CG$48)</f>
        <v>0.28399999999999997</v>
      </c>
      <c r="CH167" s="197">
        <f t="shared" ca="1" si="628"/>
        <v>169.23611111111677</v>
      </c>
      <c r="CI167" s="41">
        <f t="shared" ref="CI167:CI179" ca="1" si="1130">CH167/365</f>
        <v>0.46366057838662128</v>
      </c>
      <c r="CJ167" s="40">
        <f t="shared" ref="CJ167:CJ169" ca="1" si="1131">LN($A167/CF167)</f>
        <v>-0.10594548203894094</v>
      </c>
      <c r="CK167" s="40">
        <f t="shared" ref="CK167:CK169" ca="1" si="1132">($E167-$D167+POWER(CG167,2)/2)*CI167</f>
        <v>2.5189751902588361E-2</v>
      </c>
      <c r="CL167" s="40">
        <f t="shared" ref="CL167:CL169" ca="1" si="1133">MAX(0,0.000000000001,CG167*SQRT(CI167))</f>
        <v>0.19338305926412305</v>
      </c>
      <c r="CM167" s="42">
        <f t="shared" ref="CM167:CM169" ca="1" si="1134">(CJ167+CK167)/CL167</f>
        <v>-0.4175946457960219</v>
      </c>
      <c r="CN167" s="42">
        <f t="shared" ref="CN167:CN169" ca="1" si="1135">CM167-CL167</f>
        <v>-0.61097770506014493</v>
      </c>
      <c r="CO167" s="42">
        <f t="shared" ref="CO167:CO169" ca="1" si="1136">_xlfn.NORM.DIST(CM167,0,1,TRUE)</f>
        <v>0.3381217560502956</v>
      </c>
      <c r="CP167" s="42">
        <f t="shared" ref="CP167:CP169" ca="1" si="1137">_xlfn.NORM.DIST(-CM167,0,1,TRUE)</f>
        <v>0.6618782439497044</v>
      </c>
      <c r="CQ167" s="42">
        <f t="shared" ref="CQ167:CQ169" ca="1" si="1138">_xlfn.NORM.DIST(CN167,0,1,TRUE)</f>
        <v>0.27060717011276303</v>
      </c>
      <c r="CR167" s="42">
        <f t="shared" ref="CR167:CR169" ca="1" si="1139">_xlfn.NORM.DIST(-CN167,0,1,TRUE)</f>
        <v>0.72939282988723697</v>
      </c>
      <c r="CS167" s="42">
        <f t="shared" ref="CS167:CS169" ca="1" si="1140">EXP(-$E167*CI167)</f>
        <v>0.98162450344672281</v>
      </c>
      <c r="CT167" s="42">
        <f t="shared" ref="CT167:CT169" ca="1" si="1141">CF167*CS167</f>
        <v>93.254327827438672</v>
      </c>
      <c r="CU167" s="42">
        <f t="shared" ref="CU167:CU169" ca="1" si="1142">EXP(-$D167*CI167)</f>
        <v>0.98801719747153338</v>
      </c>
      <c r="CV167" s="42">
        <f t="shared" ref="CV167:CV169" ca="1" si="1143">$A167*CU167</f>
        <v>84.42606952394253</v>
      </c>
      <c r="CW167" s="42">
        <f t="shared" ref="CW167:CW169" ca="1" si="1144">EXP(-1*POWER(CM167,2)/2)/SQRT(2*PI())</f>
        <v>0.3656308075212259</v>
      </c>
      <c r="CX167" s="42">
        <f t="shared" ref="CX167:CX169" ca="1" si="1145">IF($F$14=1,0,IF($F$14=2,$A167,IF($F$14=3,CV167*CO167-CT167*CQ167,CT167*CR167-CV167*CP167)))</f>
        <v>3.3110011297087247</v>
      </c>
      <c r="CY167" s="42">
        <f t="shared" ref="CY167:CY169" ca="1" si="1146">IF($F$14=2,1,IF(OR($F$14=1,CI167&lt;=0),0,IF($F$14=3,CO167*CU167,(CO167-1)*CU167)))</f>
        <v>0.33407010981696655</v>
      </c>
      <c r="CZ167" s="42">
        <f t="shared" ref="CZ167:CZ169" ca="1" si="1147">IF(OR($F$14&lt;=2,CI167&lt;=0),0,CW167*CU167/($A167*CL167))</f>
        <v>2.1861340680397957E-2</v>
      </c>
      <c r="DA167" s="42">
        <f t="shared" ref="DA167:DA179" ca="1" si="1148">IF(OR($F$14&lt;=2,CI167&lt;=0),0,(IF($F$14=3,-1*$E167*CF167*CS167*CQ167+$D167*$A167*CU167*CO167,$E167*CF167*CS167*CR167-$D167*$A167*CU167*CP167)-(CW167*$A167*CG167*CU167/(2*SQRT(CI167))))/365)</f>
        <v>-1.8368671959170507E-2</v>
      </c>
      <c r="DB167" s="42">
        <f t="shared" ref="DB167:DB169" ca="1" si="1149">IF(OR($F$14&lt;=2,CI167&lt;=0),0,(CW167*$A167*CU167*SQRT(CI167))/100)</f>
        <v>0.2101935760712233</v>
      </c>
      <c r="DC167" s="42">
        <f t="shared" ref="DC167:DC169" ca="1" si="1150">IF(OR($F$14&lt;=2,CI167&lt;=0),0,IF($F$14=3,CQ167,-1*CR167)*CF167*CI167*CS167/100)</f>
        <v>0.11700609043163662</v>
      </c>
      <c r="DD167" s="42">
        <f ca="1">IF($F$14=1,0,IF($M$28=1,CX167-$G$14,OFFSET(CV167,0,$M$28))*IF($M$30=1,SIGN($B$14),$T$14))</f>
        <v>-919.49943514563779</v>
      </c>
      <c r="DE167" s="40"/>
      <c r="DF167" s="36">
        <f t="shared" si="733"/>
        <v>200</v>
      </c>
      <c r="DG167" s="35">
        <f t="shared" ref="DG167:DG179" si="1151">IF($M$22=2,$B167,DG$48)</f>
        <v>0.28399999999999997</v>
      </c>
      <c r="DH167" s="197">
        <f t="shared" ca="1" si="629"/>
        <v>169.23611111111677</v>
      </c>
      <c r="DI167" s="41">
        <f t="shared" ref="DI167:DI179" ca="1" si="1152">DH167/365</f>
        <v>0.46366057838662128</v>
      </c>
      <c r="DJ167" s="40">
        <f t="shared" ref="DJ167:DJ169" ca="1" si="1153">LN($A167/DF167)</f>
        <v>-0.85038595698643671</v>
      </c>
      <c r="DK167" s="40">
        <f t="shared" ref="DK167:DK169" ca="1" si="1154">($E167-$D167+POWER(DG167,2)/2)*DI167</f>
        <v>2.5189751902588361E-2</v>
      </c>
      <c r="DL167" s="40">
        <f t="shared" ref="DL167:DL169" ca="1" si="1155">MAX(0,0.000000000001,DG167*SQRT(DI167))</f>
        <v>0.19338305926412305</v>
      </c>
      <c r="DM167" s="42">
        <f t="shared" ref="DM167:DM169" ca="1" si="1156">(DJ167+DK167)/DL167</f>
        <v>-4.2671587067861685</v>
      </c>
      <c r="DN167" s="42">
        <f t="shared" ref="DN167:DN169" ca="1" si="1157">DM167-DL167</f>
        <v>-4.4605417660502917</v>
      </c>
      <c r="DO167" s="42">
        <f t="shared" ref="DO167:DO169" ca="1" si="1158">_xlfn.NORM.DIST(DM167,0,1,TRUE)</f>
        <v>9.898915976136876E-6</v>
      </c>
      <c r="DP167" s="42">
        <f t="shared" ref="DP167:DP169" ca="1" si="1159">_xlfn.NORM.DIST(-DM167,0,1,TRUE)</f>
        <v>0.99999010108402386</v>
      </c>
      <c r="DQ167" s="42">
        <f t="shared" ref="DQ167:DQ169" ca="1" si="1160">_xlfn.NORM.DIST(DN167,0,1,TRUE)</f>
        <v>4.0876362007450888E-6</v>
      </c>
      <c r="DR167" s="42">
        <f t="shared" ref="DR167:DR169" ca="1" si="1161">_xlfn.NORM.DIST(-DN167,0,1,TRUE)</f>
        <v>0.99999591236379926</v>
      </c>
      <c r="DS167" s="42">
        <f t="shared" ref="DS167:DS169" ca="1" si="1162">EXP(-$E167*DI167)</f>
        <v>0.98162450344672281</v>
      </c>
      <c r="DT167" s="42">
        <f t="shared" ref="DT167:DT169" ca="1" si="1163">DF167*DS167</f>
        <v>196.32490068934456</v>
      </c>
      <c r="DU167" s="42">
        <f t="shared" ref="DU167:DU169" ca="1" si="1164">EXP(-$D167*DI167)</f>
        <v>0.98801719747153338</v>
      </c>
      <c r="DV167" s="42">
        <f t="shared" ref="DV167:DV169" ca="1" si="1165">$A167*DU167</f>
        <v>84.42606952394253</v>
      </c>
      <c r="DW167" s="42">
        <f t="shared" ref="DW167:DW169" ca="1" si="1166">EXP(-1*POWER(DM167,2)/2)/SQRT(2*PI())</f>
        <v>4.4356103048783042E-5</v>
      </c>
      <c r="DX167" s="42">
        <f t="shared" ref="DX167:DX169" si="1167">IF($F$16=1,0,IF($F$16=2,$A167,IF($F$16=3,DV167*DO167-DT167*DQ167,DT167*DR167-DV167*DP167)))</f>
        <v>0</v>
      </c>
      <c r="DY167" s="92">
        <f t="shared" ref="DY167:DY169" ca="1" si="1168">IF($F$16=2,1,IF(OR($F$16=1,DI167&lt;=0),0,IF($F$16=3,DO167*DU167,(DO167-1)*DU167)))</f>
        <v>0</v>
      </c>
      <c r="DZ167" s="42">
        <f t="shared" ref="DZ167:DZ169" ca="1" si="1169">IF(OR($F$16&lt;=2,DI167&lt;=0),0,DW167*DU167/($A167*DL167))</f>
        <v>0</v>
      </c>
      <c r="EA167" s="42">
        <f t="shared" ref="EA167:EA179" ca="1" si="1170">IF(OR($F$16&lt;=2,DI167&lt;=0),0,(IF($F$16=3,-1*$E167*DF167*DS167*DQ167+$D167*$A167*DU167*DO167,$E167*DF167*DS167*DR167-$D167*$A167*DU167*DP167)-(DW167*$A167*DG167*DU167/(2*SQRT(DI167))))/365)</f>
        <v>0</v>
      </c>
      <c r="EB167" s="42">
        <f t="shared" ref="EB167:EB169" ca="1" si="1171">IF(OR($F$16&lt;=2,DI167&lt;=0),0,(DW167*$A167*DU167*SQRT(DI167))/100)</f>
        <v>0</v>
      </c>
      <c r="EC167" s="42">
        <f t="shared" ref="EC167:EC169" ca="1" si="1172">IF(OR($F$16&lt;=2,DI167&lt;=0),0,IF($F$16=3,DQ167,-1*DR167)*DF167*DI167*DS167/100)</f>
        <v>0</v>
      </c>
      <c r="ED167" s="42">
        <f ca="1">IF($F$16=1,0,IF($M$28=1,DX167-$G$16,OFFSET(DV167,0,$M$28))*IF($M$30=1,SIGN($B$16),$T$16))</f>
        <v>0</v>
      </c>
      <c r="EE167" s="40"/>
      <c r="EF167" s="120">
        <f t="shared" ca="1" si="756"/>
        <v>85.45</v>
      </c>
      <c r="EG167" s="42">
        <f t="shared" ref="EG167:EG179" ca="1" si="1173">AD167+BD167+CD167+DD167+ED167</f>
        <v>258.37570264809005</v>
      </c>
      <c r="EH167" s="36">
        <f t="shared" ref="EH167:EH179" ca="1" si="1174">IF($M$26=1,EG167,OFFSET($AD167,0,$M$26*26-52))</f>
        <v>258.37570264809005</v>
      </c>
      <c r="EI167" s="143">
        <f ca="1">ROUND(EH167,EI$49)</f>
        <v>258.37599999999998</v>
      </c>
      <c r="EJ167" s="88"/>
      <c r="EK167" s="153">
        <f ca="1">IF(EI167=$G$166,1,0)</f>
        <v>0</v>
      </c>
      <c r="EL167" s="88"/>
    </row>
    <row r="168" spans="1:142" x14ac:dyDescent="0.3">
      <c r="A168" s="128">
        <f ca="1">IF(AND($M$22=1,ISNUMBER($B$166)),$F$166,A$48)</f>
        <v>85.5</v>
      </c>
      <c r="B168" s="127">
        <f ca="1">IF(AND($M$22=2,ISNUMBER($B$166)),$F$166,B$48)</f>
        <v>0.28399999999999997</v>
      </c>
      <c r="C168" s="141">
        <f ca="1">IF(AND($M$22=3,ISNUMBER($B$166)),$F$166,C$48)</f>
        <v>45295.440972222219</v>
      </c>
      <c r="D168" s="127">
        <f ca="1">IF(AND($M$22=4,ISNUMBER($B$166)),$F$166,D$48)</f>
        <v>2.5999999999999999E-2</v>
      </c>
      <c r="E168" s="127">
        <f ca="1">IF(AND($M$22=5,ISNUMBER($B$166)),$F$166,E$48)</f>
        <v>0.04</v>
      </c>
      <c r="F168" s="36">
        <f t="shared" si="641"/>
        <v>75</v>
      </c>
      <c r="G168" s="35">
        <f t="shared" si="1063"/>
        <v>0.28399999999999997</v>
      </c>
      <c r="H168" s="197">
        <f t="shared" ca="1" si="625"/>
        <v>169.23611111111677</v>
      </c>
      <c r="I168" s="41">
        <f t="shared" ca="1" si="1064"/>
        <v>0.46366057838662128</v>
      </c>
      <c r="J168" s="40">
        <f t="shared" ca="1" si="1065"/>
        <v>0.131028262406404</v>
      </c>
      <c r="K168" s="40">
        <f t="shared" ca="1" si="1066"/>
        <v>2.5189751902588361E-2</v>
      </c>
      <c r="L168" s="40">
        <f t="shared" ca="1" si="1067"/>
        <v>0.19338305926412305</v>
      </c>
      <c r="M168" s="42">
        <f t="shared" ca="1" si="1068"/>
        <v>0.80781643905854961</v>
      </c>
      <c r="N168" s="42">
        <f t="shared" ca="1" si="1069"/>
        <v>0.61443337979442658</v>
      </c>
      <c r="O168" s="42">
        <f t="shared" ca="1" si="1070"/>
        <v>0.79040186988746886</v>
      </c>
      <c r="P168" s="42">
        <f t="shared" ca="1" si="1071"/>
        <v>0.20959813011253117</v>
      </c>
      <c r="Q168" s="42">
        <f t="shared" ca="1" si="1072"/>
        <v>0.73053550813301904</v>
      </c>
      <c r="R168" s="42">
        <f t="shared" ca="1" si="1073"/>
        <v>0.26946449186698096</v>
      </c>
      <c r="S168" s="42">
        <f t="shared" ca="1" si="1074"/>
        <v>0.98162450344672281</v>
      </c>
      <c r="T168" s="42">
        <f t="shared" ca="1" si="1075"/>
        <v>73.621837758504213</v>
      </c>
      <c r="U168" s="42">
        <f t="shared" ca="1" si="1076"/>
        <v>0.98801719747153338</v>
      </c>
      <c r="V168" s="42">
        <f t="shared" ca="1" si="1077"/>
        <v>84.475470383816102</v>
      </c>
      <c r="W168" s="42">
        <f t="shared" ca="1" si="1078"/>
        <v>0.2878769253230738</v>
      </c>
      <c r="X168" s="42">
        <f t="shared" ca="1" si="1079"/>
        <v>2.132570469084289</v>
      </c>
      <c r="Y168" s="42">
        <f t="shared" ca="1" si="1080"/>
        <v>-0.20708655710905682</v>
      </c>
      <c r="Z168" s="42">
        <f t="shared" ca="1" si="1081"/>
        <v>1.7202311929297245E-2</v>
      </c>
      <c r="AA168" s="42">
        <f t="shared" ca="1" si="1082"/>
        <v>-1.2981341516381119E-2</v>
      </c>
      <c r="AB168" s="42">
        <f t="shared" ca="1" si="1083"/>
        <v>0.16559131713515932</v>
      </c>
      <c r="AC168" s="42">
        <f t="shared" ca="1" si="1084"/>
        <v>-9.1983169854172361E-2</v>
      </c>
      <c r="AD168" s="42">
        <f ca="1">IF($F$8=1,0,IF($M$28=1,X168-$G$8,OFFSET(V168,0,$M$28))*IF($M$30=1,SIGN($B$8),$T$8))</f>
        <v>-733.71476545785549</v>
      </c>
      <c r="AF168" s="36">
        <f t="shared" si="664"/>
        <v>80</v>
      </c>
      <c r="AG168" s="35">
        <f t="shared" si="1085"/>
        <v>0.28399999999999997</v>
      </c>
      <c r="AH168" s="197">
        <f t="shared" ca="1" si="626"/>
        <v>169.23611111111677</v>
      </c>
      <c r="AI168" s="41">
        <f t="shared" ca="1" si="1086"/>
        <v>0.46366057838662128</v>
      </c>
      <c r="AJ168" s="40">
        <f t="shared" ca="1" si="1087"/>
        <v>6.6489741268833003E-2</v>
      </c>
      <c r="AK168" s="40">
        <f t="shared" ca="1" si="1088"/>
        <v>2.5189751902588361E-2</v>
      </c>
      <c r="AL168" s="40">
        <f t="shared" ca="1" si="1089"/>
        <v>0.19338305926412305</v>
      </c>
      <c r="AM168" s="42">
        <f t="shared" ca="1" si="1090"/>
        <v>0.47408233958180013</v>
      </c>
      <c r="AN168" s="42">
        <f t="shared" ca="1" si="1091"/>
        <v>0.2806992803176771</v>
      </c>
      <c r="AO168" s="42">
        <f t="shared" ca="1" si="1092"/>
        <v>0.68227940411753774</v>
      </c>
      <c r="AP168" s="42">
        <f t="shared" ca="1" si="1093"/>
        <v>0.31772059588246232</v>
      </c>
      <c r="AQ168" s="42">
        <f t="shared" ca="1" si="1094"/>
        <v>0.61052946960418364</v>
      </c>
      <c r="AR168" s="42">
        <f t="shared" ca="1" si="1095"/>
        <v>0.38947053039581642</v>
      </c>
      <c r="AS168" s="42">
        <f t="shared" ca="1" si="1096"/>
        <v>0.98162450344672281</v>
      </c>
      <c r="AT168" s="42">
        <f t="shared" ca="1" si="1097"/>
        <v>78.529960275737821</v>
      </c>
      <c r="AU168" s="42">
        <f t="shared" ca="1" si="1098"/>
        <v>0.98801719747153338</v>
      </c>
      <c r="AV168" s="42">
        <f t="shared" ca="1" si="1099"/>
        <v>84.475470383816102</v>
      </c>
      <c r="AW168" s="42">
        <f t="shared" ca="1" si="1100"/>
        <v>0.35653760331126028</v>
      </c>
      <c r="AX168" s="42">
        <f t="shared" ca="1" si="1101"/>
        <v>3.7455084927566524</v>
      </c>
      <c r="AY168" s="42">
        <f t="shared" ca="1" si="1102"/>
        <v>-0.31391341272277595</v>
      </c>
      <c r="AZ168" s="42">
        <f t="shared" ca="1" si="1103"/>
        <v>2.1305184706280973E-2</v>
      </c>
      <c r="BA168" s="42">
        <f t="shared" ca="1" si="1104"/>
        <v>-1.5768107198673671E-2</v>
      </c>
      <c r="BB168" s="42">
        <f t="shared" ca="1" si="1105"/>
        <v>0.20508601470668972</v>
      </c>
      <c r="BC168" s="42">
        <f t="shared" ca="1" si="1106"/>
        <v>-0.14181107604397375</v>
      </c>
      <c r="BD168" s="42">
        <f ca="1">IF($F$10=1,0,IF($M$28=1,AX168-$G$10,OFFSET(AV168,0,$M$28))*IF($M$30=1,SIGN($B$10),$T$10))</f>
        <v>952.245753621674</v>
      </c>
      <c r="BE168" s="40"/>
      <c r="BF168" s="36">
        <f t="shared" si="687"/>
        <v>90</v>
      </c>
      <c r="BG168" s="35">
        <f t="shared" si="1107"/>
        <v>0.28399999999999997</v>
      </c>
      <c r="BH168" s="197">
        <f t="shared" ca="1" si="627"/>
        <v>169.23611111111677</v>
      </c>
      <c r="BI168" s="41">
        <f t="shared" ca="1" si="1108"/>
        <v>0.46366057838662128</v>
      </c>
      <c r="BJ168" s="40">
        <f t="shared" ca="1" si="1109"/>
        <v>-5.1293294387550578E-2</v>
      </c>
      <c r="BK168" s="40">
        <f t="shared" ca="1" si="1110"/>
        <v>2.5189751902588361E-2</v>
      </c>
      <c r="BL168" s="40">
        <f t="shared" ca="1" si="1111"/>
        <v>0.19338305926412305</v>
      </c>
      <c r="BM168" s="42">
        <f t="shared" ca="1" si="1112"/>
        <v>-0.13498360499773632</v>
      </c>
      <c r="BN168" s="42">
        <f t="shared" ca="1" si="1113"/>
        <v>-0.32836666426185934</v>
      </c>
      <c r="BO168" s="42">
        <f t="shared" ca="1" si="1114"/>
        <v>0.44631241850135794</v>
      </c>
      <c r="BP168" s="42">
        <f t="shared" ca="1" si="1115"/>
        <v>0.55368758149864206</v>
      </c>
      <c r="BQ168" s="42">
        <f t="shared" ca="1" si="1116"/>
        <v>0.37131722246367027</v>
      </c>
      <c r="BR168" s="42">
        <f t="shared" ca="1" si="1117"/>
        <v>0.62868277753632973</v>
      </c>
      <c r="BS168" s="42">
        <f t="shared" ca="1" si="1118"/>
        <v>0.98162450344672281</v>
      </c>
      <c r="BT168" s="42">
        <f t="shared" ca="1" si="1119"/>
        <v>88.34620531020505</v>
      </c>
      <c r="BU168" s="42">
        <f t="shared" ca="1" si="1120"/>
        <v>0.98801719747153338</v>
      </c>
      <c r="BV168" s="42">
        <f t="shared" ca="1" si="1121"/>
        <v>84.475470383816102</v>
      </c>
      <c r="BW168" s="42">
        <f t="shared" ca="1" si="1122"/>
        <v>0.3953243072168654</v>
      </c>
      <c r="BX168" s="42">
        <f t="shared" ca="1" si="1123"/>
        <v>4.8979839200503008</v>
      </c>
      <c r="BY168" s="42">
        <f t="shared" ca="1" si="1124"/>
        <v>0.4409643449244538</v>
      </c>
      <c r="BZ168" s="42">
        <f t="shared" ca="1" si="1125"/>
        <v>2.3622914682536321E-2</v>
      </c>
      <c r="CA168" s="42">
        <f t="shared" ca="1" si="1126"/>
        <v>-1.9989407050816529E-2</v>
      </c>
      <c r="CB168" s="42">
        <f t="shared" ca="1" si="1127"/>
        <v>0.22739673440001898</v>
      </c>
      <c r="CC168" s="42">
        <f t="shared" ca="1" si="1128"/>
        <v>0.15210138407630616</v>
      </c>
      <c r="CD168" s="42">
        <f ca="1">IF($F$12=1,0,IF($M$28=1,BX168-$G$12,OFFSET(BV168,0,$M$28))*IF($M$30=1,SIGN($B$12),$T$12))</f>
        <v>951.00803997484945</v>
      </c>
      <c r="CE168" s="40"/>
      <c r="CF168" s="36">
        <f t="shared" si="710"/>
        <v>95</v>
      </c>
      <c r="CG168" s="35">
        <f t="shared" si="1129"/>
        <v>0.28399999999999997</v>
      </c>
      <c r="CH168" s="197">
        <f t="shared" ca="1" si="628"/>
        <v>169.23611111111677</v>
      </c>
      <c r="CI168" s="41">
        <f t="shared" ca="1" si="1130"/>
        <v>0.46366057838662128</v>
      </c>
      <c r="CJ168" s="40">
        <f t="shared" ca="1" si="1131"/>
        <v>-0.10536051565782628</v>
      </c>
      <c r="CK168" s="40">
        <f t="shared" ca="1" si="1132"/>
        <v>2.5189751902588361E-2</v>
      </c>
      <c r="CL168" s="40">
        <f t="shared" ca="1" si="1133"/>
        <v>0.19338305926412305</v>
      </c>
      <c r="CM168" s="42">
        <f t="shared" ca="1" si="1134"/>
        <v>-0.41456973563408411</v>
      </c>
      <c r="CN168" s="42">
        <f t="shared" ca="1" si="1135"/>
        <v>-0.60795279489820719</v>
      </c>
      <c r="CO168" s="42">
        <f t="shared" ca="1" si="1136"/>
        <v>0.33922845354367981</v>
      </c>
      <c r="CP168" s="42">
        <f t="shared" ca="1" si="1137"/>
        <v>0.66077154645632019</v>
      </c>
      <c r="CQ168" s="42">
        <f t="shared" ca="1" si="1138"/>
        <v>0.27160939125004235</v>
      </c>
      <c r="CR168" s="42">
        <f t="shared" ca="1" si="1139"/>
        <v>0.72839060874995765</v>
      </c>
      <c r="CS168" s="42">
        <f t="shared" ca="1" si="1140"/>
        <v>0.98162450344672281</v>
      </c>
      <c r="CT168" s="42">
        <f t="shared" ca="1" si="1141"/>
        <v>93.254327827438672</v>
      </c>
      <c r="CU168" s="42">
        <f t="shared" ca="1" si="1142"/>
        <v>0.98801719747153338</v>
      </c>
      <c r="CV168" s="42">
        <f t="shared" ca="1" si="1143"/>
        <v>84.475470383816102</v>
      </c>
      <c r="CW168" s="42">
        <f t="shared" ca="1" si="1144"/>
        <v>0.36609128428761523</v>
      </c>
      <c r="CX168" s="42">
        <f t="shared" ca="1" si="1145"/>
        <v>3.3277319680343602</v>
      </c>
      <c r="CY168" s="42">
        <f t="shared" ca="1" si="1146"/>
        <v>0.33516354597282877</v>
      </c>
      <c r="CZ168" s="42">
        <f t="shared" ca="1" si="1147"/>
        <v>2.1876072421730244E-2</v>
      </c>
      <c r="DA168" s="42">
        <f t="shared" ca="1" si="1148"/>
        <v>-1.8403609418652916E-2</v>
      </c>
      <c r="DB168" s="42">
        <f t="shared" ca="1" si="1149"/>
        <v>0.21058144166593037</v>
      </c>
      <c r="DC168" s="42">
        <f t="shared" ca="1" si="1150"/>
        <v>0.11743943437064656</v>
      </c>
      <c r="DD168" s="42">
        <f ca="1">IF($F$14=1,0,IF($M$28=1,CX168-$G$14,OFFSET(CV168,0,$M$28))*IF($M$30=1,SIGN($B$14),$T$14))</f>
        <v>-911.13401598282007</v>
      </c>
      <c r="DE168" s="40"/>
      <c r="DF168" s="36">
        <f t="shared" si="733"/>
        <v>200</v>
      </c>
      <c r="DG168" s="35">
        <f t="shared" si="1151"/>
        <v>0.28399999999999997</v>
      </c>
      <c r="DH168" s="197">
        <f t="shared" ca="1" si="629"/>
        <v>169.23611111111677</v>
      </c>
      <c r="DI168" s="41">
        <f t="shared" ca="1" si="1152"/>
        <v>0.46366057838662128</v>
      </c>
      <c r="DJ168" s="40">
        <f t="shared" ca="1" si="1153"/>
        <v>-0.84980099060532222</v>
      </c>
      <c r="DK168" s="40">
        <f t="shared" ca="1" si="1154"/>
        <v>2.5189751902588361E-2</v>
      </c>
      <c r="DL168" s="40">
        <f t="shared" ca="1" si="1155"/>
        <v>0.19338305926412305</v>
      </c>
      <c r="DM168" s="42">
        <f t="shared" ca="1" si="1156"/>
        <v>-4.2641337966242316</v>
      </c>
      <c r="DN168" s="42">
        <f t="shared" ca="1" si="1157"/>
        <v>-4.4575168558883549</v>
      </c>
      <c r="DO168" s="42">
        <f t="shared" ca="1" si="1158"/>
        <v>1.0033958672912453E-5</v>
      </c>
      <c r="DP168" s="42">
        <f t="shared" ca="1" si="1159"/>
        <v>0.99998996604132706</v>
      </c>
      <c r="DQ168" s="42">
        <f t="shared" ca="1" si="1160"/>
        <v>4.1457259617862122E-6</v>
      </c>
      <c r="DR168" s="42">
        <f t="shared" ca="1" si="1161"/>
        <v>0.99999585427403825</v>
      </c>
      <c r="DS168" s="42">
        <f t="shared" ca="1" si="1162"/>
        <v>0.98162450344672281</v>
      </c>
      <c r="DT168" s="42">
        <f t="shared" ca="1" si="1163"/>
        <v>196.32490068934456</v>
      </c>
      <c r="DU168" s="42">
        <f t="shared" ca="1" si="1164"/>
        <v>0.98801719747153338</v>
      </c>
      <c r="DV168" s="42">
        <f t="shared" ca="1" si="1165"/>
        <v>84.475470383816102</v>
      </c>
      <c r="DW168" s="42">
        <f t="shared" ca="1" si="1166"/>
        <v>4.4932146982867551E-5</v>
      </c>
      <c r="DX168" s="42">
        <f t="shared" si="1167"/>
        <v>0</v>
      </c>
      <c r="DY168" s="92">
        <f t="shared" ca="1" si="1168"/>
        <v>0</v>
      </c>
      <c r="DZ168" s="42">
        <f t="shared" ca="1" si="1169"/>
        <v>0</v>
      </c>
      <c r="EA168" s="42">
        <f t="shared" ca="1" si="1170"/>
        <v>0</v>
      </c>
      <c r="EB168" s="42">
        <f t="shared" ca="1" si="1171"/>
        <v>0</v>
      </c>
      <c r="EC168" s="42">
        <f t="shared" ca="1" si="1172"/>
        <v>0</v>
      </c>
      <c r="ED168" s="42">
        <f ca="1">IF($F$16=1,0,IF($M$28=1,DX168-$G$16,OFFSET(DV168,0,$M$28))*IF($M$30=1,SIGN($B$16),$T$16))</f>
        <v>0</v>
      </c>
      <c r="EE168" s="40"/>
      <c r="EF168" s="120">
        <f t="shared" ca="1" si="756"/>
        <v>85.5</v>
      </c>
      <c r="EG168" s="42">
        <f t="shared" ca="1" si="1173"/>
        <v>258.405012155848</v>
      </c>
      <c r="EH168" s="36">
        <f t="shared" ca="1" si="1174"/>
        <v>258.405012155848</v>
      </c>
      <c r="EI168" s="143">
        <f t="shared" ref="EI168:EI179" ca="1" si="1175">ROUND(EH168,EI$49)</f>
        <v>258.40499999999997</v>
      </c>
      <c r="EJ168" s="143">
        <f ca="1">EI168-EI167</f>
        <v>2.8999999999996362E-2</v>
      </c>
      <c r="EK168" s="153">
        <f t="shared" ref="EK168:EK179" ca="1" si="1176">IF(EI168=$G$166,1,0)</f>
        <v>0</v>
      </c>
      <c r="EL168" s="143">
        <f t="shared" ref="EL168:EL179" ca="1" si="1177">IF(EI167=0,IF(EI168&lt;&gt;0,2,0),IF(EI168=0,IF(EI167&lt;&gt;0,1,0),IF(SIGN(EI168)=-SIGN(EI167),2,0)))</f>
        <v>0</v>
      </c>
    </row>
    <row r="169" spans="1:142" x14ac:dyDescent="0.3">
      <c r="A169" s="143">
        <f t="shared" ref="A169:A179" ca="1" si="1178">IF(AND($M$22=1,ISNUMBER($B$166)),A168+$EF$48,A$48)</f>
        <v>85.55</v>
      </c>
      <c r="B169" s="144">
        <f t="shared" ref="B169:B179" ca="1" si="1179">IF(AND($M$22=2,ISNUMBER($B$166)),B168+$EF$48,B$48)</f>
        <v>0.28399999999999997</v>
      </c>
      <c r="C169" s="145">
        <f t="shared" ref="C169:C179" ca="1" si="1180">IF(AND($M$22=3,ISNUMBER($B$166)),C168+$EF$48,C$48)</f>
        <v>45295.440972222219</v>
      </c>
      <c r="D169" s="144">
        <f t="shared" ref="D169:D179" ca="1" si="1181">IF(AND($M$22=4,ISNUMBER($B$166)),D168+$EF$48,D$48)</f>
        <v>2.5999999999999999E-2</v>
      </c>
      <c r="E169" s="144">
        <f t="shared" ref="E169:E179" ca="1" si="1182">IF(AND($M$22=5,ISNUMBER($B$166)),E168+$EF$48,E$48)</f>
        <v>0.04</v>
      </c>
      <c r="F169" s="36">
        <f t="shared" si="641"/>
        <v>75</v>
      </c>
      <c r="G169" s="35">
        <f t="shared" si="1063"/>
        <v>0.28399999999999997</v>
      </c>
      <c r="H169" s="197">
        <f t="shared" ca="1" si="625"/>
        <v>169.23611111111677</v>
      </c>
      <c r="I169" s="41">
        <f t="shared" ca="1" si="1064"/>
        <v>0.46366057838662128</v>
      </c>
      <c r="J169" s="40">
        <f t="shared" ca="1" si="1065"/>
        <v>0.13161288680189209</v>
      </c>
      <c r="K169" s="40">
        <f t="shared" ca="1" si="1066"/>
        <v>2.5189751902588361E-2</v>
      </c>
      <c r="L169" s="40">
        <f t="shared" ca="1" si="1067"/>
        <v>0.19338305926412305</v>
      </c>
      <c r="M169" s="42">
        <f t="shared" ca="1" si="1068"/>
        <v>0.81083958078416296</v>
      </c>
      <c r="N169" s="42">
        <f t="shared" ca="1" si="1069"/>
        <v>0.61745652152003994</v>
      </c>
      <c r="O169" s="42">
        <f t="shared" ca="1" si="1070"/>
        <v>0.79127109948365626</v>
      </c>
      <c r="P169" s="42">
        <f t="shared" ca="1" si="1071"/>
        <v>0.20872890051634371</v>
      </c>
      <c r="Q169" s="42">
        <f t="shared" ca="1" si="1072"/>
        <v>0.73153317459643763</v>
      </c>
      <c r="R169" s="42">
        <f t="shared" ca="1" si="1073"/>
        <v>0.26846682540356237</v>
      </c>
      <c r="S169" s="42">
        <f t="shared" ca="1" si="1074"/>
        <v>0.98162450344672281</v>
      </c>
      <c r="T169" s="42">
        <f t="shared" ca="1" si="1075"/>
        <v>73.621837758504213</v>
      </c>
      <c r="U169" s="42">
        <f t="shared" ca="1" si="1076"/>
        <v>0.98801719747153338</v>
      </c>
      <c r="V169" s="42">
        <f t="shared" ca="1" si="1077"/>
        <v>84.524871243689674</v>
      </c>
      <c r="W169" s="42">
        <f t="shared" ca="1" si="1078"/>
        <v>0.28717343399961681</v>
      </c>
      <c r="X169" s="42">
        <f t="shared" ca="1" si="1079"/>
        <v>2.122237622420883</v>
      </c>
      <c r="Y169" s="42">
        <f t="shared" ca="1" si="1080"/>
        <v>-0.20622774331947244</v>
      </c>
      <c r="Z169" s="42">
        <f t="shared" ca="1" si="1081"/>
        <v>1.7150244869391127E-2</v>
      </c>
      <c r="AA169" s="42">
        <f t="shared" ca="1" si="1082"/>
        <v>-1.2959046694811899E-2</v>
      </c>
      <c r="AB169" s="42">
        <f t="shared" ca="1" si="1083"/>
        <v>0.16528325829021756</v>
      </c>
      <c r="AC169" s="42">
        <f t="shared" ca="1" si="1084"/>
        <v>-9.1642610980806047E-2</v>
      </c>
      <c r="AD169" s="42">
        <f ca="1">IF($F$8=1,0,IF($M$28=1,X169-$G$8,OFFSET(V169,0,$M$28))*IF($M$30=1,SIGN($B$8),$T$8))</f>
        <v>-738.88118878955856</v>
      </c>
      <c r="AF169" s="36">
        <f t="shared" si="664"/>
        <v>80</v>
      </c>
      <c r="AG169" s="35">
        <f t="shared" si="1085"/>
        <v>0.28399999999999997</v>
      </c>
      <c r="AH169" s="197">
        <f t="shared" ca="1" si="626"/>
        <v>169.23611111111677</v>
      </c>
      <c r="AI169" s="41">
        <f t="shared" ca="1" si="1086"/>
        <v>0.46366057838662128</v>
      </c>
      <c r="AJ169" s="40">
        <f t="shared" ca="1" si="1087"/>
        <v>6.7074365664320845E-2</v>
      </c>
      <c r="AK169" s="40">
        <f t="shared" ca="1" si="1088"/>
        <v>2.5189751902588361E-2</v>
      </c>
      <c r="AL169" s="40">
        <f t="shared" ca="1" si="1089"/>
        <v>0.19338305926412305</v>
      </c>
      <c r="AM169" s="42">
        <f t="shared" ca="1" si="1090"/>
        <v>0.47710548130741198</v>
      </c>
      <c r="AN169" s="42">
        <f t="shared" ca="1" si="1091"/>
        <v>0.2837224220432889</v>
      </c>
      <c r="AO169" s="42">
        <f t="shared" ca="1" si="1092"/>
        <v>0.68335649414477828</v>
      </c>
      <c r="AP169" s="42">
        <f t="shared" ca="1" si="1093"/>
        <v>0.31664350585522177</v>
      </c>
      <c r="AQ169" s="42">
        <f t="shared" ca="1" si="1094"/>
        <v>0.61168844487930751</v>
      </c>
      <c r="AR169" s="42">
        <f t="shared" ca="1" si="1095"/>
        <v>0.38831155512069249</v>
      </c>
      <c r="AS169" s="42">
        <f t="shared" ca="1" si="1096"/>
        <v>0.98162450344672281</v>
      </c>
      <c r="AT169" s="42">
        <f t="shared" ca="1" si="1097"/>
        <v>78.529960275737821</v>
      </c>
      <c r="AU169" s="42">
        <f t="shared" ca="1" si="1098"/>
        <v>0.98801719747153338</v>
      </c>
      <c r="AV169" s="42">
        <f t="shared" ca="1" si="1099"/>
        <v>84.524871243689674</v>
      </c>
      <c r="AW169" s="42">
        <f t="shared" ca="1" si="1100"/>
        <v>0.35602534624344712</v>
      </c>
      <c r="AX169" s="42">
        <f t="shared" ca="1" si="1101"/>
        <v>3.7298394356748403</v>
      </c>
      <c r="AY169" s="42">
        <f t="shared" ca="1" si="1102"/>
        <v>-0.31284922925263725</v>
      </c>
      <c r="AZ169" s="42">
        <f t="shared" ca="1" si="1103"/>
        <v>2.12621403823622E-2</v>
      </c>
      <c r="BA169" s="42">
        <f t="shared" ca="1" si="1104"/>
        <v>-1.5758039302349029E-2</v>
      </c>
      <c r="BB169" s="42">
        <f t="shared" ca="1" si="1105"/>
        <v>0.20491111744374765</v>
      </c>
      <c r="BC169" s="42">
        <f t="shared" ca="1" si="1106"/>
        <v>-0.14138907869617273</v>
      </c>
      <c r="BD169" s="42">
        <f ca="1">IF($F$10=1,0,IF($M$28=1,AX169-$G$10,OFFSET(AV169,0,$M$28))*IF($M$30=1,SIGN($B$10),$T$10))</f>
        <v>960.08028216258003</v>
      </c>
      <c r="BE169" s="40"/>
      <c r="BF169" s="36">
        <f t="shared" si="687"/>
        <v>90</v>
      </c>
      <c r="BG169" s="35">
        <f t="shared" si="1107"/>
        <v>0.28399999999999997</v>
      </c>
      <c r="BH169" s="197">
        <f t="shared" ca="1" si="627"/>
        <v>169.23611111111677</v>
      </c>
      <c r="BI169" s="41">
        <f t="shared" ca="1" si="1108"/>
        <v>0.46366057838662128</v>
      </c>
      <c r="BJ169" s="40">
        <f t="shared" ca="1" si="1109"/>
        <v>-5.0708669992062652E-2</v>
      </c>
      <c r="BK169" s="40">
        <f t="shared" ca="1" si="1110"/>
        <v>2.5189751902588361E-2</v>
      </c>
      <c r="BL169" s="40">
        <f t="shared" ca="1" si="1111"/>
        <v>0.19338305926412305</v>
      </c>
      <c r="BM169" s="42">
        <f t="shared" ca="1" si="1112"/>
        <v>-0.13196046327212402</v>
      </c>
      <c r="BN169" s="42">
        <f t="shared" ca="1" si="1113"/>
        <v>-0.3253435225362471</v>
      </c>
      <c r="BO169" s="42">
        <f t="shared" ca="1" si="1114"/>
        <v>0.44750778197115276</v>
      </c>
      <c r="BP169" s="42">
        <f t="shared" ca="1" si="1115"/>
        <v>0.55249221802884718</v>
      </c>
      <c r="BQ169" s="42">
        <f t="shared" ca="1" si="1116"/>
        <v>0.37246054736524614</v>
      </c>
      <c r="BR169" s="42">
        <f t="shared" ca="1" si="1117"/>
        <v>0.62753945263475386</v>
      </c>
      <c r="BS169" s="42">
        <f t="shared" ca="1" si="1118"/>
        <v>0.98162450344672281</v>
      </c>
      <c r="BT169" s="42">
        <f t="shared" ca="1" si="1119"/>
        <v>88.34620531020505</v>
      </c>
      <c r="BU169" s="42">
        <f t="shared" ca="1" si="1120"/>
        <v>0.98801719747153338</v>
      </c>
      <c r="BV169" s="42">
        <f t="shared" ca="1" si="1121"/>
        <v>84.524871243689674</v>
      </c>
      <c r="BW169" s="42">
        <f t="shared" ca="1" si="1122"/>
        <v>0.39548385468919561</v>
      </c>
      <c r="BX169" s="42">
        <f t="shared" ca="1" si="1123"/>
        <v>4.9200616641794497</v>
      </c>
      <c r="BY169" s="42">
        <f t="shared" ca="1" si="1124"/>
        <v>0.44214538458984032</v>
      </c>
      <c r="BZ169" s="42">
        <f t="shared" ca="1" si="1125"/>
        <v>2.361863649901353E-2</v>
      </c>
      <c r="CA169" s="42">
        <f t="shared" ca="1" si="1126"/>
        <v>-2.0010571559834409E-2</v>
      </c>
      <c r="CB169" s="42">
        <f t="shared" ca="1" si="1127"/>
        <v>0.22762154282102717</v>
      </c>
      <c r="CC169" s="42">
        <f t="shared" ca="1" si="1128"/>
        <v>0.15256972028442697</v>
      </c>
      <c r="CD169" s="42">
        <f ca="1">IF($F$12=1,0,IF($M$28=1,BX169-$G$12,OFFSET(BV169,0,$M$28))*IF($M$30=1,SIGN($B$12),$T$12))</f>
        <v>939.96916791027502</v>
      </c>
      <c r="CE169" s="40"/>
      <c r="CF169" s="36">
        <f t="shared" si="710"/>
        <v>95</v>
      </c>
      <c r="CG169" s="35">
        <f t="shared" si="1129"/>
        <v>0.28399999999999997</v>
      </c>
      <c r="CH169" s="197">
        <f t="shared" ca="1" si="628"/>
        <v>169.23611111111677</v>
      </c>
      <c r="CI169" s="41">
        <f t="shared" ca="1" si="1130"/>
        <v>0.46366057838662128</v>
      </c>
      <c r="CJ169" s="40">
        <f t="shared" ca="1" si="1131"/>
        <v>-0.10477589126233842</v>
      </c>
      <c r="CK169" s="40">
        <f t="shared" ca="1" si="1132"/>
        <v>2.5189751902588361E-2</v>
      </c>
      <c r="CL169" s="40">
        <f t="shared" ca="1" si="1133"/>
        <v>0.19338305926412305</v>
      </c>
      <c r="CM169" s="42">
        <f t="shared" ca="1" si="1134"/>
        <v>-0.4115465939084722</v>
      </c>
      <c r="CN169" s="42">
        <f t="shared" ca="1" si="1135"/>
        <v>-0.60492965317259528</v>
      </c>
      <c r="CO169" s="42">
        <f t="shared" ca="1" si="1136"/>
        <v>0.34033589152698623</v>
      </c>
      <c r="CP169" s="42">
        <f t="shared" ca="1" si="1137"/>
        <v>0.65966410847301371</v>
      </c>
      <c r="CQ169" s="42">
        <f t="shared" ca="1" si="1138"/>
        <v>0.27261286962968267</v>
      </c>
      <c r="CR169" s="42">
        <f t="shared" ca="1" si="1139"/>
        <v>0.72738713037031733</v>
      </c>
      <c r="CS169" s="42">
        <f t="shared" ca="1" si="1140"/>
        <v>0.98162450344672281</v>
      </c>
      <c r="CT169" s="42">
        <f t="shared" ca="1" si="1141"/>
        <v>93.254327827438672</v>
      </c>
      <c r="CU169" s="42">
        <f t="shared" ca="1" si="1142"/>
        <v>0.98801719747153338</v>
      </c>
      <c r="CV169" s="42">
        <f t="shared" ca="1" si="1143"/>
        <v>84.524871243689674</v>
      </c>
      <c r="CW169" s="42">
        <f t="shared" ca="1" si="1144"/>
        <v>0.36654872024020735</v>
      </c>
      <c r="CX169" s="42">
        <f t="shared" ca="1" si="1145"/>
        <v>3.3445174964996198</v>
      </c>
      <c r="CY169" s="42">
        <f t="shared" ca="1" si="1146"/>
        <v>0.3362577137454687</v>
      </c>
      <c r="CZ169" s="42">
        <f t="shared" ca="1" si="1147"/>
        <v>2.189060534300637E-2</v>
      </c>
      <c r="DA169" s="42">
        <f t="shared" ca="1" si="1148"/>
        <v>-1.8438426624497743E-2</v>
      </c>
      <c r="DB169" s="42">
        <f t="shared" ca="1" si="1149"/>
        <v>0.2109678669075348</v>
      </c>
      <c r="DC169" s="42">
        <f t="shared" ca="1" si="1150"/>
        <v>0.11787332192057905</v>
      </c>
      <c r="DD169" s="42">
        <f ca="1">IF($F$14=1,0,IF($M$28=1,CX169-$G$14,OFFSET(CV169,0,$M$28))*IF($M$30=1,SIGN($B$14),$T$14))</f>
        <v>-902.74125175019026</v>
      </c>
      <c r="DE169" s="40"/>
      <c r="DF169" s="36">
        <f t="shared" si="733"/>
        <v>200</v>
      </c>
      <c r="DG169" s="35">
        <f t="shared" si="1151"/>
        <v>0.28399999999999997</v>
      </c>
      <c r="DH169" s="197">
        <f t="shared" ca="1" si="629"/>
        <v>169.23611111111677</v>
      </c>
      <c r="DI169" s="41">
        <f t="shared" ca="1" si="1152"/>
        <v>0.46366057838662128</v>
      </c>
      <c r="DJ169" s="40">
        <f t="shared" ca="1" si="1153"/>
        <v>-0.84921636620983432</v>
      </c>
      <c r="DK169" s="40">
        <f t="shared" ca="1" si="1154"/>
        <v>2.5189751902588361E-2</v>
      </c>
      <c r="DL169" s="40">
        <f t="shared" ca="1" si="1155"/>
        <v>0.19338305926412305</v>
      </c>
      <c r="DM169" s="42">
        <f t="shared" ca="1" si="1156"/>
        <v>-4.2611106548986202</v>
      </c>
      <c r="DN169" s="42">
        <f t="shared" ca="1" si="1157"/>
        <v>-4.4544937141627434</v>
      </c>
      <c r="DO169" s="42">
        <f t="shared" ca="1" si="1158"/>
        <v>1.0170674024750599E-5</v>
      </c>
      <c r="DP169" s="42">
        <f t="shared" ca="1" si="1159"/>
        <v>0.99998982932597524</v>
      </c>
      <c r="DQ169" s="42">
        <f t="shared" ca="1" si="1160"/>
        <v>4.2045696309609577E-6</v>
      </c>
      <c r="DR169" s="42">
        <f t="shared" ca="1" si="1161"/>
        <v>0.99999579543036909</v>
      </c>
      <c r="DS169" s="42">
        <f t="shared" ca="1" si="1162"/>
        <v>0.98162450344672281</v>
      </c>
      <c r="DT169" s="42">
        <f t="shared" ca="1" si="1163"/>
        <v>196.32490068934456</v>
      </c>
      <c r="DU169" s="42">
        <f t="shared" ca="1" si="1164"/>
        <v>0.98801719747153338</v>
      </c>
      <c r="DV169" s="42">
        <f t="shared" ca="1" si="1165"/>
        <v>84.524871243689674</v>
      </c>
      <c r="DW169" s="42">
        <f t="shared" ca="1" si="1166"/>
        <v>4.5514912436373525E-5</v>
      </c>
      <c r="DX169" s="42">
        <f t="shared" si="1167"/>
        <v>0</v>
      </c>
      <c r="DY169" s="92">
        <f t="shared" ca="1" si="1168"/>
        <v>0</v>
      </c>
      <c r="DZ169" s="42">
        <f t="shared" ca="1" si="1169"/>
        <v>0</v>
      </c>
      <c r="EA169" s="42">
        <f t="shared" ca="1" si="1170"/>
        <v>0</v>
      </c>
      <c r="EB169" s="42">
        <f t="shared" ca="1" si="1171"/>
        <v>0</v>
      </c>
      <c r="EC169" s="42">
        <f t="shared" ca="1" si="1172"/>
        <v>0</v>
      </c>
      <c r="ED169" s="42">
        <f ca="1">IF($F$16=1,0,IF($M$28=1,DX169-$G$16,OFFSET(DV169,0,$M$28))*IF($M$30=1,SIGN($B$16),$T$16))</f>
        <v>0</v>
      </c>
      <c r="EE169" s="40"/>
      <c r="EF169" s="120">
        <f t="shared" ca="1" si="756"/>
        <v>85.55</v>
      </c>
      <c r="EG169" s="42">
        <f t="shared" ca="1" si="1173"/>
        <v>258.42700953310623</v>
      </c>
      <c r="EH169" s="36">
        <f t="shared" ca="1" si="1174"/>
        <v>258.42700953310623</v>
      </c>
      <c r="EI169" s="143">
        <f t="shared" ca="1" si="1175"/>
        <v>258.42700000000002</v>
      </c>
      <c r="EJ169" s="143">
        <f t="shared" ref="EJ169:EJ179" ca="1" si="1183">EI169-EI168</f>
        <v>2.2000000000048203E-2</v>
      </c>
      <c r="EK169" s="153">
        <f t="shared" ca="1" si="1176"/>
        <v>0</v>
      </c>
      <c r="EL169" s="143">
        <f t="shared" ca="1" si="1177"/>
        <v>0</v>
      </c>
    </row>
    <row r="170" spans="1:142" x14ac:dyDescent="0.3">
      <c r="A170" s="143">
        <f t="shared" ca="1" si="1178"/>
        <v>85.6</v>
      </c>
      <c r="B170" s="144">
        <f t="shared" ca="1" si="1179"/>
        <v>0.28399999999999997</v>
      </c>
      <c r="C170" s="145">
        <f t="shared" ca="1" si="1180"/>
        <v>45295.440972222219</v>
      </c>
      <c r="D170" s="144">
        <f t="shared" ca="1" si="1181"/>
        <v>2.5999999999999999E-2</v>
      </c>
      <c r="E170" s="144">
        <f t="shared" ca="1" si="1182"/>
        <v>0.04</v>
      </c>
      <c r="F170" s="36">
        <f t="shared" si="641"/>
        <v>75</v>
      </c>
      <c r="G170" s="35">
        <f t="shared" si="1063"/>
        <v>0.28399999999999997</v>
      </c>
      <c r="H170" s="197">
        <f t="shared" ca="1" si="625"/>
        <v>169.23611111111677</v>
      </c>
      <c r="I170" s="41">
        <f t="shared" ca="1" si="1064"/>
        <v>0.46366057838662128</v>
      </c>
      <c r="J170" s="40">
        <f t="shared" ref="J170:J179" ca="1" si="1184">LN($A170/F170)</f>
        <v>0.13219716961138595</v>
      </c>
      <c r="K170" s="40">
        <f t="shared" ref="K170:K179" ca="1" si="1185">($E170-$D170+POWER(G170,2)/2)*I170</f>
        <v>2.5189751902588361E-2</v>
      </c>
      <c r="L170" s="40">
        <f t="shared" ref="L170:L179" ca="1" si="1186">MAX(0,0.000000000001,G170*SQRT(I170))</f>
        <v>0.19338305926412305</v>
      </c>
      <c r="M170" s="42">
        <f t="shared" ref="M170:M179" ca="1" si="1187">(J170+K170)/L170</f>
        <v>0.81386095613998366</v>
      </c>
      <c r="N170" s="42">
        <f t="shared" ref="N170:N179" ca="1" si="1188">M170-L170</f>
        <v>0.62047789687586064</v>
      </c>
      <c r="O170" s="42">
        <f t="shared" ref="O170:O179" ca="1" si="1189">_xlfn.NORM.DIST(M170,0,1,TRUE)</f>
        <v>0.79213769495250363</v>
      </c>
      <c r="P170" s="42">
        <f t="shared" ref="P170:P179" ca="1" si="1190">_xlfn.NORM.DIST(-M170,0,1,TRUE)</f>
        <v>0.20786230504749637</v>
      </c>
      <c r="Q170" s="42">
        <f t="shared" ref="Q170:Q179" ca="1" si="1191">_xlfn.NORM.DIST(N170,0,1,TRUE)</f>
        <v>0.73252839920771395</v>
      </c>
      <c r="R170" s="42">
        <f t="shared" ref="R170:R179" ca="1" si="1192">_xlfn.NORM.DIST(-N170,0,1,TRUE)</f>
        <v>0.26747160079228605</v>
      </c>
      <c r="S170" s="42">
        <f t="shared" ref="S170:S179" ca="1" si="1193">EXP(-$E170*I170)</f>
        <v>0.98162450344672281</v>
      </c>
      <c r="T170" s="42">
        <f t="shared" ref="T170:T179" ca="1" si="1194">F170*S170</f>
        <v>73.621837758504213</v>
      </c>
      <c r="U170" s="42">
        <f t="shared" ref="U170:U179" ca="1" si="1195">EXP(-$D170*I170)</f>
        <v>0.98801719747153338</v>
      </c>
      <c r="V170" s="42">
        <f t="shared" ref="V170:V179" ca="1" si="1196">$A170*U170</f>
        <v>84.574272103563246</v>
      </c>
      <c r="W170" s="42">
        <f t="shared" ref="W170:W179" ca="1" si="1197">EXP(-1*POWER(M170,2)/2)/SQRT(2*PI())</f>
        <v>0.28646945547338543</v>
      </c>
      <c r="X170" s="42">
        <f t="shared" ref="X170:X179" ca="1" si="1198">IF($F$8=1,0,IF($F$8=2,$A170,IF($F$8=3,V170*O170-T170*Q170,T170*R170-V170*P170)))</f>
        <v>2.1119476513762656</v>
      </c>
      <c r="Y170" s="42">
        <f t="shared" ref="Y170:Y179" ca="1" si="1199">IF($F$8=2,1,IF(OR($F$8=1,I170&lt;=0),0,IF($F$8=3,O170*U170,(O170-1)*U170)))</f>
        <v>-0.20537153209300033</v>
      </c>
      <c r="Z170" s="42">
        <f t="shared" ref="Z170:Z179" ca="1" si="1200">IF(OR($F$8&lt;=2,I170&lt;=0),0,W170*U170/($A170*L170))</f>
        <v>1.7098209556315601E-2</v>
      </c>
      <c r="AA170" s="42">
        <f t="shared" ca="1" si="1082"/>
        <v>-1.2936678669943401E-2</v>
      </c>
      <c r="AB170" s="42">
        <f t="shared" ref="AB170:AB179" ca="1" si="1201">IF(OR($F$8&lt;=2,I170&lt;=0),0,(W170*$A170*U170*SQRT(I170))/100)</f>
        <v>0.16497444558518512</v>
      </c>
      <c r="AC170" s="42">
        <f t="shared" ref="AC170:AC179" ca="1" si="1202">IF(OR($F$8&lt;=2,I170&lt;=0),0,IF($F$8=3,Q170,-1*R170)*F170*I170*S170/100)</f>
        <v>-9.1302885646949189E-2</v>
      </c>
      <c r="AD170" s="42">
        <f t="shared" ref="AD170:AD179" ca="1" si="1203">IF($F$8=1,0,IF($M$28=1,X170-$G$8,OFFSET(V170,0,$M$28))*IF($M$30=1,SIGN($B$8),$T$8))</f>
        <v>-744.02617431186729</v>
      </c>
      <c r="AF170" s="36">
        <f t="shared" si="664"/>
        <v>80</v>
      </c>
      <c r="AG170" s="35">
        <f t="shared" si="1085"/>
        <v>0.28399999999999997</v>
      </c>
      <c r="AH170" s="197">
        <f t="shared" ca="1" si="626"/>
        <v>169.23611111111677</v>
      </c>
      <c r="AI170" s="41">
        <f t="shared" ca="1" si="1086"/>
        <v>0.46366057838662128</v>
      </c>
      <c r="AJ170" s="40">
        <f t="shared" ref="AJ170:AJ179" ca="1" si="1204">LN($A170/AF170)</f>
        <v>6.7658648473814656E-2</v>
      </c>
      <c r="AK170" s="40">
        <f t="shared" ref="AK170:AK179" ca="1" si="1205">($E170-$D170+POWER(AG170,2)/2)*AI170</f>
        <v>2.5189751902588361E-2</v>
      </c>
      <c r="AL170" s="40">
        <f t="shared" ref="AL170:AL179" ca="1" si="1206">MAX(0,0.000000000001,AG170*SQRT(AI170))</f>
        <v>0.19338305926412305</v>
      </c>
      <c r="AM170" s="42">
        <f t="shared" ref="AM170:AM179" ca="1" si="1207">(AJ170+AK170)/AL170</f>
        <v>0.48012685666323257</v>
      </c>
      <c r="AN170" s="42">
        <f t="shared" ref="AN170:AN179" ca="1" si="1208">AM170-AL170</f>
        <v>0.28674379739910949</v>
      </c>
      <c r="AO170" s="42">
        <f t="shared" ref="AO170:AO179" ca="1" si="1209">_xlfn.NORM.DIST(AM170,0,1,TRUE)</f>
        <v>0.68443140378077394</v>
      </c>
      <c r="AP170" s="42">
        <f t="shared" ref="AP170:AP179" ca="1" si="1210">_xlfn.NORM.DIST(-AM170,0,1,TRUE)</f>
        <v>0.31556859621922606</v>
      </c>
      <c r="AQ170" s="42">
        <f t="shared" ref="AQ170:AQ179" ca="1" si="1211">_xlfn.NORM.DIST(AN170,0,1,TRUE)</f>
        <v>0.61284575019319765</v>
      </c>
      <c r="AR170" s="42">
        <f t="shared" ref="AR170:AR179" ca="1" si="1212">_xlfn.NORM.DIST(-AN170,0,1,TRUE)</f>
        <v>0.38715424980680241</v>
      </c>
      <c r="AS170" s="42">
        <f t="shared" ref="AS170:AS179" ca="1" si="1213">EXP(-$E170*AI170)</f>
        <v>0.98162450344672281</v>
      </c>
      <c r="AT170" s="42">
        <f t="shared" ref="AT170:AT179" ca="1" si="1214">AF170*AS170</f>
        <v>78.529960275737821</v>
      </c>
      <c r="AU170" s="42">
        <f t="shared" ref="AU170:AU179" ca="1" si="1215">EXP(-$D170*AI170)</f>
        <v>0.98801719747153338</v>
      </c>
      <c r="AV170" s="42">
        <f t="shared" ref="AV170:AV179" ca="1" si="1216">$A170*AU170</f>
        <v>84.574272103563246</v>
      </c>
      <c r="AW170" s="42">
        <f t="shared" ref="AW170:AW179" ca="1" si="1217">EXP(-1*POWER(AM170,2)/2)/SQRT(2*PI())</f>
        <v>0.35551087750283122</v>
      </c>
      <c r="AX170" s="42">
        <f t="shared" ref="AX170:AX179" ca="1" si="1218">IF($F$10=1,0,IF($F$10=2,$A170,IF($F$10=3,AV170*AO170-AT170*AQ170,AT170*AR170-AV170*AP170)))</f>
        <v>3.7142235339269654</v>
      </c>
      <c r="AY170" s="42">
        <f t="shared" ref="AY170:AY179" ca="1" si="1219">IF($F$10=2,1,IF(OR($F$10=1,AI170&lt;=0),0,IF($F$10=3,AO170*AU170,(AO170-1)*AU170)))</f>
        <v>-0.31178720004654564</v>
      </c>
      <c r="AZ170" s="42">
        <f t="shared" ref="AZ170:AZ179" ca="1" si="1220">IF(OR($F$10&lt;=2,AI170&lt;=0),0,AW170*AU170/($A170*AL170))</f>
        <v>2.1219014338014788E-2</v>
      </c>
      <c r="BA170" s="42">
        <f t="shared" ca="1" si="1104"/>
        <v>-1.5747826803183873E-2</v>
      </c>
      <c r="BB170" s="42">
        <f t="shared" ref="BB170:BB179" ca="1" si="1221">IF(OR($F$10&lt;=2,AI170&lt;=0),0,(AW170*$A170*AU170*SQRT(AI170))/100)</f>
        <v>0.2047346018744437</v>
      </c>
      <c r="BC170" s="42">
        <f t="shared" ref="BC170:BC179" ca="1" si="1222">IF(OR($F$10&lt;=2,AI170&lt;=0),0,IF($F$10=3,AQ170,-1*AR170)*AF170*AI170*AS170/100)</f>
        <v>-0.14096768940207807</v>
      </c>
      <c r="BD170" s="42">
        <f t="shared" ref="BD170:BD179" ca="1" si="1223">IF($F$10=1,0,IF($M$28=1,AX170-$G$10,OFFSET(AV170,0,$M$28))*IF($M$30=1,SIGN($B$10),$T$10))</f>
        <v>967.88823303651748</v>
      </c>
      <c r="BE170" s="40"/>
      <c r="BF170" s="36">
        <f t="shared" si="687"/>
        <v>90</v>
      </c>
      <c r="BG170" s="35">
        <f t="shared" si="1107"/>
        <v>0.28399999999999997</v>
      </c>
      <c r="BH170" s="197">
        <f t="shared" ca="1" si="627"/>
        <v>169.23611111111677</v>
      </c>
      <c r="BI170" s="41">
        <f t="shared" ca="1" si="1108"/>
        <v>0.46366057838662128</v>
      </c>
      <c r="BJ170" s="40">
        <f t="shared" ref="BJ170:BJ179" ca="1" si="1224">LN($A170/BF170)</f>
        <v>-5.0124387182568744E-2</v>
      </c>
      <c r="BK170" s="40">
        <f t="shared" ref="BK170:BK179" ca="1" si="1225">($E170-$D170+POWER(BG170,2)/2)*BI170</f>
        <v>2.5189751902588361E-2</v>
      </c>
      <c r="BL170" s="40">
        <f t="shared" ref="BL170:BL179" ca="1" si="1226">MAX(0,0.000000000001,BG170*SQRT(BI170))</f>
        <v>0.19338305926412305</v>
      </c>
      <c r="BM170" s="42">
        <f t="shared" ref="BM170:BM179" ca="1" si="1227">(BJ170+BK170)/BL170</f>
        <v>-0.12893908791630293</v>
      </c>
      <c r="BN170" s="42">
        <f t="shared" ref="BN170:BN179" ca="1" si="1228">BM170-BL170</f>
        <v>-0.32232214718042596</v>
      </c>
      <c r="BO170" s="42">
        <f t="shared" ref="BO170:BO179" ca="1" si="1229">_xlfn.NORM.DIST(BM170,0,1,TRUE)</f>
        <v>0.44870292356206093</v>
      </c>
      <c r="BP170" s="42">
        <f t="shared" ref="BP170:BP179" ca="1" si="1230">_xlfn.NORM.DIST(-BM170,0,1,TRUE)</f>
        <v>0.55129707643793902</v>
      </c>
      <c r="BQ170" s="42">
        <f t="shared" ref="BQ170:BQ179" ca="1" si="1231">_xlfn.NORM.DIST(BN170,0,1,TRUE)</f>
        <v>0.37360432833818424</v>
      </c>
      <c r="BR170" s="42">
        <f t="shared" ref="BR170:BR179" ca="1" si="1232">_xlfn.NORM.DIST(-BN170,0,1,TRUE)</f>
        <v>0.62639567166181576</v>
      </c>
      <c r="BS170" s="42">
        <f t="shared" ref="BS170:BS179" ca="1" si="1233">EXP(-$E170*BI170)</f>
        <v>0.98162450344672281</v>
      </c>
      <c r="BT170" s="42">
        <f t="shared" ref="BT170:BT179" ca="1" si="1234">BF170*BS170</f>
        <v>88.34620531020505</v>
      </c>
      <c r="BU170" s="42">
        <f t="shared" ref="BU170:BU179" ca="1" si="1235">EXP(-$D170*BI170)</f>
        <v>0.98801719747153338</v>
      </c>
      <c r="BV170" s="42">
        <f t="shared" ref="BV170:BV179" ca="1" si="1236">$A170*BU170</f>
        <v>84.574272103563246</v>
      </c>
      <c r="BW170" s="42">
        <f t="shared" ref="BW170:BW179" ca="1" si="1237">EXP(-1*POWER(BM170,2)/2)/SQRT(2*PI())</f>
        <v>0.39563976052293132</v>
      </c>
      <c r="BX170" s="42">
        <f t="shared" ref="BX170:BX179" ca="1" si="1238">IF($F$12=1,0,IF($F$12=2,$A170,IF($F$12=3,BV170*BO170-BT170*BQ170,BT170*BR170-BV170*BP170)))</f>
        <v>4.9421984548555926</v>
      </c>
      <c r="BY170" s="42">
        <f t="shared" ref="BY170:BY179" ca="1" si="1239">IF($F$12=2,1,IF(OR($F$12=1,BI170&lt;=0),0,IF($F$12=3,BO170*BU170,(BO170-1)*BU170)))</f>
        <v>0.44332620503507109</v>
      </c>
      <c r="BZ170" s="42">
        <f t="shared" ref="BZ170:BZ179" ca="1" si="1240">IF(OR($F$12&lt;=2,BI170&lt;=0),0,BW170*BU170/($A170*BL170))</f>
        <v>2.3614145958608425E-2</v>
      </c>
      <c r="CA170" s="42">
        <f t="shared" ca="1" si="1126"/>
        <v>-2.0031566447914581E-2</v>
      </c>
      <c r="CB170" s="42">
        <f t="shared" ref="CB170:CB179" ca="1" si="1241">IF(OR($F$12&lt;=2,BI170&lt;=0),0,(BW170*$A170*BU170*SQRT(BI170))/100)</f>
        <v>0.22784436140274647</v>
      </c>
      <c r="CC170" s="42">
        <f t="shared" ref="CC170:CC179" ca="1" si="1242">IF(OR($F$12&lt;=2,BI170&lt;=0),0,IF($F$12=3,BQ170,-1*BR170)*BF170*BI170*BS170/100)</f>
        <v>0.15303824331147578</v>
      </c>
      <c r="CD170" s="42">
        <f t="shared" ref="CD170:CD179" ca="1" si="1243">IF($F$12=1,0,IF($M$28=1,BX170-$G$12,OFFSET(BV170,0,$M$28))*IF($M$30=1,SIGN($B$12),$T$12))</f>
        <v>928.90077257220355</v>
      </c>
      <c r="CE170" s="40"/>
      <c r="CF170" s="36">
        <f t="shared" si="710"/>
        <v>95</v>
      </c>
      <c r="CG170" s="35">
        <f t="shared" si="1129"/>
        <v>0.28399999999999997</v>
      </c>
      <c r="CH170" s="197">
        <f t="shared" ca="1" si="628"/>
        <v>169.23611111111677</v>
      </c>
      <c r="CI170" s="41">
        <f t="shared" ca="1" si="1130"/>
        <v>0.46366057838662128</v>
      </c>
      <c r="CJ170" s="40">
        <f t="shared" ref="CJ170:CJ179" ca="1" si="1244">LN($A170/CF170)</f>
        <v>-0.10419160845284446</v>
      </c>
      <c r="CK170" s="40">
        <f t="shared" ref="CK170:CK179" ca="1" si="1245">($E170-$D170+POWER(CG170,2)/2)*CI170</f>
        <v>2.5189751902588361E-2</v>
      </c>
      <c r="CL170" s="40">
        <f t="shared" ref="CL170:CL179" ca="1" si="1246">MAX(0,0.000000000001,CG170*SQRT(CI170))</f>
        <v>0.19338305926412305</v>
      </c>
      <c r="CM170" s="42">
        <f t="shared" ref="CM170:CM179" ca="1" si="1247">(CJ170+CK170)/CL170</f>
        <v>-0.40852521855265084</v>
      </c>
      <c r="CN170" s="42">
        <f t="shared" ref="CN170:CN179" ca="1" si="1248">CM170-CL170</f>
        <v>-0.60190827781677392</v>
      </c>
      <c r="CO170" s="42">
        <f t="shared" ref="CO170:CO179" ca="1" si="1249">_xlfn.NORM.DIST(CM170,0,1,TRUE)</f>
        <v>0.34144405993740173</v>
      </c>
      <c r="CP170" s="42">
        <f t="shared" ref="CP170:CP179" ca="1" si="1250">_xlfn.NORM.DIST(-CM170,0,1,TRUE)</f>
        <v>0.65855594006259821</v>
      </c>
      <c r="CQ170" s="42">
        <f t="shared" ref="CQ170:CQ179" ca="1" si="1251">_xlfn.NORM.DIST(CN170,0,1,TRUE)</f>
        <v>0.2736175969127157</v>
      </c>
      <c r="CR170" s="42">
        <f t="shared" ref="CR170:CR179" ca="1" si="1252">_xlfn.NORM.DIST(-CN170,0,1,TRUE)</f>
        <v>0.7263824030872843</v>
      </c>
      <c r="CS170" s="42">
        <f t="shared" ref="CS170:CS179" ca="1" si="1253">EXP(-$E170*CI170)</f>
        <v>0.98162450344672281</v>
      </c>
      <c r="CT170" s="42">
        <f t="shared" ref="CT170:CT179" ca="1" si="1254">CF170*CS170</f>
        <v>93.254327827438672</v>
      </c>
      <c r="CU170" s="42">
        <f t="shared" ref="CU170:CU179" ca="1" si="1255">EXP(-$D170*CI170)</f>
        <v>0.98801719747153338</v>
      </c>
      <c r="CV170" s="42">
        <f t="shared" ref="CV170:CV179" ca="1" si="1256">$A170*CU170</f>
        <v>84.574272103563246</v>
      </c>
      <c r="CW170" s="42">
        <f t="shared" ref="CW170:CW179" ca="1" si="1257">EXP(-1*POWER(CM170,2)/2)/SQRT(2*PI())</f>
        <v>0.36700310873296293</v>
      </c>
      <c r="CX170" s="42">
        <f t="shared" ref="CX170:CX179" ca="1" si="1258">IF($F$14=1,0,IF($F$14=2,$A170,IF($F$14=3,CV170*CO170-CT170*CQ170,CT170*CR170-CV170*CP170)))</f>
        <v>3.3613577514368096</v>
      </c>
      <c r="CY170" s="42">
        <f t="shared" ref="CY170:CY179" ca="1" si="1259">IF($F$14=2,1,IF(OR($F$14=1,CI170&lt;=0),0,IF($F$14=3,CO170*CU170,(CO170-1)*CU170)))</f>
        <v>0.33735260319265392</v>
      </c>
      <c r="CZ170" s="42">
        <f t="shared" ref="CZ170:CZ179" ca="1" si="1260">IF(OR($F$14&lt;=2,CI170&lt;=0),0,CW170*CU170/($A170*CL170))</f>
        <v>2.1904939395950614E-2</v>
      </c>
      <c r="DA170" s="42">
        <f t="shared" ca="1" si="1148"/>
        <v>-1.8473122965669338E-2</v>
      </c>
      <c r="DB170" s="42">
        <f t="shared" ref="DB170:DB179" ca="1" si="1261">IF(OR($F$14&lt;=2,CI170&lt;=0),0,(CW170*$A170*CU170*SQRT(CI170))/100)</f>
        <v>0.21135284490002129</v>
      </c>
      <c r="DC170" s="42">
        <f t="shared" ref="DC170:DC179" ca="1" si="1262">IF(OR($F$14&lt;=2,CI170&lt;=0),0,IF($F$14=3,CQ170,-1*CR170)*CF170*CI170*CS170/100)</f>
        <v>0.11830774947580128</v>
      </c>
      <c r="DD170" s="42">
        <f t="shared" ref="DD170:DD179" ca="1" si="1263">IF($F$14=1,0,IF($M$28=1,CX170-$G$14,OFFSET(CV170,0,$M$28))*IF($M$30=1,SIGN($B$14),$T$14))</f>
        <v>-894.32112428159542</v>
      </c>
      <c r="DE170" s="40"/>
      <c r="DF170" s="36">
        <f t="shared" si="733"/>
        <v>200</v>
      </c>
      <c r="DG170" s="35">
        <f t="shared" si="1151"/>
        <v>0.28399999999999997</v>
      </c>
      <c r="DH170" s="197">
        <f t="shared" ca="1" si="629"/>
        <v>169.23611111111677</v>
      </c>
      <c r="DI170" s="41">
        <f t="shared" ca="1" si="1152"/>
        <v>0.46366057838662128</v>
      </c>
      <c r="DJ170" s="40">
        <f t="shared" ref="DJ170:DJ179" ca="1" si="1264">LN($A170/DF170)</f>
        <v>-0.84863208340034024</v>
      </c>
      <c r="DK170" s="40">
        <f t="shared" ref="DK170:DK179" ca="1" si="1265">($E170-$D170+POWER(DG170,2)/2)*DI170</f>
        <v>2.5189751902588361E-2</v>
      </c>
      <c r="DL170" s="40">
        <f t="shared" ref="DL170:DL179" ca="1" si="1266">MAX(0,0.000000000001,DG170*SQRT(DI170))</f>
        <v>0.19338305926412305</v>
      </c>
      <c r="DM170" s="42">
        <f t="shared" ref="DM170:DM179" ca="1" si="1267">(DJ170+DK170)/DL170</f>
        <v>-4.2580892795427978</v>
      </c>
      <c r="DN170" s="42">
        <f t="shared" ref="DN170:DN179" ca="1" si="1268">DM170-DL170</f>
        <v>-4.4514723388069211</v>
      </c>
      <c r="DO170" s="42">
        <f t="shared" ref="DO170:DO179" ca="1" si="1269">_xlfn.NORM.DIST(DM170,0,1,TRUE)</f>
        <v>1.0309080488978325E-5</v>
      </c>
      <c r="DP170" s="42">
        <f t="shared" ref="DP170:DP179" ca="1" si="1270">_xlfn.NORM.DIST(-DM170,0,1,TRUE)</f>
        <v>0.99998969091951107</v>
      </c>
      <c r="DQ170" s="42">
        <f t="shared" ref="DQ170:DQ179" ca="1" si="1271">_xlfn.NORM.DIST(DN170,0,1,TRUE)</f>
        <v>4.264175998906715E-6</v>
      </c>
      <c r="DR170" s="42">
        <f t="shared" ref="DR170:DR179" ca="1" si="1272">_xlfn.NORM.DIST(-DN170,0,1,TRUE)</f>
        <v>0.99999573582400114</v>
      </c>
      <c r="DS170" s="42">
        <f t="shared" ref="DS170:DS179" ca="1" si="1273">EXP(-$E170*DI170)</f>
        <v>0.98162450344672281</v>
      </c>
      <c r="DT170" s="42">
        <f t="shared" ref="DT170:DT179" ca="1" si="1274">DF170*DS170</f>
        <v>196.32490068934456</v>
      </c>
      <c r="DU170" s="42">
        <f t="shared" ref="DU170:DU179" ca="1" si="1275">EXP(-$D170*DI170)</f>
        <v>0.98801719747153338</v>
      </c>
      <c r="DV170" s="42">
        <f t="shared" ref="DV170:DV179" ca="1" si="1276">$A170*DU170</f>
        <v>84.574272103563246</v>
      </c>
      <c r="DW170" s="42">
        <f t="shared" ref="DW170:DW179" ca="1" si="1277">EXP(-1*POWER(DM170,2)/2)/SQRT(2*PI())</f>
        <v>4.6104468158371842E-5</v>
      </c>
      <c r="DX170" s="42">
        <f t="shared" ref="DX170:DX179" si="1278">IF($F$16=1,0,IF($F$16=2,$A170,IF($F$16=3,DV170*DO170-DT170*DQ170,DT170*DR170-DV170*DP170)))</f>
        <v>0</v>
      </c>
      <c r="DY170" s="92">
        <f t="shared" ref="DY170:DY179" ca="1" si="1279">IF($F$16=2,1,IF(OR($F$16=1,DI170&lt;=0),0,IF($F$16=3,DO170*DU170,(DO170-1)*DU170)))</f>
        <v>0</v>
      </c>
      <c r="DZ170" s="42">
        <f t="shared" ref="DZ170:DZ179" ca="1" si="1280">IF(OR($F$16&lt;=2,DI170&lt;=0),0,DW170*DU170/($A170*DL170))</f>
        <v>0</v>
      </c>
      <c r="EA170" s="42">
        <f t="shared" ca="1" si="1170"/>
        <v>0</v>
      </c>
      <c r="EB170" s="42">
        <f t="shared" ref="EB170:EB179" ca="1" si="1281">IF(OR($F$16&lt;=2,DI170&lt;=0),0,(DW170*$A170*DU170*SQRT(DI170))/100)</f>
        <v>0</v>
      </c>
      <c r="EC170" s="42">
        <f t="shared" ref="EC170:EC179" ca="1" si="1282">IF(OR($F$16&lt;=2,DI170&lt;=0),0,IF($F$16=3,DQ170,-1*DR170)*DF170*DI170*DS170/100)</f>
        <v>0</v>
      </c>
      <c r="ED170" s="42">
        <f t="shared" ref="ED170:ED179" ca="1" si="1283">IF($F$16=1,0,IF($M$28=1,DX170-$G$16,OFFSET(DV170,0,$M$28))*IF($M$30=1,SIGN($B$16),$T$16))</f>
        <v>0</v>
      </c>
      <c r="EE170" s="40"/>
      <c r="EF170" s="120">
        <f t="shared" ca="1" si="756"/>
        <v>85.6</v>
      </c>
      <c r="EG170" s="42">
        <f t="shared" ca="1" si="1173"/>
        <v>258.4417070152582</v>
      </c>
      <c r="EH170" s="36">
        <f t="shared" ca="1" si="1174"/>
        <v>258.4417070152582</v>
      </c>
      <c r="EI170" s="143">
        <f t="shared" ca="1" si="1175"/>
        <v>258.44200000000001</v>
      </c>
      <c r="EJ170" s="143">
        <f t="shared" ca="1" si="1183"/>
        <v>1.4999999999986358E-2</v>
      </c>
      <c r="EK170" s="153">
        <f t="shared" ca="1" si="1176"/>
        <v>0</v>
      </c>
      <c r="EL170" s="143">
        <f t="shared" ca="1" si="1177"/>
        <v>0</v>
      </c>
    </row>
    <row r="171" spans="1:142" x14ac:dyDescent="0.3">
      <c r="A171" s="143">
        <f t="shared" ca="1" si="1178"/>
        <v>85.649999999999991</v>
      </c>
      <c r="B171" s="144">
        <f t="shared" ca="1" si="1179"/>
        <v>0.28399999999999997</v>
      </c>
      <c r="C171" s="145">
        <f t="shared" ca="1" si="1180"/>
        <v>45295.440972222219</v>
      </c>
      <c r="D171" s="144">
        <f t="shared" ca="1" si="1181"/>
        <v>2.5999999999999999E-2</v>
      </c>
      <c r="E171" s="144">
        <f t="shared" ca="1" si="1182"/>
        <v>0.04</v>
      </c>
      <c r="F171" s="36">
        <f t="shared" si="641"/>
        <v>75</v>
      </c>
      <c r="G171" s="35">
        <f t="shared" si="1063"/>
        <v>0.28399999999999997</v>
      </c>
      <c r="H171" s="197">
        <f t="shared" ref="H171:H179" ca="1" si="1284">MAX($C$48+H$48-$C171,0)</f>
        <v>169.23611111111677</v>
      </c>
      <c r="I171" s="41">
        <f t="shared" ca="1" si="1064"/>
        <v>0.46366057838662128</v>
      </c>
      <c r="J171" s="40">
        <f t="shared" ca="1" si="1184"/>
        <v>0.13278111123381839</v>
      </c>
      <c r="K171" s="40">
        <f t="shared" ca="1" si="1185"/>
        <v>2.5189751902588361E-2</v>
      </c>
      <c r="L171" s="40">
        <f t="shared" ca="1" si="1186"/>
        <v>0.19338305926412305</v>
      </c>
      <c r="M171" s="42">
        <f t="shared" ca="1" si="1187"/>
        <v>0.8168805671889271</v>
      </c>
      <c r="N171" s="42">
        <f t="shared" ca="1" si="1188"/>
        <v>0.62349750792480407</v>
      </c>
      <c r="O171" s="42">
        <f t="shared" ca="1" si="1189"/>
        <v>0.79300165792355226</v>
      </c>
      <c r="P171" s="42">
        <f t="shared" ca="1" si="1190"/>
        <v>0.20699834207644777</v>
      </c>
      <c r="Q171" s="42">
        <f t="shared" ca="1" si="1191"/>
        <v>0.7335211803043169</v>
      </c>
      <c r="R171" s="42">
        <f t="shared" ca="1" si="1192"/>
        <v>0.2664788196956831</v>
      </c>
      <c r="S171" s="42">
        <f t="shared" ca="1" si="1193"/>
        <v>0.98162450344672281</v>
      </c>
      <c r="T171" s="42">
        <f t="shared" ca="1" si="1194"/>
        <v>73.621837758504213</v>
      </c>
      <c r="U171" s="42">
        <f t="shared" ca="1" si="1195"/>
        <v>0.98801719747153338</v>
      </c>
      <c r="V171" s="42">
        <f t="shared" ca="1" si="1196"/>
        <v>84.623672963436832</v>
      </c>
      <c r="W171" s="42">
        <f t="shared" ca="1" si="1197"/>
        <v>0.28576500586289905</v>
      </c>
      <c r="X171" s="42">
        <f t="shared" ca="1" si="1198"/>
        <v>2.1017004258623366</v>
      </c>
      <c r="Y171" s="42">
        <f t="shared" ca="1" si="1199"/>
        <v>-0.20451792181962569</v>
      </c>
      <c r="Z171" s="42">
        <f t="shared" ca="1" si="1200"/>
        <v>1.7046206895959991E-2</v>
      </c>
      <c r="AA171" s="42">
        <f t="shared" ca="1" si="1082"/>
        <v>-1.2914238184407805E-2</v>
      </c>
      <c r="AB171" s="42">
        <f t="shared" ca="1" si="1201"/>
        <v>0.16466488781629213</v>
      </c>
      <c r="AC171" s="42">
        <f t="shared" ca="1" si="1202"/>
        <v>-9.0963994420115768E-2</v>
      </c>
      <c r="AD171" s="42">
        <f t="shared" ca="1" si="1203"/>
        <v>-749.14978706883176</v>
      </c>
      <c r="AF171" s="36">
        <f t="shared" si="664"/>
        <v>80</v>
      </c>
      <c r="AG171" s="35">
        <f t="shared" si="1085"/>
        <v>0.28399999999999997</v>
      </c>
      <c r="AH171" s="197">
        <f t="shared" ref="AH171:AH179" ca="1" si="1285">MAX($C$48+AH$48-$C171,0)</f>
        <v>169.23611111111677</v>
      </c>
      <c r="AI171" s="41">
        <f t="shared" ca="1" si="1086"/>
        <v>0.46366057838662128</v>
      </c>
      <c r="AJ171" s="40">
        <f t="shared" ca="1" si="1204"/>
        <v>6.8242590096247238E-2</v>
      </c>
      <c r="AK171" s="40">
        <f t="shared" ca="1" si="1205"/>
        <v>2.5189751902588361E-2</v>
      </c>
      <c r="AL171" s="40">
        <f t="shared" ca="1" si="1206"/>
        <v>0.19338305926412305</v>
      </c>
      <c r="AM171" s="42">
        <f t="shared" ca="1" si="1207"/>
        <v>0.48314646771217679</v>
      </c>
      <c r="AN171" s="42">
        <f t="shared" ca="1" si="1208"/>
        <v>0.28976340844805371</v>
      </c>
      <c r="AO171" s="42">
        <f t="shared" ca="1" si="1209"/>
        <v>0.68550412891931778</v>
      </c>
      <c r="AP171" s="42">
        <f t="shared" ca="1" si="1210"/>
        <v>0.31449587108068222</v>
      </c>
      <c r="AQ171" s="42">
        <f t="shared" ca="1" si="1211"/>
        <v>0.61400137837907254</v>
      </c>
      <c r="AR171" s="42">
        <f t="shared" ca="1" si="1212"/>
        <v>0.38599862162092741</v>
      </c>
      <c r="AS171" s="42">
        <f t="shared" ca="1" si="1213"/>
        <v>0.98162450344672281</v>
      </c>
      <c r="AT171" s="42">
        <f t="shared" ca="1" si="1214"/>
        <v>78.529960275737821</v>
      </c>
      <c r="AU171" s="42">
        <f t="shared" ca="1" si="1215"/>
        <v>0.98801719747153338</v>
      </c>
      <c r="AV171" s="42">
        <f t="shared" ca="1" si="1216"/>
        <v>84.623672963436832</v>
      </c>
      <c r="AW171" s="42">
        <f t="shared" ca="1" si="1217"/>
        <v>0.35499421414023857</v>
      </c>
      <c r="AX171" s="42">
        <f t="shared" ca="1" si="1218"/>
        <v>3.6986606796981398</v>
      </c>
      <c r="AY171" s="42">
        <f t="shared" ca="1" si="1219"/>
        <v>-0.31072732916150431</v>
      </c>
      <c r="AZ171" s="42">
        <f t="shared" ca="1" si="1220"/>
        <v>2.1175807733457949E-2</v>
      </c>
      <c r="BA171" s="42">
        <f t="shared" ca="1" si="1104"/>
        <v>-1.5737470324389352E-2</v>
      </c>
      <c r="BB171" s="42">
        <f t="shared" ca="1" si="1221"/>
        <v>0.20455647559197662</v>
      </c>
      <c r="BC171" s="42">
        <f t="shared" ca="1" si="1222"/>
        <v>-0.14054691077120421</v>
      </c>
      <c r="BD171" s="42">
        <f t="shared" ca="1" si="1223"/>
        <v>975.66966015093021</v>
      </c>
      <c r="BE171" s="40"/>
      <c r="BF171" s="36">
        <f t="shared" si="687"/>
        <v>90</v>
      </c>
      <c r="BG171" s="35">
        <f t="shared" si="1107"/>
        <v>0.28399999999999997</v>
      </c>
      <c r="BH171" s="197">
        <f t="shared" ref="BH171:BH179" ca="1" si="1286">MAX($C$48+BH$48-$C171,0)</f>
        <v>169.23611111111677</v>
      </c>
      <c r="BI171" s="41">
        <f t="shared" ca="1" si="1108"/>
        <v>0.46366057838662128</v>
      </c>
      <c r="BJ171" s="40">
        <f t="shared" ca="1" si="1224"/>
        <v>-4.9540445560136273E-2</v>
      </c>
      <c r="BK171" s="40">
        <f t="shared" ca="1" si="1225"/>
        <v>2.5189751902588361E-2</v>
      </c>
      <c r="BL171" s="40">
        <f t="shared" ca="1" si="1226"/>
        <v>0.19338305926412305</v>
      </c>
      <c r="BM171" s="42">
        <f t="shared" ca="1" si="1227"/>
        <v>-0.12591947686735927</v>
      </c>
      <c r="BN171" s="42">
        <f t="shared" ca="1" si="1228"/>
        <v>-0.3193025361314823</v>
      </c>
      <c r="BO171" s="42">
        <f t="shared" ca="1" si="1229"/>
        <v>0.44989783253999815</v>
      </c>
      <c r="BP171" s="42">
        <f t="shared" ca="1" si="1230"/>
        <v>0.55010216746000185</v>
      </c>
      <c r="BQ171" s="42">
        <f t="shared" ca="1" si="1231"/>
        <v>0.37474855485555331</v>
      </c>
      <c r="BR171" s="42">
        <f t="shared" ca="1" si="1232"/>
        <v>0.62525144514444664</v>
      </c>
      <c r="BS171" s="42">
        <f t="shared" ca="1" si="1233"/>
        <v>0.98162450344672281</v>
      </c>
      <c r="BT171" s="42">
        <f t="shared" ca="1" si="1234"/>
        <v>88.34620531020505</v>
      </c>
      <c r="BU171" s="42">
        <f t="shared" ca="1" si="1235"/>
        <v>0.98801719747153338</v>
      </c>
      <c r="BV171" s="42">
        <f t="shared" ca="1" si="1236"/>
        <v>84.623672963436832</v>
      </c>
      <c r="BW171" s="42">
        <f t="shared" ca="1" si="1237"/>
        <v>0.39579202680081566</v>
      </c>
      <c r="BX171" s="42">
        <f t="shared" ca="1" si="1238"/>
        <v>4.9643942808525239</v>
      </c>
      <c r="BY171" s="42">
        <f t="shared" ca="1" si="1239"/>
        <v>0.4445067956546862</v>
      </c>
      <c r="BZ171" s="42">
        <f t="shared" ca="1" si="1240"/>
        <v>2.3609443557462466E-2</v>
      </c>
      <c r="CA171" s="42">
        <f t="shared" ca="1" si="1126"/>
        <v>-2.0052391472530545E-2</v>
      </c>
      <c r="CB171" s="42">
        <f t="shared" ca="1" si="1241"/>
        <v>0.22806518767034459</v>
      </c>
      <c r="CC171" s="42">
        <f t="shared" ca="1" si="1242"/>
        <v>0.15350694884534227</v>
      </c>
      <c r="CD171" s="42">
        <f t="shared" ca="1" si="1243"/>
        <v>917.80285957373792</v>
      </c>
      <c r="CE171" s="40"/>
      <c r="CF171" s="36">
        <f t="shared" si="710"/>
        <v>95</v>
      </c>
      <c r="CG171" s="35">
        <f t="shared" si="1129"/>
        <v>0.28399999999999997</v>
      </c>
      <c r="CH171" s="197">
        <f t="shared" ref="CH171:CH179" ca="1" si="1287">MAX($C$48+CH$48-$C171,0)</f>
        <v>169.23611111111677</v>
      </c>
      <c r="CI171" s="41">
        <f t="shared" ca="1" si="1130"/>
        <v>0.46366057838662128</v>
      </c>
      <c r="CJ171" s="40">
        <f t="shared" ca="1" si="1244"/>
        <v>-0.10360766683041206</v>
      </c>
      <c r="CK171" s="40">
        <f t="shared" ca="1" si="1245"/>
        <v>2.5189751902588361E-2</v>
      </c>
      <c r="CL171" s="40">
        <f t="shared" ca="1" si="1246"/>
        <v>0.19338305926412305</v>
      </c>
      <c r="CM171" s="42">
        <f t="shared" ca="1" si="1247"/>
        <v>-0.40550560750370757</v>
      </c>
      <c r="CN171" s="42">
        <f t="shared" ca="1" si="1248"/>
        <v>-0.59888866676783059</v>
      </c>
      <c r="CO171" s="42">
        <f t="shared" ca="1" si="1249"/>
        <v>0.34255294870981057</v>
      </c>
      <c r="CP171" s="42">
        <f t="shared" ca="1" si="1250"/>
        <v>0.65744705129018943</v>
      </c>
      <c r="CQ171" s="42">
        <f t="shared" ca="1" si="1251"/>
        <v>0.27462356474209237</v>
      </c>
      <c r="CR171" s="42">
        <f t="shared" ca="1" si="1252"/>
        <v>0.72537643525790763</v>
      </c>
      <c r="CS171" s="42">
        <f t="shared" ca="1" si="1253"/>
        <v>0.98162450344672281</v>
      </c>
      <c r="CT171" s="42">
        <f t="shared" ca="1" si="1254"/>
        <v>93.254327827438672</v>
      </c>
      <c r="CU171" s="42">
        <f t="shared" ca="1" si="1255"/>
        <v>0.98801719747153338</v>
      </c>
      <c r="CV171" s="42">
        <f t="shared" ca="1" si="1256"/>
        <v>84.623672963436832</v>
      </c>
      <c r="CW171" s="42">
        <f t="shared" ca="1" si="1257"/>
        <v>0.36745444321172621</v>
      </c>
      <c r="CX171" s="42">
        <f t="shared" ca="1" si="1258"/>
        <v>3.3782527686810475</v>
      </c>
      <c r="CY171" s="42">
        <f t="shared" ca="1" si="1259"/>
        <v>0.33844820436987694</v>
      </c>
      <c r="CZ171" s="42">
        <f t="shared" ca="1" si="1260"/>
        <v>2.1919074537880934E-2</v>
      </c>
      <c r="DA171" s="42">
        <f t="shared" ca="1" si="1148"/>
        <v>-1.8507697834794959E-2</v>
      </c>
      <c r="DB171" s="42">
        <f t="shared" ca="1" si="1261"/>
        <v>0.21173636879137761</v>
      </c>
      <c r="DC171" s="42">
        <f t="shared" ca="1" si="1262"/>
        <v>0.11874271342286268</v>
      </c>
      <c r="DD171" s="42">
        <f t="shared" ca="1" si="1263"/>
        <v>-885.8736156594764</v>
      </c>
      <c r="DE171" s="40"/>
      <c r="DF171" s="36">
        <f t="shared" si="733"/>
        <v>200</v>
      </c>
      <c r="DG171" s="35">
        <f t="shared" si="1151"/>
        <v>0.28399999999999997</v>
      </c>
      <c r="DH171" s="197">
        <f t="shared" ref="DH171:DH179" ca="1" si="1288">MAX($C$48+DH$48-$C171,0)</f>
        <v>169.23611111111677</v>
      </c>
      <c r="DI171" s="41">
        <f t="shared" ca="1" si="1152"/>
        <v>0.46366057838662128</v>
      </c>
      <c r="DJ171" s="40">
        <f t="shared" ca="1" si="1264"/>
        <v>-0.84804814177790788</v>
      </c>
      <c r="DK171" s="40">
        <f t="shared" ca="1" si="1265"/>
        <v>2.5189751902588361E-2</v>
      </c>
      <c r="DL171" s="40">
        <f t="shared" ca="1" si="1266"/>
        <v>0.19338305926412305</v>
      </c>
      <c r="DM171" s="42">
        <f t="shared" ca="1" si="1267"/>
        <v>-4.2550696684938547</v>
      </c>
      <c r="DN171" s="42">
        <f t="shared" ca="1" si="1268"/>
        <v>-4.448452727757978</v>
      </c>
      <c r="DO171" s="42">
        <f t="shared" ca="1" si="1269"/>
        <v>1.0449196699075221E-5</v>
      </c>
      <c r="DP171" s="42">
        <f t="shared" ca="1" si="1270"/>
        <v>0.99998955080330088</v>
      </c>
      <c r="DQ171" s="42">
        <f t="shared" ca="1" si="1271"/>
        <v>4.3245539461005035E-6</v>
      </c>
      <c r="DR171" s="42">
        <f t="shared" ca="1" si="1272"/>
        <v>0.99999567544605394</v>
      </c>
      <c r="DS171" s="42">
        <f t="shared" ca="1" si="1273"/>
        <v>0.98162450344672281</v>
      </c>
      <c r="DT171" s="42">
        <f t="shared" ca="1" si="1274"/>
        <v>196.32490068934456</v>
      </c>
      <c r="DU171" s="42">
        <f t="shared" ca="1" si="1275"/>
        <v>0.98801719747153338</v>
      </c>
      <c r="DV171" s="42">
        <f t="shared" ca="1" si="1276"/>
        <v>84.623672963436832</v>
      </c>
      <c r="DW171" s="42">
        <f t="shared" ca="1" si="1277"/>
        <v>4.6700883489069782E-5</v>
      </c>
      <c r="DX171" s="42">
        <f t="shared" si="1278"/>
        <v>0</v>
      </c>
      <c r="DY171" s="92">
        <f t="shared" ca="1" si="1279"/>
        <v>0</v>
      </c>
      <c r="DZ171" s="42">
        <f t="shared" ca="1" si="1280"/>
        <v>0</v>
      </c>
      <c r="EA171" s="42">
        <f t="shared" ca="1" si="1170"/>
        <v>0</v>
      </c>
      <c r="EB171" s="42">
        <f t="shared" ca="1" si="1281"/>
        <v>0</v>
      </c>
      <c r="EC171" s="42">
        <f t="shared" ca="1" si="1282"/>
        <v>0</v>
      </c>
      <c r="ED171" s="42">
        <f t="shared" ca="1" si="1283"/>
        <v>0</v>
      </c>
      <c r="EE171" s="40"/>
      <c r="EF171" s="120">
        <f t="shared" ca="1" si="756"/>
        <v>85.649999999999991</v>
      </c>
      <c r="EG171" s="42">
        <f t="shared" ca="1" si="1173"/>
        <v>258.44911699635986</v>
      </c>
      <c r="EH171" s="36">
        <f t="shared" ca="1" si="1174"/>
        <v>258.44911699635986</v>
      </c>
      <c r="EI171" s="143">
        <f t="shared" ca="1" si="1175"/>
        <v>258.44900000000001</v>
      </c>
      <c r="EJ171" s="143">
        <f t="shared" ca="1" si="1183"/>
        <v>7.0000000000050022E-3</v>
      </c>
      <c r="EK171" s="153">
        <f t="shared" ca="1" si="1176"/>
        <v>1</v>
      </c>
      <c r="EL171" s="143">
        <f t="shared" ca="1" si="1177"/>
        <v>0</v>
      </c>
    </row>
    <row r="172" spans="1:142" x14ac:dyDescent="0.3">
      <c r="A172" s="143">
        <f t="shared" ca="1" si="1178"/>
        <v>85.699999999999989</v>
      </c>
      <c r="B172" s="144">
        <f t="shared" ca="1" si="1179"/>
        <v>0.28399999999999997</v>
      </c>
      <c r="C172" s="145">
        <f t="shared" ca="1" si="1180"/>
        <v>45295.440972222219</v>
      </c>
      <c r="D172" s="144">
        <f t="shared" ca="1" si="1181"/>
        <v>2.5999999999999999E-2</v>
      </c>
      <c r="E172" s="144">
        <f t="shared" ca="1" si="1182"/>
        <v>0.04</v>
      </c>
      <c r="F172" s="36">
        <f t="shared" si="641"/>
        <v>75</v>
      </c>
      <c r="G172" s="35">
        <f t="shared" si="1063"/>
        <v>0.28399999999999997</v>
      </c>
      <c r="H172" s="197">
        <f t="shared" ca="1" si="1284"/>
        <v>169.23611111111677</v>
      </c>
      <c r="I172" s="41">
        <f t="shared" ca="1" si="1064"/>
        <v>0.46366057838662128</v>
      </c>
      <c r="J172" s="40">
        <f t="shared" ca="1" si="1184"/>
        <v>0.13336471206742351</v>
      </c>
      <c r="K172" s="40">
        <f t="shared" ca="1" si="1185"/>
        <v>2.5189751902588361E-2</v>
      </c>
      <c r="L172" s="40">
        <f t="shared" ca="1" si="1186"/>
        <v>0.19338305926412305</v>
      </c>
      <c r="M172" s="42">
        <f t="shared" ca="1" si="1187"/>
        <v>0.81989841599029523</v>
      </c>
      <c r="N172" s="42">
        <f t="shared" ca="1" si="1188"/>
        <v>0.6265153567261722</v>
      </c>
      <c r="O172" s="42">
        <f t="shared" ca="1" si="1189"/>
        <v>0.79386299007203087</v>
      </c>
      <c r="P172" s="42">
        <f t="shared" ca="1" si="1190"/>
        <v>0.20613700992796907</v>
      </c>
      <c r="Q172" s="42">
        <f t="shared" ca="1" si="1191"/>
        <v>0.73451151627952582</v>
      </c>
      <c r="R172" s="42">
        <f t="shared" ca="1" si="1192"/>
        <v>0.26548848372047418</v>
      </c>
      <c r="S172" s="42">
        <f t="shared" ca="1" si="1193"/>
        <v>0.98162450344672281</v>
      </c>
      <c r="T172" s="42">
        <f t="shared" ca="1" si="1194"/>
        <v>73.621837758504213</v>
      </c>
      <c r="U172" s="42">
        <f t="shared" ca="1" si="1195"/>
        <v>0.98801719747153338</v>
      </c>
      <c r="V172" s="42">
        <f t="shared" ca="1" si="1196"/>
        <v>84.673073823310403</v>
      </c>
      <c r="W172" s="42">
        <f t="shared" ca="1" si="1197"/>
        <v>0.28506010121880404</v>
      </c>
      <c r="X172" s="42">
        <f t="shared" ca="1" si="1198"/>
        <v>2.0914958158726442</v>
      </c>
      <c r="Y172" s="42">
        <f t="shared" ca="1" si="1199"/>
        <v>-0.20366691084419372</v>
      </c>
      <c r="Z172" s="42">
        <f t="shared" ca="1" si="1200"/>
        <v>1.6994237788053181E-2</v>
      </c>
      <c r="AA172" s="42">
        <f t="shared" ca="1" si="1082"/>
        <v>-1.289172597952533E-2</v>
      </c>
      <c r="AB172" s="42">
        <f t="shared" ca="1" si="1201"/>
        <v>0.16435459376232356</v>
      </c>
      <c r="AC172" s="42">
        <f t="shared" ca="1" si="1202"/>
        <v>-9.062593784876867E-2</v>
      </c>
      <c r="AD172" s="42">
        <f t="shared" ca="1" si="1203"/>
        <v>-754.25209206367799</v>
      </c>
      <c r="AF172" s="36">
        <f t="shared" si="664"/>
        <v>80</v>
      </c>
      <c r="AG172" s="35">
        <f t="shared" si="1085"/>
        <v>0.28399999999999997</v>
      </c>
      <c r="AH172" s="197">
        <f t="shared" ca="1" si="1285"/>
        <v>169.23611111111677</v>
      </c>
      <c r="AI172" s="41">
        <f t="shared" ca="1" si="1086"/>
        <v>0.46366057838662128</v>
      </c>
      <c r="AJ172" s="40">
        <f t="shared" ca="1" si="1204"/>
        <v>6.8826190929852316E-2</v>
      </c>
      <c r="AK172" s="40">
        <f t="shared" ca="1" si="1205"/>
        <v>2.5189751902588361E-2</v>
      </c>
      <c r="AL172" s="40">
        <f t="shared" ca="1" si="1206"/>
        <v>0.19338305926412305</v>
      </c>
      <c r="AM172" s="42">
        <f t="shared" ca="1" si="1207"/>
        <v>0.48616431651354464</v>
      </c>
      <c r="AN172" s="42">
        <f t="shared" ca="1" si="1208"/>
        <v>0.29278125724942161</v>
      </c>
      <c r="AO172" s="42">
        <f t="shared" ca="1" si="1209"/>
        <v>0.68657466551284019</v>
      </c>
      <c r="AP172" s="42">
        <f t="shared" ca="1" si="1210"/>
        <v>0.31342533448715981</v>
      </c>
      <c r="AQ172" s="42">
        <f t="shared" ca="1" si="1211"/>
        <v>0.61515532232560788</v>
      </c>
      <c r="AR172" s="42">
        <f t="shared" ca="1" si="1212"/>
        <v>0.38484467767439212</v>
      </c>
      <c r="AS172" s="42">
        <f t="shared" ca="1" si="1213"/>
        <v>0.98162450344672281</v>
      </c>
      <c r="AT172" s="42">
        <f t="shared" ca="1" si="1214"/>
        <v>78.529960275737821</v>
      </c>
      <c r="AU172" s="42">
        <f t="shared" ca="1" si="1215"/>
        <v>0.98801719747153338</v>
      </c>
      <c r="AV172" s="42">
        <f t="shared" ca="1" si="1216"/>
        <v>84.673073823310403</v>
      </c>
      <c r="AW172" s="42">
        <f t="shared" ca="1" si="1217"/>
        <v>0.35447537320150874</v>
      </c>
      <c r="AX172" s="42">
        <f t="shared" ca="1" si="1218"/>
        <v>3.6831507649721011</v>
      </c>
      <c r="AY172" s="42">
        <f t="shared" ca="1" si="1219"/>
        <v>-0.3096696205965816</v>
      </c>
      <c r="AZ172" s="42">
        <f t="shared" ca="1" si="1220"/>
        <v>2.1132521725905979E-2</v>
      </c>
      <c r="BA172" s="42">
        <f t="shared" ca="1" si="1104"/>
        <v>-1.5726970491041783E-2</v>
      </c>
      <c r="BB172" s="42">
        <f t="shared" ca="1" si="1221"/>
        <v>0.20437674620961263</v>
      </c>
      <c r="BC172" s="42">
        <f t="shared" ca="1" si="1222"/>
        <v>-0.14012674539287304</v>
      </c>
      <c r="BD172" s="42">
        <f t="shared" ca="1" si="1223"/>
        <v>983.42461751394956</v>
      </c>
      <c r="BE172" s="40"/>
      <c r="BF172" s="36">
        <f t="shared" si="687"/>
        <v>90</v>
      </c>
      <c r="BG172" s="35">
        <f t="shared" si="1107"/>
        <v>0.28399999999999997</v>
      </c>
      <c r="BH172" s="197">
        <f t="shared" ca="1" si="1286"/>
        <v>169.23611111111677</v>
      </c>
      <c r="BI172" s="41">
        <f t="shared" ca="1" si="1108"/>
        <v>0.46366057838662128</v>
      </c>
      <c r="BJ172" s="40">
        <f t="shared" ca="1" si="1224"/>
        <v>-4.8956844726531112E-2</v>
      </c>
      <c r="BK172" s="40">
        <f t="shared" ca="1" si="1225"/>
        <v>2.5189751902588361E-2</v>
      </c>
      <c r="BL172" s="40">
        <f t="shared" ca="1" si="1226"/>
        <v>0.19338305926412305</v>
      </c>
      <c r="BM172" s="42">
        <f t="shared" ca="1" si="1227"/>
        <v>-0.12290162806599102</v>
      </c>
      <c r="BN172" s="42">
        <f t="shared" ca="1" si="1228"/>
        <v>-0.31628468733011406</v>
      </c>
      <c r="BO172" s="42">
        <f t="shared" ca="1" si="1229"/>
        <v>0.45109249819610481</v>
      </c>
      <c r="BP172" s="42">
        <f t="shared" ca="1" si="1230"/>
        <v>0.54890750180389514</v>
      </c>
      <c r="BQ172" s="42">
        <f t="shared" ca="1" si="1231"/>
        <v>0.37589321639658468</v>
      </c>
      <c r="BR172" s="42">
        <f t="shared" ca="1" si="1232"/>
        <v>0.62410678360341532</v>
      </c>
      <c r="BS172" s="42">
        <f t="shared" ca="1" si="1233"/>
        <v>0.98162450344672281</v>
      </c>
      <c r="BT172" s="42">
        <f t="shared" ca="1" si="1234"/>
        <v>88.34620531020505</v>
      </c>
      <c r="BU172" s="42">
        <f t="shared" ca="1" si="1235"/>
        <v>0.98801719747153338</v>
      </c>
      <c r="BV172" s="42">
        <f t="shared" ca="1" si="1236"/>
        <v>84.673073823310403</v>
      </c>
      <c r="BW172" s="42">
        <f t="shared" ca="1" si="1237"/>
        <v>0.39594065570230275</v>
      </c>
      <c r="BX172" s="42">
        <f t="shared" ca="1" si="1238"/>
        <v>4.9866491304142926</v>
      </c>
      <c r="BY172" s="42">
        <f t="shared" ca="1" si="1239"/>
        <v>0.44568714586814823</v>
      </c>
      <c r="BZ172" s="42">
        <f t="shared" ca="1" si="1240"/>
        <v>2.3604529796324818E-2</v>
      </c>
      <c r="CA172" s="42">
        <f t="shared" ca="1" si="1126"/>
        <v>-2.007304639612818E-2</v>
      </c>
      <c r="CB172" s="42">
        <f t="shared" ca="1" si="1241"/>
        <v>0.22828401920755137</v>
      </c>
      <c r="CC172" s="42">
        <f t="shared" ca="1" si="1242"/>
        <v>0.15397583257644043</v>
      </c>
      <c r="CD172" s="42">
        <f t="shared" ca="1" si="1243"/>
        <v>906.67543479285359</v>
      </c>
      <c r="CE172" s="40"/>
      <c r="CF172" s="36">
        <f t="shared" si="710"/>
        <v>95</v>
      </c>
      <c r="CG172" s="35">
        <f t="shared" si="1129"/>
        <v>0.28399999999999997</v>
      </c>
      <c r="CH172" s="197">
        <f t="shared" ca="1" si="1287"/>
        <v>169.23611111111677</v>
      </c>
      <c r="CI172" s="41">
        <f t="shared" ca="1" si="1130"/>
        <v>0.46366057838662128</v>
      </c>
      <c r="CJ172" s="40">
        <f t="shared" ca="1" si="1244"/>
        <v>-0.10302406599680684</v>
      </c>
      <c r="CK172" s="40">
        <f t="shared" ca="1" si="1245"/>
        <v>2.5189751902588361E-2</v>
      </c>
      <c r="CL172" s="40">
        <f t="shared" ca="1" si="1246"/>
        <v>0.19338305926412305</v>
      </c>
      <c r="CM172" s="42">
        <f t="shared" ca="1" si="1247"/>
        <v>-0.40248775870233899</v>
      </c>
      <c r="CN172" s="42">
        <f t="shared" ca="1" si="1248"/>
        <v>-0.59587081796646202</v>
      </c>
      <c r="CO172" s="42">
        <f t="shared" ca="1" si="1249"/>
        <v>0.34366254777707927</v>
      </c>
      <c r="CP172" s="42">
        <f t="shared" ca="1" si="1250"/>
        <v>0.65633745222292073</v>
      </c>
      <c r="CQ172" s="42">
        <f t="shared" ca="1" si="1251"/>
        <v>0.27563076474293607</v>
      </c>
      <c r="CR172" s="42">
        <f t="shared" ca="1" si="1252"/>
        <v>0.72436923525706387</v>
      </c>
      <c r="CS172" s="42">
        <f t="shared" ca="1" si="1253"/>
        <v>0.98162450344672281</v>
      </c>
      <c r="CT172" s="42">
        <f t="shared" ca="1" si="1254"/>
        <v>93.254327827438672</v>
      </c>
      <c r="CU172" s="42">
        <f t="shared" ca="1" si="1255"/>
        <v>0.98801719747153338</v>
      </c>
      <c r="CV172" s="42">
        <f t="shared" ca="1" si="1256"/>
        <v>84.673073823310403</v>
      </c>
      <c r="CW172" s="42">
        <f t="shared" ca="1" si="1257"/>
        <v>0.36790271721425888</v>
      </c>
      <c r="CX172" s="42">
        <f t="shared" ca="1" si="1258"/>
        <v>3.3952025835701889</v>
      </c>
      <c r="CY172" s="42">
        <f t="shared" ca="1" si="1259"/>
        <v>0.33954450733063679</v>
      </c>
      <c r="CZ172" s="42">
        <f t="shared" ca="1" si="1260"/>
        <v>2.1933010731694683E-2</v>
      </c>
      <c r="DA172" s="42">
        <f t="shared" ca="1" si="1148"/>
        <v>-1.8542150628180255E-2</v>
      </c>
      <c r="DB172" s="42">
        <f t="shared" ca="1" si="1261"/>
        <v>0.21211843177376885</v>
      </c>
      <c r="DC172" s="42">
        <f t="shared" ca="1" si="1262"/>
        <v>0.11917821014060433</v>
      </c>
      <c r="DD172" s="42">
        <f t="shared" ca="1" si="1263"/>
        <v>-877.3987082149057</v>
      </c>
      <c r="DE172" s="40"/>
      <c r="DF172" s="36">
        <f t="shared" si="733"/>
        <v>200</v>
      </c>
      <c r="DG172" s="35">
        <f t="shared" si="1151"/>
        <v>0.28399999999999997</v>
      </c>
      <c r="DH172" s="197">
        <f t="shared" ca="1" si="1288"/>
        <v>169.23611111111677</v>
      </c>
      <c r="DI172" s="41">
        <f t="shared" ca="1" si="1152"/>
        <v>0.46366057838662128</v>
      </c>
      <c r="DJ172" s="40">
        <f t="shared" ca="1" si="1264"/>
        <v>-0.84746454094430268</v>
      </c>
      <c r="DK172" s="40">
        <f t="shared" ca="1" si="1265"/>
        <v>2.5189751902588361E-2</v>
      </c>
      <c r="DL172" s="40">
        <f t="shared" ca="1" si="1266"/>
        <v>0.19338305926412305</v>
      </c>
      <c r="DM172" s="42">
        <f t="shared" ca="1" si="1267"/>
        <v>-4.2520518196924861</v>
      </c>
      <c r="DN172" s="42">
        <f t="shared" ca="1" si="1268"/>
        <v>-4.4454348789566094</v>
      </c>
      <c r="DO172" s="42">
        <f t="shared" ca="1" si="1269"/>
        <v>1.0591041466052758E-5</v>
      </c>
      <c r="DP172" s="42">
        <f t="shared" ca="1" si="1270"/>
        <v>0.99998940895853394</v>
      </c>
      <c r="DQ172" s="42">
        <f t="shared" ca="1" si="1271"/>
        <v>4.38571244363098E-6</v>
      </c>
      <c r="DR172" s="42">
        <f t="shared" ca="1" si="1272"/>
        <v>0.99999561428755634</v>
      </c>
      <c r="DS172" s="42">
        <f t="shared" ca="1" si="1273"/>
        <v>0.98162450344672281</v>
      </c>
      <c r="DT172" s="42">
        <f t="shared" ca="1" si="1274"/>
        <v>196.32490068934456</v>
      </c>
      <c r="DU172" s="42">
        <f t="shared" ca="1" si="1275"/>
        <v>0.98801719747153338</v>
      </c>
      <c r="DV172" s="42">
        <f t="shared" ca="1" si="1276"/>
        <v>84.673073823310403</v>
      </c>
      <c r="DW172" s="42">
        <f t="shared" ca="1" si="1277"/>
        <v>4.730422836373237E-5</v>
      </c>
      <c r="DX172" s="42">
        <f t="shared" si="1278"/>
        <v>0</v>
      </c>
      <c r="DY172" s="92">
        <f t="shared" ca="1" si="1279"/>
        <v>0</v>
      </c>
      <c r="DZ172" s="42">
        <f t="shared" ca="1" si="1280"/>
        <v>0</v>
      </c>
      <c r="EA172" s="42">
        <f t="shared" ca="1" si="1170"/>
        <v>0</v>
      </c>
      <c r="EB172" s="42">
        <f t="shared" ca="1" si="1281"/>
        <v>0</v>
      </c>
      <c r="EC172" s="42">
        <f t="shared" ca="1" si="1282"/>
        <v>0</v>
      </c>
      <c r="ED172" s="42">
        <f t="shared" ca="1" si="1283"/>
        <v>0</v>
      </c>
      <c r="EE172" s="40"/>
      <c r="EF172" s="120">
        <f t="shared" ca="1" si="756"/>
        <v>85.699999999999989</v>
      </c>
      <c r="EG172" s="42">
        <f t="shared" ca="1" si="1173"/>
        <v>258.44925202821958</v>
      </c>
      <c r="EH172" s="36">
        <f t="shared" ca="1" si="1174"/>
        <v>258.44925202821958</v>
      </c>
      <c r="EI172" s="143">
        <f t="shared" ca="1" si="1175"/>
        <v>258.44900000000001</v>
      </c>
      <c r="EJ172" s="143">
        <f t="shared" ca="1" si="1183"/>
        <v>0</v>
      </c>
      <c r="EK172" s="153">
        <f t="shared" ca="1" si="1176"/>
        <v>1</v>
      </c>
      <c r="EL172" s="143">
        <f t="shared" ca="1" si="1177"/>
        <v>0</v>
      </c>
    </row>
    <row r="173" spans="1:142" x14ac:dyDescent="0.3">
      <c r="A173" s="143">
        <f t="shared" ca="1" si="1178"/>
        <v>85.749999999999986</v>
      </c>
      <c r="B173" s="144">
        <f t="shared" ca="1" si="1179"/>
        <v>0.28399999999999997</v>
      </c>
      <c r="C173" s="145">
        <f t="shared" ca="1" si="1180"/>
        <v>45295.440972222219</v>
      </c>
      <c r="D173" s="144">
        <f t="shared" ca="1" si="1181"/>
        <v>2.5999999999999999E-2</v>
      </c>
      <c r="E173" s="144">
        <f t="shared" ca="1" si="1182"/>
        <v>0.04</v>
      </c>
      <c r="F173" s="36">
        <f t="shared" si="641"/>
        <v>75</v>
      </c>
      <c r="G173" s="35">
        <f t="shared" si="1063"/>
        <v>0.28399999999999997</v>
      </c>
      <c r="H173" s="197">
        <f t="shared" ca="1" si="1284"/>
        <v>169.23611111111677</v>
      </c>
      <c r="I173" s="41">
        <f t="shared" ca="1" si="1064"/>
        <v>0.46366057838662128</v>
      </c>
      <c r="J173" s="40">
        <f t="shared" ca="1" si="1184"/>
        <v>0.13394797250973864</v>
      </c>
      <c r="K173" s="40">
        <f t="shared" ca="1" si="1185"/>
        <v>2.5189751902588361E-2</v>
      </c>
      <c r="L173" s="40">
        <f t="shared" ca="1" si="1186"/>
        <v>0.19338305926412305</v>
      </c>
      <c r="M173" s="42">
        <f t="shared" ca="1" si="1187"/>
        <v>0.82291450459978654</v>
      </c>
      <c r="N173" s="42">
        <f t="shared" ca="1" si="1188"/>
        <v>0.62953144533566352</v>
      </c>
      <c r="O173" s="42">
        <f t="shared" ca="1" si="1189"/>
        <v>0.79472169311854479</v>
      </c>
      <c r="P173" s="42">
        <f t="shared" ca="1" si="1190"/>
        <v>0.20527830688145526</v>
      </c>
      <c r="Q173" s="42">
        <f t="shared" ca="1" si="1191"/>
        <v>0.73549940558219506</v>
      </c>
      <c r="R173" s="42">
        <f t="shared" ca="1" si="1192"/>
        <v>0.26450059441780494</v>
      </c>
      <c r="S173" s="42">
        <f t="shared" ca="1" si="1193"/>
        <v>0.98162450344672281</v>
      </c>
      <c r="T173" s="42">
        <f t="shared" ca="1" si="1194"/>
        <v>73.621837758504213</v>
      </c>
      <c r="U173" s="42">
        <f t="shared" ca="1" si="1195"/>
        <v>0.98801719747153338</v>
      </c>
      <c r="V173" s="42">
        <f t="shared" ca="1" si="1196"/>
        <v>84.722474683183975</v>
      </c>
      <c r="W173" s="42">
        <f t="shared" ca="1" si="1197"/>
        <v>0.28435475752361977</v>
      </c>
      <c r="X173" s="42">
        <f t="shared" ca="1" si="1198"/>
        <v>2.0813336914845948</v>
      </c>
      <c r="Y173" s="42">
        <f t="shared" ca="1" si="1199"/>
        <v>-0.20281849746671676</v>
      </c>
      <c r="Z173" s="42">
        <f t="shared" ca="1" si="1200"/>
        <v>1.6942303126166451E-2</v>
      </c>
      <c r="AA173" s="42">
        <f t="shared" ca="1" si="1082"/>
        <v>-1.2869142795281546E-2</v>
      </c>
      <c r="AB173" s="42">
        <f t="shared" ca="1" si="1201"/>
        <v>0.16404357218435903</v>
      </c>
      <c r="AC173" s="42">
        <f t="shared" ca="1" si="1202"/>
        <v>-9.0288716462399901E-2</v>
      </c>
      <c r="AD173" s="42">
        <f t="shared" ca="1" si="1203"/>
        <v>-759.33315425770263</v>
      </c>
      <c r="AF173" s="36">
        <f t="shared" si="664"/>
        <v>80</v>
      </c>
      <c r="AG173" s="35">
        <f t="shared" si="1085"/>
        <v>0.28399999999999997</v>
      </c>
      <c r="AH173" s="197">
        <f t="shared" ca="1" si="1285"/>
        <v>169.23611111111677</v>
      </c>
      <c r="AI173" s="41">
        <f t="shared" ca="1" si="1086"/>
        <v>0.46366057838662128</v>
      </c>
      <c r="AJ173" s="40">
        <f t="shared" ca="1" si="1204"/>
        <v>6.9409451372167599E-2</v>
      </c>
      <c r="AK173" s="40">
        <f t="shared" ca="1" si="1205"/>
        <v>2.5189751902588361E-2</v>
      </c>
      <c r="AL173" s="40">
        <f t="shared" ca="1" si="1206"/>
        <v>0.19338305926412305</v>
      </c>
      <c r="AM173" s="42">
        <f t="shared" ca="1" si="1207"/>
        <v>0.48918040512303684</v>
      </c>
      <c r="AN173" s="42">
        <f t="shared" ca="1" si="1208"/>
        <v>0.29579734585891382</v>
      </c>
      <c r="AO173" s="42">
        <f t="shared" ca="1" si="1209"/>
        <v>0.68764300957225921</v>
      </c>
      <c r="AP173" s="42">
        <f t="shared" ca="1" si="1210"/>
        <v>0.31235699042774079</v>
      </c>
      <c r="AQ173" s="42">
        <f t="shared" ca="1" si="1211"/>
        <v>0.61630757497692112</v>
      </c>
      <c r="AR173" s="42">
        <f t="shared" ca="1" si="1212"/>
        <v>0.38369242502307893</v>
      </c>
      <c r="AS173" s="42">
        <f t="shared" ca="1" si="1213"/>
        <v>0.98162450344672281</v>
      </c>
      <c r="AT173" s="42">
        <f t="shared" ca="1" si="1214"/>
        <v>78.529960275737821</v>
      </c>
      <c r="AU173" s="42">
        <f t="shared" ca="1" si="1215"/>
        <v>0.98801719747153338</v>
      </c>
      <c r="AV173" s="42">
        <f t="shared" ca="1" si="1216"/>
        <v>84.722474683183975</v>
      </c>
      <c r="AW173" s="42">
        <f t="shared" ca="1" si="1217"/>
        <v>0.3539543717268393</v>
      </c>
      <c r="AX173" s="42">
        <f t="shared" ca="1" si="1218"/>
        <v>3.667693681534093</v>
      </c>
      <c r="AY173" s="42">
        <f t="shared" ca="1" si="1219"/>
        <v>-0.30861407829305904</v>
      </c>
      <c r="AZ173" s="42">
        <f t="shared" ca="1" si="1220"/>
        <v>2.1089157469537996E-2</v>
      </c>
      <c r="BA173" s="42">
        <f t="shared" ca="1" si="1104"/>
        <v>-1.5716327930049987E-2</v>
      </c>
      <c r="BB173" s="42">
        <f t="shared" ca="1" si="1221"/>
        <v>0.20419542136029903</v>
      </c>
      <c r="BC173" s="42">
        <f t="shared" ca="1" si="1222"/>
        <v>-0.13970719583621935</v>
      </c>
      <c r="BD173" s="42">
        <f t="shared" ca="1" si="1223"/>
        <v>991.15315923295361</v>
      </c>
      <c r="BE173" s="40"/>
      <c r="BF173" s="36">
        <f t="shared" si="687"/>
        <v>90</v>
      </c>
      <c r="BG173" s="35">
        <f t="shared" si="1107"/>
        <v>0.28399999999999997</v>
      </c>
      <c r="BH173" s="197">
        <f t="shared" ca="1" si="1286"/>
        <v>169.23611111111677</v>
      </c>
      <c r="BI173" s="41">
        <f t="shared" ca="1" si="1108"/>
        <v>0.46366057838662128</v>
      </c>
      <c r="BJ173" s="40">
        <f t="shared" ca="1" si="1224"/>
        <v>-4.8373584284215947E-2</v>
      </c>
      <c r="BK173" s="40">
        <f t="shared" ca="1" si="1225"/>
        <v>2.5189751902588361E-2</v>
      </c>
      <c r="BL173" s="40">
        <f t="shared" ca="1" si="1226"/>
        <v>0.19338305926412305</v>
      </c>
      <c r="BM173" s="42">
        <f t="shared" ca="1" si="1227"/>
        <v>-0.11988553945649939</v>
      </c>
      <c r="BN173" s="42">
        <f t="shared" ca="1" si="1228"/>
        <v>-0.31326859872062246</v>
      </c>
      <c r="BO173" s="42">
        <f t="shared" ca="1" si="1229"/>
        <v>0.45228690984697828</v>
      </c>
      <c r="BP173" s="42">
        <f t="shared" ca="1" si="1230"/>
        <v>0.54771309015302172</v>
      </c>
      <c r="BQ173" s="42">
        <f t="shared" ca="1" si="1231"/>
        <v>0.3770383024469508</v>
      </c>
      <c r="BR173" s="42">
        <f t="shared" ca="1" si="1232"/>
        <v>0.6229616975530492</v>
      </c>
      <c r="BS173" s="42">
        <f t="shared" ca="1" si="1233"/>
        <v>0.98162450344672281</v>
      </c>
      <c r="BT173" s="42">
        <f t="shared" ca="1" si="1234"/>
        <v>88.34620531020505</v>
      </c>
      <c r="BU173" s="42">
        <f t="shared" ca="1" si="1235"/>
        <v>0.98801719747153338</v>
      </c>
      <c r="BV173" s="42">
        <f t="shared" ca="1" si="1236"/>
        <v>84.722474683183975</v>
      </c>
      <c r="BW173" s="42">
        <f t="shared" ca="1" si="1237"/>
        <v>0.3960856495031736</v>
      </c>
      <c r="BX173" s="42">
        <f t="shared" ca="1" si="1238"/>
        <v>5.0089629912566309</v>
      </c>
      <c r="BY173" s="42">
        <f t="shared" ca="1" si="1239"/>
        <v>0.44686724512007153</v>
      </c>
      <c r="BZ173" s="42">
        <f t="shared" ca="1" si="1240"/>
        <v>2.3599405180516012E-2</v>
      </c>
      <c r="CA173" s="42">
        <f t="shared" ca="1" si="1126"/>
        <v>-2.009353098612162E-2</v>
      </c>
      <c r="CB173" s="42">
        <f t="shared" ca="1" si="1241"/>
        <v>0.22850085365659989</v>
      </c>
      <c r="CC173" s="42">
        <f t="shared" ca="1" si="1242"/>
        <v>0.15444489019782293</v>
      </c>
      <c r="CD173" s="42">
        <f t="shared" ca="1" si="1243"/>
        <v>895.51850437168446</v>
      </c>
      <c r="CE173" s="40"/>
      <c r="CF173" s="36">
        <f t="shared" si="710"/>
        <v>95</v>
      </c>
      <c r="CG173" s="35">
        <f t="shared" si="1129"/>
        <v>0.28399999999999997</v>
      </c>
      <c r="CH173" s="197">
        <f t="shared" ca="1" si="1287"/>
        <v>169.23611111111677</v>
      </c>
      <c r="CI173" s="41">
        <f t="shared" ca="1" si="1130"/>
        <v>0.46366057838662128</v>
      </c>
      <c r="CJ173" s="40">
        <f t="shared" ca="1" si="1244"/>
        <v>-0.10244080555449175</v>
      </c>
      <c r="CK173" s="40">
        <f t="shared" ca="1" si="1245"/>
        <v>2.5189751902588361E-2</v>
      </c>
      <c r="CL173" s="40">
        <f t="shared" ca="1" si="1246"/>
        <v>0.19338305926412305</v>
      </c>
      <c r="CM173" s="42">
        <f t="shared" ca="1" si="1247"/>
        <v>-0.39947167009284779</v>
      </c>
      <c r="CN173" s="42">
        <f t="shared" ca="1" si="1248"/>
        <v>-0.59285472935697081</v>
      </c>
      <c r="CO173" s="42">
        <f t="shared" ca="1" si="1249"/>
        <v>0.34477284707033673</v>
      </c>
      <c r="CP173" s="42">
        <f t="shared" ca="1" si="1250"/>
        <v>0.65522715292966327</v>
      </c>
      <c r="CQ173" s="42">
        <f t="shared" ca="1" si="1251"/>
        <v>0.27663918852279312</v>
      </c>
      <c r="CR173" s="42">
        <f t="shared" ca="1" si="1252"/>
        <v>0.72336081147720688</v>
      </c>
      <c r="CS173" s="42">
        <f t="shared" ca="1" si="1253"/>
        <v>0.98162450344672281</v>
      </c>
      <c r="CT173" s="42">
        <f t="shared" ca="1" si="1254"/>
        <v>93.254327827438672</v>
      </c>
      <c r="CU173" s="42">
        <f t="shared" ca="1" si="1255"/>
        <v>0.98801719747153338</v>
      </c>
      <c r="CV173" s="42">
        <f t="shared" ca="1" si="1256"/>
        <v>84.722474683183975</v>
      </c>
      <c r="CW173" s="42">
        <f t="shared" ca="1" si="1257"/>
        <v>0.36834792437026859</v>
      </c>
      <c r="CX173" s="42">
        <f t="shared" ca="1" si="1258"/>
        <v>3.412207230944702</v>
      </c>
      <c r="CY173" s="42">
        <f t="shared" ca="1" si="1259"/>
        <v>0.34064150212671568</v>
      </c>
      <c r="CZ173" s="42">
        <f t="shared" ca="1" si="1260"/>
        <v>2.1946747945854037E-2</v>
      </c>
      <c r="DA173" s="42">
        <f t="shared" ca="1" si="1148"/>
        <v>-1.8576480745824554E-2</v>
      </c>
      <c r="DB173" s="42">
        <f t="shared" ca="1" si="1261"/>
        <v>0.21249902708370827</v>
      </c>
      <c r="DC173" s="42">
        <f t="shared" ca="1" si="1262"/>
        <v>0.11961423600026726</v>
      </c>
      <c r="DD173" s="42">
        <f t="shared" ca="1" si="1263"/>
        <v>-868.89638452764916</v>
      </c>
      <c r="DE173" s="40"/>
      <c r="DF173" s="36">
        <f t="shared" si="733"/>
        <v>200</v>
      </c>
      <c r="DG173" s="35">
        <f t="shared" si="1151"/>
        <v>0.28399999999999997</v>
      </c>
      <c r="DH173" s="197">
        <f t="shared" ca="1" si="1288"/>
        <v>169.23611111111677</v>
      </c>
      <c r="DI173" s="41">
        <f t="shared" ca="1" si="1152"/>
        <v>0.46366057838662128</v>
      </c>
      <c r="DJ173" s="40">
        <f t="shared" ca="1" si="1264"/>
        <v>-0.84688128050198763</v>
      </c>
      <c r="DK173" s="40">
        <f t="shared" ca="1" si="1265"/>
        <v>2.5189751902588361E-2</v>
      </c>
      <c r="DL173" s="40">
        <f t="shared" ca="1" si="1266"/>
        <v>0.19338305926412305</v>
      </c>
      <c r="DM173" s="42">
        <f t="shared" ca="1" si="1267"/>
        <v>-4.2490357310829951</v>
      </c>
      <c r="DN173" s="42">
        <f t="shared" ca="1" si="1268"/>
        <v>-4.4424187903471184</v>
      </c>
      <c r="DO173" s="42">
        <f t="shared" ca="1" si="1269"/>
        <v>1.0734633779840257E-5</v>
      </c>
      <c r="DP173" s="42">
        <f t="shared" ca="1" si="1270"/>
        <v>0.99998926536622013</v>
      </c>
      <c r="DQ173" s="42">
        <f t="shared" ca="1" si="1271"/>
        <v>4.4476605539750333E-6</v>
      </c>
      <c r="DR173" s="42">
        <f t="shared" ca="1" si="1272"/>
        <v>0.99999555233944604</v>
      </c>
      <c r="DS173" s="42">
        <f t="shared" ca="1" si="1273"/>
        <v>0.98162450344672281</v>
      </c>
      <c r="DT173" s="42">
        <f t="shared" ca="1" si="1274"/>
        <v>196.32490068934456</v>
      </c>
      <c r="DU173" s="42">
        <f t="shared" ca="1" si="1275"/>
        <v>0.98801719747153338</v>
      </c>
      <c r="DV173" s="42">
        <f t="shared" ca="1" si="1276"/>
        <v>84.722474683183975</v>
      </c>
      <c r="DW173" s="42">
        <f t="shared" ca="1" si="1277"/>
        <v>4.7914573316614698E-5</v>
      </c>
      <c r="DX173" s="42">
        <f t="shared" si="1278"/>
        <v>0</v>
      </c>
      <c r="DY173" s="92">
        <f t="shared" ca="1" si="1279"/>
        <v>0</v>
      </c>
      <c r="DZ173" s="42">
        <f t="shared" ca="1" si="1280"/>
        <v>0</v>
      </c>
      <c r="EA173" s="42">
        <f t="shared" ca="1" si="1170"/>
        <v>0</v>
      </c>
      <c r="EB173" s="42">
        <f t="shared" ca="1" si="1281"/>
        <v>0</v>
      </c>
      <c r="EC173" s="42">
        <f t="shared" ca="1" si="1282"/>
        <v>0</v>
      </c>
      <c r="ED173" s="42">
        <f t="shared" ca="1" si="1283"/>
        <v>0</v>
      </c>
      <c r="EE173" s="40"/>
      <c r="EF173" s="120">
        <f t="shared" ca="1" si="756"/>
        <v>85.749999999999986</v>
      </c>
      <c r="EG173" s="42">
        <f t="shared" ca="1" si="1173"/>
        <v>258.44212481928639</v>
      </c>
      <c r="EH173" s="36">
        <f t="shared" ca="1" si="1174"/>
        <v>258.44212481928639</v>
      </c>
      <c r="EI173" s="143">
        <f t="shared" ca="1" si="1175"/>
        <v>258.44200000000001</v>
      </c>
      <c r="EJ173" s="143">
        <f t="shared" ca="1" si="1183"/>
        <v>-7.0000000000050022E-3</v>
      </c>
      <c r="EK173" s="153">
        <f t="shared" ca="1" si="1176"/>
        <v>0</v>
      </c>
      <c r="EL173" s="143">
        <f t="shared" ca="1" si="1177"/>
        <v>0</v>
      </c>
    </row>
    <row r="174" spans="1:142" x14ac:dyDescent="0.3">
      <c r="A174" s="143">
        <f t="shared" ca="1" si="1178"/>
        <v>85.799999999999983</v>
      </c>
      <c r="B174" s="144">
        <f t="shared" ca="1" si="1179"/>
        <v>0.28399999999999997</v>
      </c>
      <c r="C174" s="145">
        <f t="shared" ca="1" si="1180"/>
        <v>45295.440972222219</v>
      </c>
      <c r="D174" s="144">
        <f t="shared" ca="1" si="1181"/>
        <v>2.5999999999999999E-2</v>
      </c>
      <c r="E174" s="144">
        <f t="shared" ca="1" si="1182"/>
        <v>0.04</v>
      </c>
      <c r="F174" s="36">
        <f t="shared" si="641"/>
        <v>75</v>
      </c>
      <c r="G174" s="35">
        <f t="shared" si="1063"/>
        <v>0.28399999999999997</v>
      </c>
      <c r="H174" s="197">
        <f t="shared" ca="1" si="1284"/>
        <v>169.23611111111677</v>
      </c>
      <c r="I174" s="41">
        <f t="shared" ca="1" si="1064"/>
        <v>0.46366057838662128</v>
      </c>
      <c r="J174" s="40">
        <f t="shared" ca="1" si="1184"/>
        <v>0.13453089295760587</v>
      </c>
      <c r="K174" s="40">
        <f t="shared" ca="1" si="1185"/>
        <v>2.5189751902588361E-2</v>
      </c>
      <c r="L174" s="40">
        <f t="shared" ca="1" si="1186"/>
        <v>0.19338305926412305</v>
      </c>
      <c r="M174" s="42">
        <f t="shared" ca="1" si="1187"/>
        <v>0.8259288350695051</v>
      </c>
      <c r="N174" s="42">
        <f t="shared" ca="1" si="1188"/>
        <v>0.63254577580538207</v>
      </c>
      <c r="O174" s="42">
        <f t="shared" ca="1" si="1189"/>
        <v>0.7955777688287633</v>
      </c>
      <c r="P174" s="42">
        <f t="shared" ca="1" si="1190"/>
        <v>0.20442223117123665</v>
      </c>
      <c r="Q174" s="42">
        <f t="shared" ca="1" si="1191"/>
        <v>0.73648484671651726</v>
      </c>
      <c r="R174" s="42">
        <f t="shared" ca="1" si="1192"/>
        <v>0.26351515328348279</v>
      </c>
      <c r="S174" s="42">
        <f t="shared" ca="1" si="1193"/>
        <v>0.98162450344672281</v>
      </c>
      <c r="T174" s="42">
        <f t="shared" ca="1" si="1194"/>
        <v>73.621837758504213</v>
      </c>
      <c r="U174" s="42">
        <f t="shared" ca="1" si="1195"/>
        <v>0.98801719747153338</v>
      </c>
      <c r="V174" s="42">
        <f t="shared" ca="1" si="1196"/>
        <v>84.771875543057547</v>
      </c>
      <c r="W174" s="42">
        <f t="shared" ca="1" si="1197"/>
        <v>0.2836489906914908</v>
      </c>
      <c r="X174" s="42">
        <f t="shared" ca="1" si="1198"/>
        <v>2.0712139228617268</v>
      </c>
      <c r="Y174" s="42">
        <f t="shared" ca="1" si="1199"/>
        <v>-0.20197267994268323</v>
      </c>
      <c r="Z174" s="42">
        <f t="shared" ca="1" si="1200"/>
        <v>1.6890403797716658E-2</v>
      </c>
      <c r="AA174" s="42">
        <f t="shared" ca="1" si="1082"/>
        <v>-1.2846489370304914E-2</v>
      </c>
      <c r="AB174" s="42">
        <f t="shared" ca="1" si="1201"/>
        <v>0.16373183182551468</v>
      </c>
      <c r="AC174" s="42">
        <f t="shared" ca="1" si="1202"/>
        <v>-8.9952330771611411E-2</v>
      </c>
      <c r="AD174" s="42">
        <f t="shared" ca="1" si="1203"/>
        <v>-764.39303856913671</v>
      </c>
      <c r="AF174" s="36">
        <f t="shared" si="664"/>
        <v>80</v>
      </c>
      <c r="AG174" s="35">
        <f t="shared" si="1085"/>
        <v>0.28399999999999997</v>
      </c>
      <c r="AH174" s="197">
        <f t="shared" ca="1" si="1285"/>
        <v>169.23611111111677</v>
      </c>
      <c r="AI174" s="41">
        <f t="shared" ca="1" si="1086"/>
        <v>0.46366057838662128</v>
      </c>
      <c r="AJ174" s="40">
        <f t="shared" ca="1" si="1204"/>
        <v>6.9992371820034788E-2</v>
      </c>
      <c r="AK174" s="40">
        <f t="shared" ca="1" si="1205"/>
        <v>2.5189751902588361E-2</v>
      </c>
      <c r="AL174" s="40">
        <f t="shared" ca="1" si="1206"/>
        <v>0.19338305926412305</v>
      </c>
      <c r="AM174" s="42">
        <f t="shared" ca="1" si="1207"/>
        <v>0.49219473559275517</v>
      </c>
      <c r="AN174" s="42">
        <f t="shared" ca="1" si="1208"/>
        <v>0.29881167632863215</v>
      </c>
      <c r="AO174" s="42">
        <f t="shared" ca="1" si="1209"/>
        <v>0.68870915716682235</v>
      </c>
      <c r="AP174" s="42">
        <f t="shared" ca="1" si="1210"/>
        <v>0.31129084283317765</v>
      </c>
      <c r="AQ174" s="42">
        <f t="shared" ca="1" si="1211"/>
        <v>0.61745812933254962</v>
      </c>
      <c r="AR174" s="42">
        <f t="shared" ca="1" si="1212"/>
        <v>0.38254187066745038</v>
      </c>
      <c r="AS174" s="42">
        <f t="shared" ca="1" si="1213"/>
        <v>0.98162450344672281</v>
      </c>
      <c r="AT174" s="42">
        <f t="shared" ca="1" si="1214"/>
        <v>78.529960275737821</v>
      </c>
      <c r="AU174" s="42">
        <f t="shared" ca="1" si="1215"/>
        <v>0.98801719747153338</v>
      </c>
      <c r="AV174" s="42">
        <f t="shared" ca="1" si="1216"/>
        <v>84.771875543057547</v>
      </c>
      <c r="AW174" s="42">
        <f t="shared" ca="1" si="1217"/>
        <v>0.3534312267501365</v>
      </c>
      <c r="AX174" s="42">
        <f t="shared" ca="1" si="1218"/>
        <v>3.65228932097369</v>
      </c>
      <c r="AY174" s="42">
        <f t="shared" ca="1" si="1219"/>
        <v>-0.30756070613458775</v>
      </c>
      <c r="AZ174" s="42">
        <f t="shared" ca="1" si="1220"/>
        <v>2.1045716115468079E-2</v>
      </c>
      <c r="BA174" s="42">
        <f t="shared" ca="1" si="1104"/>
        <v>-1.5705543270122743E-2</v>
      </c>
      <c r="BB174" s="42">
        <f t="shared" ca="1" si="1221"/>
        <v>0.20401250869627957</v>
      </c>
      <c r="BC174" s="42">
        <f t="shared" ca="1" si="1222"/>
        <v>-0.13928826465019881</v>
      </c>
      <c r="BD174" s="42">
        <f t="shared" ca="1" si="1223"/>
        <v>998.85533951315517</v>
      </c>
      <c r="BE174" s="40"/>
      <c r="BF174" s="36">
        <f t="shared" si="687"/>
        <v>90</v>
      </c>
      <c r="BG174" s="35">
        <f t="shared" si="1107"/>
        <v>0.28399999999999997</v>
      </c>
      <c r="BH174" s="197">
        <f t="shared" ca="1" si="1286"/>
        <v>169.23611111111677</v>
      </c>
      <c r="BI174" s="41">
        <f t="shared" ca="1" si="1108"/>
        <v>0.46366057838662128</v>
      </c>
      <c r="BJ174" s="40">
        <f t="shared" ca="1" si="1224"/>
        <v>-4.7790663836348668E-2</v>
      </c>
      <c r="BK174" s="40">
        <f t="shared" ca="1" si="1225"/>
        <v>2.5189751902588361E-2</v>
      </c>
      <c r="BL174" s="40">
        <f t="shared" ca="1" si="1226"/>
        <v>0.19338305926412305</v>
      </c>
      <c r="BM174" s="42">
        <f t="shared" ca="1" si="1227"/>
        <v>-0.11687120898678062</v>
      </c>
      <c r="BN174" s="42">
        <f t="shared" ca="1" si="1228"/>
        <v>-0.31025426825090369</v>
      </c>
      <c r="BO174" s="42">
        <f t="shared" ca="1" si="1229"/>
        <v>0.45348105683490325</v>
      </c>
      <c r="BP174" s="42">
        <f t="shared" ca="1" si="1230"/>
        <v>0.54651894316509675</v>
      </c>
      <c r="BQ174" s="42">
        <f t="shared" ca="1" si="1231"/>
        <v>0.37818380249904354</v>
      </c>
      <c r="BR174" s="42">
        <f t="shared" ca="1" si="1232"/>
        <v>0.6218161975009564</v>
      </c>
      <c r="BS174" s="42">
        <f t="shared" ca="1" si="1233"/>
        <v>0.98162450344672281</v>
      </c>
      <c r="BT174" s="42">
        <f t="shared" ca="1" si="1234"/>
        <v>88.34620531020505</v>
      </c>
      <c r="BU174" s="42">
        <f t="shared" ca="1" si="1235"/>
        <v>0.98801719747153338</v>
      </c>
      <c r="BV174" s="42">
        <f t="shared" ca="1" si="1236"/>
        <v>84.771875543057547</v>
      </c>
      <c r="BW174" s="42">
        <f t="shared" ca="1" si="1237"/>
        <v>0.3962270105751497</v>
      </c>
      <c r="BX174" s="42">
        <f t="shared" ca="1" si="1238"/>
        <v>5.0313358505680839</v>
      </c>
      <c r="BY174" s="42">
        <f t="shared" ca="1" si="1239"/>
        <v>0.44804708288045025</v>
      </c>
      <c r="BZ174" s="42">
        <f t="shared" ca="1" si="1240"/>
        <v>2.3594070219891652E-2</v>
      </c>
      <c r="CA174" s="42">
        <f t="shared" ca="1" si="1126"/>
        <v>-2.0113845014888998E-2</v>
      </c>
      <c r="CB174" s="42">
        <f t="shared" ca="1" si="1241"/>
        <v>0.2287156887181655</v>
      </c>
      <c r="CC174" s="42">
        <f t="shared" ca="1" si="1242"/>
        <v>0.15491411740529465</v>
      </c>
      <c r="CD174" s="42">
        <f t="shared" ca="1" si="1243"/>
        <v>884.33207471595802</v>
      </c>
      <c r="CE174" s="40"/>
      <c r="CF174" s="36">
        <f t="shared" si="710"/>
        <v>95</v>
      </c>
      <c r="CG174" s="35">
        <f t="shared" si="1129"/>
        <v>0.28399999999999997</v>
      </c>
      <c r="CH174" s="197">
        <f t="shared" ca="1" si="1287"/>
        <v>169.23611111111677</v>
      </c>
      <c r="CI174" s="41">
        <f t="shared" ca="1" si="1130"/>
        <v>0.46366057838662128</v>
      </c>
      <c r="CJ174" s="40">
        <f t="shared" ca="1" si="1244"/>
        <v>-0.10185788510662443</v>
      </c>
      <c r="CK174" s="40">
        <f t="shared" ca="1" si="1245"/>
        <v>2.5189751902588361E-2</v>
      </c>
      <c r="CL174" s="40">
        <f t="shared" ca="1" si="1246"/>
        <v>0.19338305926412305</v>
      </c>
      <c r="CM174" s="42">
        <f t="shared" ca="1" si="1247"/>
        <v>-0.39645733962312873</v>
      </c>
      <c r="CN174" s="42">
        <f t="shared" ca="1" si="1248"/>
        <v>-0.58984039888725182</v>
      </c>
      <c r="CO174" s="42">
        <f t="shared" ca="1" si="1249"/>
        <v>0.34588383651925703</v>
      </c>
      <c r="CP174" s="42">
        <f t="shared" ca="1" si="1250"/>
        <v>0.65411616348074297</v>
      </c>
      <c r="CQ174" s="42">
        <f t="shared" ca="1" si="1251"/>
        <v>0.27764882767188614</v>
      </c>
      <c r="CR174" s="42">
        <f t="shared" ca="1" si="1252"/>
        <v>0.72235117232811386</v>
      </c>
      <c r="CS174" s="42">
        <f t="shared" ca="1" si="1253"/>
        <v>0.98162450344672281</v>
      </c>
      <c r="CT174" s="42">
        <f t="shared" ca="1" si="1254"/>
        <v>93.254327827438672</v>
      </c>
      <c r="CU174" s="42">
        <f t="shared" ca="1" si="1255"/>
        <v>0.98801719747153338</v>
      </c>
      <c r="CV174" s="42">
        <f t="shared" ca="1" si="1256"/>
        <v>84.771875543057547</v>
      </c>
      <c r="CW174" s="42">
        <f t="shared" ca="1" si="1257"/>
        <v>0.36879005840143436</v>
      </c>
      <c r="CX174" s="42">
        <f t="shared" ca="1" si="1258"/>
        <v>3.429266745147622</v>
      </c>
      <c r="CY174" s="42">
        <f t="shared" ca="1" si="1259"/>
        <v>0.34173917880845833</v>
      </c>
      <c r="CZ174" s="42">
        <f t="shared" ca="1" si="1260"/>
        <v>2.1960286154371289E-2</v>
      </c>
      <c r="DA174" s="42">
        <f t="shared" ca="1" si="1148"/>
        <v>-1.8610687591435943E-2</v>
      </c>
      <c r="DB174" s="42">
        <f t="shared" ca="1" si="1261"/>
        <v>0.21287814800222665</v>
      </c>
      <c r="DC174" s="42">
        <f t="shared" ca="1" si="1262"/>
        <v>0.12005078736560199</v>
      </c>
      <c r="DD174" s="42">
        <f t="shared" ca="1" si="1263"/>
        <v>-860.36662742618921</v>
      </c>
      <c r="DE174" s="40"/>
      <c r="DF174" s="36">
        <f t="shared" si="733"/>
        <v>200</v>
      </c>
      <c r="DG174" s="35">
        <f t="shared" si="1151"/>
        <v>0.28399999999999997</v>
      </c>
      <c r="DH174" s="197">
        <f t="shared" ca="1" si="1288"/>
        <v>169.23611111111677</v>
      </c>
      <c r="DI174" s="41">
        <f t="shared" ca="1" si="1152"/>
        <v>0.46366057838662128</v>
      </c>
      <c r="DJ174" s="40">
        <f t="shared" ca="1" si="1264"/>
        <v>-0.84629836005412018</v>
      </c>
      <c r="DK174" s="40">
        <f t="shared" ca="1" si="1265"/>
        <v>2.5189751902588361E-2</v>
      </c>
      <c r="DL174" s="40">
        <f t="shared" ca="1" si="1266"/>
        <v>0.19338305926412305</v>
      </c>
      <c r="DM174" s="42">
        <f t="shared" ca="1" si="1267"/>
        <v>-4.2460214006132757</v>
      </c>
      <c r="DN174" s="42">
        <f t="shared" ca="1" si="1268"/>
        <v>-4.439404459877399</v>
      </c>
      <c r="DO174" s="42">
        <f t="shared" ca="1" si="1269"/>
        <v>1.0879992810679544E-5</v>
      </c>
      <c r="DP174" s="42">
        <f t="shared" ca="1" si="1270"/>
        <v>0.99998912000718931</v>
      </c>
      <c r="DQ174" s="42">
        <f t="shared" ca="1" si="1271"/>
        <v>4.5104074317799636E-6</v>
      </c>
      <c r="DR174" s="42">
        <f t="shared" ca="1" si="1272"/>
        <v>0.99999548959256823</v>
      </c>
      <c r="DS174" s="42">
        <f t="shared" ca="1" si="1273"/>
        <v>0.98162450344672281</v>
      </c>
      <c r="DT174" s="42">
        <f t="shared" ca="1" si="1274"/>
        <v>196.32490068934456</v>
      </c>
      <c r="DU174" s="42">
        <f t="shared" ca="1" si="1275"/>
        <v>0.98801719747153338</v>
      </c>
      <c r="DV174" s="42">
        <f t="shared" ca="1" si="1276"/>
        <v>84.771875543057547</v>
      </c>
      <c r="DW174" s="42">
        <f t="shared" ca="1" si="1277"/>
        <v>4.8531989484913093E-5</v>
      </c>
      <c r="DX174" s="42">
        <f t="shared" si="1278"/>
        <v>0</v>
      </c>
      <c r="DY174" s="92">
        <f t="shared" ca="1" si="1279"/>
        <v>0</v>
      </c>
      <c r="DZ174" s="42">
        <f t="shared" ca="1" si="1280"/>
        <v>0</v>
      </c>
      <c r="EA174" s="42">
        <f t="shared" ca="1" si="1170"/>
        <v>0</v>
      </c>
      <c r="EB174" s="42">
        <f t="shared" ca="1" si="1281"/>
        <v>0</v>
      </c>
      <c r="EC174" s="42">
        <f t="shared" ca="1" si="1282"/>
        <v>0</v>
      </c>
      <c r="ED174" s="42">
        <f t="shared" ca="1" si="1283"/>
        <v>0</v>
      </c>
      <c r="EE174" s="40"/>
      <c r="EF174" s="120">
        <f t="shared" ca="1" si="756"/>
        <v>85.799999999999983</v>
      </c>
      <c r="EG174" s="42">
        <f t="shared" ca="1" si="1173"/>
        <v>258.42774823378738</v>
      </c>
      <c r="EH174" s="36">
        <f t="shared" ca="1" si="1174"/>
        <v>258.42774823378738</v>
      </c>
      <c r="EI174" s="143">
        <f t="shared" ca="1" si="1175"/>
        <v>258.428</v>
      </c>
      <c r="EJ174" s="143">
        <f t="shared" ca="1" si="1183"/>
        <v>-1.4000000000010004E-2</v>
      </c>
      <c r="EK174" s="153">
        <f t="shared" ca="1" si="1176"/>
        <v>0</v>
      </c>
      <c r="EL174" s="143">
        <f t="shared" ca="1" si="1177"/>
        <v>0</v>
      </c>
    </row>
    <row r="175" spans="1:142" x14ac:dyDescent="0.3">
      <c r="A175" s="143">
        <f t="shared" ca="1" si="1178"/>
        <v>85.84999999999998</v>
      </c>
      <c r="B175" s="144">
        <f t="shared" ca="1" si="1179"/>
        <v>0.28399999999999997</v>
      </c>
      <c r="C175" s="145">
        <f t="shared" ca="1" si="1180"/>
        <v>45295.440972222219</v>
      </c>
      <c r="D175" s="144">
        <f t="shared" ca="1" si="1181"/>
        <v>2.5999999999999999E-2</v>
      </c>
      <c r="E175" s="144">
        <f t="shared" ca="1" si="1182"/>
        <v>0.04</v>
      </c>
      <c r="F175" s="36">
        <f t="shared" si="641"/>
        <v>75</v>
      </c>
      <c r="G175" s="35">
        <f t="shared" si="1063"/>
        <v>0.28399999999999997</v>
      </c>
      <c r="H175" s="197">
        <f t="shared" ca="1" si="1284"/>
        <v>169.23611111111677</v>
      </c>
      <c r="I175" s="41">
        <f t="shared" ca="1" si="1064"/>
        <v>0.46366057838662128</v>
      </c>
      <c r="J175" s="40">
        <f t="shared" ca="1" si="1184"/>
        <v>0.13511347380717395</v>
      </c>
      <c r="K175" s="40">
        <f t="shared" ca="1" si="1185"/>
        <v>2.5189751902588361E-2</v>
      </c>
      <c r="L175" s="40">
        <f t="shared" ca="1" si="1186"/>
        <v>0.19338305926412305</v>
      </c>
      <c r="M175" s="42">
        <f t="shared" ca="1" si="1187"/>
        <v>0.82894140944796912</v>
      </c>
      <c r="N175" s="42">
        <f t="shared" ca="1" si="1188"/>
        <v>0.6355583501838461</v>
      </c>
      <c r="O175" s="42">
        <f t="shared" ca="1" si="1189"/>
        <v>0.7964312190131102</v>
      </c>
      <c r="P175" s="42">
        <f t="shared" ca="1" si="1190"/>
        <v>0.20356878098688982</v>
      </c>
      <c r="Q175" s="42">
        <f t="shared" ca="1" si="1191"/>
        <v>0.73746783824178586</v>
      </c>
      <c r="R175" s="42">
        <f t="shared" ca="1" si="1192"/>
        <v>0.26253216175821414</v>
      </c>
      <c r="S175" s="42">
        <f t="shared" ca="1" si="1193"/>
        <v>0.98162450344672281</v>
      </c>
      <c r="T175" s="42">
        <f t="shared" ca="1" si="1194"/>
        <v>73.621837758504213</v>
      </c>
      <c r="U175" s="42">
        <f t="shared" ca="1" si="1195"/>
        <v>0.98801719747153338</v>
      </c>
      <c r="V175" s="42">
        <f t="shared" ca="1" si="1196"/>
        <v>84.821276402931119</v>
      </c>
      <c r="W175" s="42">
        <f t="shared" ca="1" si="1197"/>
        <v>0.28294281656794401</v>
      </c>
      <c r="X175" s="42">
        <f t="shared" ca="1" si="1198"/>
        <v>2.0611363802558955</v>
      </c>
      <c r="Y175" s="42">
        <f t="shared" ca="1" si="1199"/>
        <v>-0.20112945648336322</v>
      </c>
      <c r="Z175" s="42">
        <f t="shared" ca="1" si="1200"/>
        <v>1.6838540683969706E-2</v>
      </c>
      <c r="AA175" s="42">
        <f t="shared" ca="1" si="1082"/>
        <v>-1.2823766441844558E-2</v>
      </c>
      <c r="AB175" s="42">
        <f t="shared" ca="1" si="1201"/>
        <v>0.16341938141068826</v>
      </c>
      <c r="AC175" s="42">
        <f t="shared" ca="1" si="1202"/>
        <v>-8.9616781268196194E-2</v>
      </c>
      <c r="AD175" s="42">
        <f t="shared" ca="1" si="1203"/>
        <v>-769.43180987205233</v>
      </c>
      <c r="AF175" s="36">
        <f t="shared" si="664"/>
        <v>80</v>
      </c>
      <c r="AG175" s="35">
        <f t="shared" si="1085"/>
        <v>0.28399999999999997</v>
      </c>
      <c r="AH175" s="197">
        <f t="shared" ca="1" si="1285"/>
        <v>169.23611111111677</v>
      </c>
      <c r="AI175" s="41">
        <f t="shared" ca="1" si="1086"/>
        <v>0.46366057838662128</v>
      </c>
      <c r="AJ175" s="40">
        <f t="shared" ca="1" si="1204"/>
        <v>7.0574952669602606E-2</v>
      </c>
      <c r="AK175" s="40">
        <f t="shared" ca="1" si="1205"/>
        <v>2.5189751902588361E-2</v>
      </c>
      <c r="AL175" s="40">
        <f t="shared" ca="1" si="1206"/>
        <v>0.19338305926412305</v>
      </c>
      <c r="AM175" s="42">
        <f t="shared" ca="1" si="1207"/>
        <v>0.49520730997121781</v>
      </c>
      <c r="AN175" s="42">
        <f t="shared" ca="1" si="1208"/>
        <v>0.30182425070709473</v>
      </c>
      <c r="AO175" s="42">
        <f t="shared" ca="1" si="1209"/>
        <v>0.68977310442395401</v>
      </c>
      <c r="AP175" s="42">
        <f t="shared" ca="1" si="1210"/>
        <v>0.31022689557604599</v>
      </c>
      <c r="AQ175" s="42">
        <f t="shared" ca="1" si="1211"/>
        <v>0.61860697844743195</v>
      </c>
      <c r="AR175" s="42">
        <f t="shared" ca="1" si="1212"/>
        <v>0.3813930215525681</v>
      </c>
      <c r="AS175" s="42">
        <f t="shared" ca="1" si="1213"/>
        <v>0.98162450344672281</v>
      </c>
      <c r="AT175" s="42">
        <f t="shared" ca="1" si="1214"/>
        <v>78.529960275737821</v>
      </c>
      <c r="AU175" s="42">
        <f t="shared" ca="1" si="1215"/>
        <v>0.98801719747153338</v>
      </c>
      <c r="AV175" s="42">
        <f t="shared" ca="1" si="1216"/>
        <v>84.821276402931119</v>
      </c>
      <c r="AW175" s="42">
        <f t="shared" ca="1" si="1217"/>
        <v>0.35290595529836766</v>
      </c>
      <c r="AX175" s="42">
        <f t="shared" ca="1" si="1218"/>
        <v>3.6369375746877424</v>
      </c>
      <c r="AY175" s="42">
        <f t="shared" ca="1" si="1219"/>
        <v>-0.306509507947339</v>
      </c>
      <c r="AZ175" s="42">
        <f t="shared" ca="1" si="1220"/>
        <v>2.100219881171567E-2</v>
      </c>
      <c r="BA175" s="42">
        <f t="shared" ca="1" si="1104"/>
        <v>-1.569461714173628E-2</v>
      </c>
      <c r="BB175" s="42">
        <f t="shared" ca="1" si="1221"/>
        <v>0.20382801588871005</v>
      </c>
      <c r="BC175" s="42">
        <f t="shared" ca="1" si="1222"/>
        <v>-0.13886995436359498</v>
      </c>
      <c r="BD175" s="42">
        <f t="shared" ca="1" si="1223"/>
        <v>1006.531212656129</v>
      </c>
      <c r="BE175" s="40"/>
      <c r="BF175" s="36">
        <f t="shared" si="687"/>
        <v>90</v>
      </c>
      <c r="BG175" s="35">
        <f t="shared" si="1107"/>
        <v>0.28399999999999997</v>
      </c>
      <c r="BH175" s="197">
        <f t="shared" ca="1" si="1286"/>
        <v>169.23611111111677</v>
      </c>
      <c r="BI175" s="41">
        <f t="shared" ca="1" si="1108"/>
        <v>0.46366057838662128</v>
      </c>
      <c r="BJ175" s="40">
        <f t="shared" ca="1" si="1224"/>
        <v>-4.7208082986780753E-2</v>
      </c>
      <c r="BK175" s="40">
        <f t="shared" ca="1" si="1225"/>
        <v>2.5189751902588361E-2</v>
      </c>
      <c r="BL175" s="40">
        <f t="shared" ca="1" si="1226"/>
        <v>0.19338305926412305</v>
      </c>
      <c r="BM175" s="42">
        <f t="shared" ca="1" si="1227"/>
        <v>-0.11385863460831748</v>
      </c>
      <c r="BN175" s="42">
        <f t="shared" ca="1" si="1228"/>
        <v>-0.30724169387244055</v>
      </c>
      <c r="BO175" s="42">
        <f t="shared" ca="1" si="1229"/>
        <v>0.45467492852808045</v>
      </c>
      <c r="BP175" s="42">
        <f t="shared" ca="1" si="1230"/>
        <v>0.54532507147191955</v>
      </c>
      <c r="BQ175" s="42">
        <f t="shared" ca="1" si="1231"/>
        <v>0.37932970605225075</v>
      </c>
      <c r="BR175" s="42">
        <f t="shared" ca="1" si="1232"/>
        <v>0.62067029394774931</v>
      </c>
      <c r="BS175" s="42">
        <f t="shared" ca="1" si="1233"/>
        <v>0.98162450344672281</v>
      </c>
      <c r="BT175" s="42">
        <f t="shared" ca="1" si="1234"/>
        <v>88.34620531020505</v>
      </c>
      <c r="BU175" s="42">
        <f t="shared" ca="1" si="1235"/>
        <v>0.98801719747153338</v>
      </c>
      <c r="BV175" s="42">
        <f t="shared" ca="1" si="1236"/>
        <v>84.821276402931119</v>
      </c>
      <c r="BW175" s="42">
        <f t="shared" ca="1" si="1237"/>
        <v>0.39636474138550348</v>
      </c>
      <c r="BX175" s="42">
        <f t="shared" ca="1" si="1238"/>
        <v>5.0537676950113877</v>
      </c>
      <c r="BY175" s="42">
        <f t="shared" ca="1" si="1239"/>
        <v>0.44922664864488376</v>
      </c>
      <c r="BZ175" s="42">
        <f t="shared" ca="1" si="1240"/>
        <v>2.3588525428805972E-2</v>
      </c>
      <c r="CA175" s="42">
        <f t="shared" ca="1" si="1126"/>
        <v>-2.013398825976797E-2</v>
      </c>
      <c r="CB175" s="42">
        <f t="shared" ca="1" si="1241"/>
        <v>0.2289285221513023</v>
      </c>
      <c r="CC175" s="42">
        <f t="shared" ca="1" si="1242"/>
        <v>0.15538350989752636</v>
      </c>
      <c r="CD175" s="42">
        <f t="shared" ca="1" si="1243"/>
        <v>873.11615249430611</v>
      </c>
      <c r="CE175" s="40"/>
      <c r="CF175" s="36">
        <f t="shared" si="710"/>
        <v>95</v>
      </c>
      <c r="CG175" s="35">
        <f t="shared" si="1129"/>
        <v>0.28399999999999997</v>
      </c>
      <c r="CH175" s="197">
        <f t="shared" ca="1" si="1287"/>
        <v>169.23611111111677</v>
      </c>
      <c r="CI175" s="41">
        <f t="shared" ca="1" si="1130"/>
        <v>0.46366057838662128</v>
      </c>
      <c r="CJ175" s="40">
        <f t="shared" ca="1" si="1244"/>
        <v>-0.10127530425705658</v>
      </c>
      <c r="CK175" s="40">
        <f t="shared" ca="1" si="1245"/>
        <v>2.5189751902588361E-2</v>
      </c>
      <c r="CL175" s="40">
        <f t="shared" ca="1" si="1246"/>
        <v>0.19338305926412305</v>
      </c>
      <c r="CM175" s="42">
        <f t="shared" ca="1" si="1247"/>
        <v>-0.39344476524466598</v>
      </c>
      <c r="CN175" s="42">
        <f t="shared" ca="1" si="1248"/>
        <v>-0.58682782450878901</v>
      </c>
      <c r="CO175" s="42">
        <f t="shared" ca="1" si="1249"/>
        <v>0.34699550605233853</v>
      </c>
      <c r="CP175" s="42">
        <f t="shared" ca="1" si="1250"/>
        <v>0.65300449394766147</v>
      </c>
      <c r="CQ175" s="42">
        <f t="shared" ca="1" si="1251"/>
        <v>0.27865967376336448</v>
      </c>
      <c r="CR175" s="42">
        <f t="shared" ca="1" si="1252"/>
        <v>0.72134032623663558</v>
      </c>
      <c r="CS175" s="42">
        <f t="shared" ca="1" si="1253"/>
        <v>0.98162450344672281</v>
      </c>
      <c r="CT175" s="42">
        <f t="shared" ca="1" si="1254"/>
        <v>93.254327827438672</v>
      </c>
      <c r="CU175" s="42">
        <f t="shared" ca="1" si="1255"/>
        <v>0.98801719747153338</v>
      </c>
      <c r="CV175" s="42">
        <f t="shared" ca="1" si="1256"/>
        <v>84.821276402931119</v>
      </c>
      <c r="CW175" s="42">
        <f t="shared" ca="1" si="1257"/>
        <v>0.36922911312142626</v>
      </c>
      <c r="CX175" s="42">
        <f t="shared" ca="1" si="1258"/>
        <v>3.4463811600244618</v>
      </c>
      <c r="CY175" s="42">
        <f t="shared" ca="1" si="1259"/>
        <v>0.34283752742504803</v>
      </c>
      <c r="CZ175" s="42">
        <f t="shared" ca="1" si="1260"/>
        <v>2.197362533679385E-2</v>
      </c>
      <c r="DA175" s="42">
        <f t="shared" ca="1" si="1148"/>
        <v>-1.864477057244613E-2</v>
      </c>
      <c r="DB175" s="42">
        <f t="shared" ca="1" si="1261"/>
        <v>0.21325578785503846</v>
      </c>
      <c r="DC175" s="42">
        <f t="shared" ca="1" si="1262"/>
        <v>0.12048786059297691</v>
      </c>
      <c r="DD175" s="42">
        <f t="shared" ca="1" si="1263"/>
        <v>-851.80941998776927</v>
      </c>
      <c r="DE175" s="40"/>
      <c r="DF175" s="36">
        <f t="shared" si="733"/>
        <v>200</v>
      </c>
      <c r="DG175" s="35">
        <f t="shared" si="1151"/>
        <v>0.28399999999999997</v>
      </c>
      <c r="DH175" s="197">
        <f t="shared" ca="1" si="1288"/>
        <v>169.23611111111677</v>
      </c>
      <c r="DI175" s="41">
        <f t="shared" ca="1" si="1152"/>
        <v>0.46366057838662128</v>
      </c>
      <c r="DJ175" s="40">
        <f t="shared" ca="1" si="1264"/>
        <v>-0.84571577920455232</v>
      </c>
      <c r="DK175" s="40">
        <f t="shared" ca="1" si="1265"/>
        <v>2.5189751902588361E-2</v>
      </c>
      <c r="DL175" s="40">
        <f t="shared" ca="1" si="1266"/>
        <v>0.19338305926412305</v>
      </c>
      <c r="DM175" s="42">
        <f t="shared" ca="1" si="1267"/>
        <v>-4.2430088262348127</v>
      </c>
      <c r="DN175" s="42">
        <f t="shared" ca="1" si="1268"/>
        <v>-4.4363918854989359</v>
      </c>
      <c r="DO175" s="42">
        <f t="shared" ca="1" si="1269"/>
        <v>1.1027137910526831E-5</v>
      </c>
      <c r="DP175" s="42">
        <f t="shared" ca="1" si="1270"/>
        <v>0.99998897286208943</v>
      </c>
      <c r="DQ175" s="42">
        <f t="shared" ca="1" si="1271"/>
        <v>4.5739623246503856E-6</v>
      </c>
      <c r="DR175" s="42">
        <f t="shared" ca="1" si="1272"/>
        <v>0.99999542603767533</v>
      </c>
      <c r="DS175" s="42">
        <f t="shared" ca="1" si="1273"/>
        <v>0.98162450344672281</v>
      </c>
      <c r="DT175" s="42">
        <f t="shared" ca="1" si="1274"/>
        <v>196.32490068934456</v>
      </c>
      <c r="DU175" s="42">
        <f t="shared" ca="1" si="1275"/>
        <v>0.98801719747153338</v>
      </c>
      <c r="DV175" s="42">
        <f t="shared" ca="1" si="1276"/>
        <v>84.821276402931119</v>
      </c>
      <c r="DW175" s="42">
        <f t="shared" ca="1" si="1277"/>
        <v>4.9156548612727982E-5</v>
      </c>
      <c r="DX175" s="42">
        <f t="shared" si="1278"/>
        <v>0</v>
      </c>
      <c r="DY175" s="92">
        <f t="shared" ca="1" si="1279"/>
        <v>0</v>
      </c>
      <c r="DZ175" s="42">
        <f t="shared" ca="1" si="1280"/>
        <v>0</v>
      </c>
      <c r="EA175" s="42">
        <f t="shared" ca="1" si="1170"/>
        <v>0</v>
      </c>
      <c r="EB175" s="42">
        <f t="shared" ca="1" si="1281"/>
        <v>0</v>
      </c>
      <c r="EC175" s="42">
        <f t="shared" ca="1" si="1282"/>
        <v>0</v>
      </c>
      <c r="ED175" s="42">
        <f t="shared" ca="1" si="1283"/>
        <v>0</v>
      </c>
      <c r="EE175" s="40"/>
      <c r="EF175" s="120">
        <f t="shared" ca="1" si="756"/>
        <v>85.84999999999998</v>
      </c>
      <c r="EG175" s="42">
        <f t="shared" ca="1" si="1173"/>
        <v>258.40613529061363</v>
      </c>
      <c r="EH175" s="36">
        <f t="shared" ca="1" si="1174"/>
        <v>258.40613529061363</v>
      </c>
      <c r="EI175" s="143">
        <f t="shared" ca="1" si="1175"/>
        <v>258.40600000000001</v>
      </c>
      <c r="EJ175" s="143">
        <f t="shared" ca="1" si="1183"/>
        <v>-2.199999999999136E-2</v>
      </c>
      <c r="EK175" s="153">
        <f t="shared" ca="1" si="1176"/>
        <v>0</v>
      </c>
      <c r="EL175" s="143">
        <f t="shared" ca="1" si="1177"/>
        <v>0</v>
      </c>
    </row>
    <row r="176" spans="1:142" x14ac:dyDescent="0.3">
      <c r="A176" s="143">
        <f t="shared" ca="1" si="1178"/>
        <v>85.899999999999977</v>
      </c>
      <c r="B176" s="144">
        <f t="shared" ca="1" si="1179"/>
        <v>0.28399999999999997</v>
      </c>
      <c r="C176" s="145">
        <f t="shared" ca="1" si="1180"/>
        <v>45295.440972222219</v>
      </c>
      <c r="D176" s="144">
        <f t="shared" ca="1" si="1181"/>
        <v>2.5999999999999999E-2</v>
      </c>
      <c r="E176" s="144">
        <f t="shared" ca="1" si="1182"/>
        <v>0.04</v>
      </c>
      <c r="F176" s="36">
        <f t="shared" si="641"/>
        <v>75</v>
      </c>
      <c r="G176" s="35">
        <f t="shared" si="1063"/>
        <v>0.28399999999999997</v>
      </c>
      <c r="H176" s="197">
        <f t="shared" ca="1" si="1284"/>
        <v>169.23611111111677</v>
      </c>
      <c r="I176" s="41">
        <f t="shared" ca="1" si="1064"/>
        <v>0.46366057838662128</v>
      </c>
      <c r="J176" s="40">
        <f t="shared" ca="1" si="1184"/>
        <v>0.13569571545389902</v>
      </c>
      <c r="K176" s="40">
        <f t="shared" ca="1" si="1185"/>
        <v>2.5189751902588361E-2</v>
      </c>
      <c r="L176" s="40">
        <f t="shared" ca="1" si="1186"/>
        <v>0.19338305926412305</v>
      </c>
      <c r="M176" s="42">
        <f t="shared" ca="1" si="1187"/>
        <v>0.83195222978011552</v>
      </c>
      <c r="N176" s="42">
        <f t="shared" ca="1" si="1188"/>
        <v>0.63856917051599249</v>
      </c>
      <c r="O176" s="42">
        <f t="shared" ca="1" si="1189"/>
        <v>0.79728204552644977</v>
      </c>
      <c r="P176" s="42">
        <f t="shared" ca="1" si="1190"/>
        <v>0.20271795447355023</v>
      </c>
      <c r="Q176" s="42">
        <f t="shared" ca="1" si="1191"/>
        <v>0.73844837877215552</v>
      </c>
      <c r="R176" s="42">
        <f t="shared" ca="1" si="1192"/>
        <v>0.26155162122784448</v>
      </c>
      <c r="S176" s="42">
        <f t="shared" ca="1" si="1193"/>
        <v>0.98162450344672281</v>
      </c>
      <c r="T176" s="42">
        <f t="shared" ca="1" si="1194"/>
        <v>73.621837758504213</v>
      </c>
      <c r="U176" s="42">
        <f t="shared" ca="1" si="1195"/>
        <v>0.98801719747153338</v>
      </c>
      <c r="V176" s="42">
        <f t="shared" ca="1" si="1196"/>
        <v>84.870677262804691</v>
      </c>
      <c r="W176" s="42">
        <f t="shared" ca="1" si="1197"/>
        <v>0.28223625092965177</v>
      </c>
      <c r="X176" s="42">
        <f t="shared" ca="1" si="1198"/>
        <v>2.0511009340094972</v>
      </c>
      <c r="Y176" s="42">
        <f t="shared" ca="1" si="1199"/>
        <v>-0.20028882525611899</v>
      </c>
      <c r="Z176" s="42">
        <f t="shared" ca="1" si="1200"/>
        <v>1.6786714660044368E-2</v>
      </c>
      <c r="AA176" s="42">
        <f t="shared" ca="1" si="1082"/>
        <v>-1.2800974745748253E-2</v>
      </c>
      <c r="AB176" s="42">
        <f t="shared" ca="1" si="1201"/>
        <v>0.16310622964630681</v>
      </c>
      <c r="AC176" s="42">
        <f t="shared" ca="1" si="1202"/>
        <v>-8.9282068425220143E-2</v>
      </c>
      <c r="AD176" s="42">
        <f t="shared" ca="1" si="1203"/>
        <v>-774.44953299525139</v>
      </c>
      <c r="AF176" s="36">
        <f t="shared" si="664"/>
        <v>80</v>
      </c>
      <c r="AG176" s="35">
        <f t="shared" si="1085"/>
        <v>0.28399999999999997</v>
      </c>
      <c r="AH176" s="197">
        <f t="shared" ca="1" si="1285"/>
        <v>169.23611111111677</v>
      </c>
      <c r="AI176" s="41">
        <f t="shared" ca="1" si="1086"/>
        <v>0.46366057838662128</v>
      </c>
      <c r="AJ176" s="40">
        <f t="shared" ca="1" si="1204"/>
        <v>7.1157194316327846E-2</v>
      </c>
      <c r="AK176" s="40">
        <f t="shared" ca="1" si="1205"/>
        <v>2.5189751902588361E-2</v>
      </c>
      <c r="AL176" s="40">
        <f t="shared" ca="1" si="1206"/>
        <v>0.19338305926412305</v>
      </c>
      <c r="AM176" s="42">
        <f t="shared" ca="1" si="1207"/>
        <v>0.49821813030336498</v>
      </c>
      <c r="AN176" s="42">
        <f t="shared" ca="1" si="1208"/>
        <v>0.3048350710392419</v>
      </c>
      <c r="AO176" s="42">
        <f t="shared" ca="1" si="1209"/>
        <v>0.69083484752909696</v>
      </c>
      <c r="AP176" s="42">
        <f t="shared" ca="1" si="1210"/>
        <v>0.30916515247090304</v>
      </c>
      <c r="AQ176" s="42">
        <f t="shared" ca="1" si="1211"/>
        <v>0.6197541154318823</v>
      </c>
      <c r="AR176" s="42">
        <f t="shared" ca="1" si="1212"/>
        <v>0.3802458845681177</v>
      </c>
      <c r="AS176" s="42">
        <f t="shared" ca="1" si="1213"/>
        <v>0.98162450344672281</v>
      </c>
      <c r="AT176" s="42">
        <f t="shared" ca="1" si="1214"/>
        <v>78.529960275737821</v>
      </c>
      <c r="AU176" s="42">
        <f t="shared" ca="1" si="1215"/>
        <v>0.98801719747153338</v>
      </c>
      <c r="AV176" s="42">
        <f t="shared" ca="1" si="1216"/>
        <v>84.870677262804691</v>
      </c>
      <c r="AW176" s="42">
        <f t="shared" ca="1" si="1217"/>
        <v>0.3523785743909193</v>
      </c>
      <c r="AX176" s="42">
        <f t="shared" ca="1" si="1218"/>
        <v>3.6216383338832543</v>
      </c>
      <c r="AY176" s="42">
        <f t="shared" ca="1" si="1219"/>
        <v>-0.30546048750016092</v>
      </c>
      <c r="AZ176" s="42">
        <f t="shared" ca="1" si="1220"/>
        <v>2.0958606703176414E-2</v>
      </c>
      <c r="BA176" s="42">
        <f t="shared" ca="1" si="1104"/>
        <v>-1.5683550177101883E-2</v>
      </c>
      <c r="BB176" s="42">
        <f t="shared" ca="1" si="1221"/>
        <v>0.2036419506272755</v>
      </c>
      <c r="BC176" s="42">
        <f t="shared" ca="1" si="1222"/>
        <v>-0.13845226748502826</v>
      </c>
      <c r="BD176" s="42">
        <f t="shared" ca="1" si="1223"/>
        <v>1014.1808330583731</v>
      </c>
      <c r="BE176" s="40"/>
      <c r="BF176" s="36">
        <f t="shared" si="687"/>
        <v>90</v>
      </c>
      <c r="BG176" s="35">
        <f t="shared" si="1107"/>
        <v>0.28399999999999997</v>
      </c>
      <c r="BH176" s="197">
        <f t="shared" ca="1" si="1286"/>
        <v>169.23611111111677</v>
      </c>
      <c r="BI176" s="41">
        <f t="shared" ca="1" si="1108"/>
        <v>0.46366057838662128</v>
      </c>
      <c r="BJ176" s="40">
        <f t="shared" ca="1" si="1224"/>
        <v>-4.6625841340055631E-2</v>
      </c>
      <c r="BK176" s="40">
        <f t="shared" ca="1" si="1225"/>
        <v>2.5189751902588361E-2</v>
      </c>
      <c r="BL176" s="40">
        <f t="shared" ca="1" si="1226"/>
        <v>0.19338305926412305</v>
      </c>
      <c r="BM176" s="42">
        <f t="shared" ca="1" si="1227"/>
        <v>-0.11084781427617094</v>
      </c>
      <c r="BN176" s="42">
        <f t="shared" ca="1" si="1228"/>
        <v>-0.30423087354029399</v>
      </c>
      <c r="BO176" s="42">
        <f t="shared" ca="1" si="1229"/>
        <v>0.45586851432085312</v>
      </c>
      <c r="BP176" s="42">
        <f t="shared" ca="1" si="1230"/>
        <v>0.54413148567914682</v>
      </c>
      <c r="BQ176" s="42">
        <f t="shared" ca="1" si="1231"/>
        <v>0.38047600261323233</v>
      </c>
      <c r="BR176" s="42">
        <f t="shared" ca="1" si="1232"/>
        <v>0.61952399738676767</v>
      </c>
      <c r="BS176" s="42">
        <f t="shared" ca="1" si="1233"/>
        <v>0.98162450344672281</v>
      </c>
      <c r="BT176" s="42">
        <f t="shared" ca="1" si="1234"/>
        <v>88.34620531020505</v>
      </c>
      <c r="BU176" s="42">
        <f t="shared" ca="1" si="1235"/>
        <v>0.98801719747153338</v>
      </c>
      <c r="BV176" s="42">
        <f t="shared" ca="1" si="1236"/>
        <v>84.870677262804691</v>
      </c>
      <c r="BW176" s="42">
        <f t="shared" ca="1" si="1237"/>
        <v>0.39649884449666567</v>
      </c>
      <c r="BX176" s="42">
        <f t="shared" ca="1" si="1238"/>
        <v>5.0762585107246494</v>
      </c>
      <c r="BY176" s="42">
        <f t="shared" ca="1" si="1239"/>
        <v>0.45040593193480088</v>
      </c>
      <c r="BZ176" s="42">
        <f t="shared" ca="1" si="1240"/>
        <v>2.3582771326075461E-2</v>
      </c>
      <c r="CA176" s="42">
        <f t="shared" ca="1" si="1126"/>
        <v>-2.0153960503050967E-2</v>
      </c>
      <c r="CB176" s="42">
        <f t="shared" ca="1" si="1241"/>
        <v>0.22913935177337647</v>
      </c>
      <c r="CC176" s="42">
        <f t="shared" ca="1" si="1242"/>
        <v>0.15585306337616758</v>
      </c>
      <c r="CD176" s="42">
        <f t="shared" ca="1" si="1243"/>
        <v>861.87074463767522</v>
      </c>
      <c r="CE176" s="40"/>
      <c r="CF176" s="36">
        <f t="shared" si="710"/>
        <v>95</v>
      </c>
      <c r="CG176" s="35">
        <f t="shared" si="1129"/>
        <v>0.28399999999999997</v>
      </c>
      <c r="CH176" s="197">
        <f t="shared" ca="1" si="1287"/>
        <v>169.23611111111677</v>
      </c>
      <c r="CI176" s="41">
        <f t="shared" ca="1" si="1130"/>
        <v>0.46366057838662128</v>
      </c>
      <c r="CJ176" s="40">
        <f t="shared" ca="1" si="1244"/>
        <v>-0.1006930626103314</v>
      </c>
      <c r="CK176" s="40">
        <f t="shared" ca="1" si="1245"/>
        <v>2.5189751902588361E-2</v>
      </c>
      <c r="CL176" s="40">
        <f t="shared" ca="1" si="1246"/>
        <v>0.19338305926412305</v>
      </c>
      <c r="CM176" s="42">
        <f t="shared" ca="1" si="1247"/>
        <v>-0.39043394491251909</v>
      </c>
      <c r="CN176" s="42">
        <f t="shared" ca="1" si="1248"/>
        <v>-0.58381700417664217</v>
      </c>
      <c r="CO176" s="42">
        <f t="shared" ca="1" si="1249"/>
        <v>0.34810784559718516</v>
      </c>
      <c r="CP176" s="42">
        <f t="shared" ca="1" si="1250"/>
        <v>0.65189215440281489</v>
      </c>
      <c r="CQ176" s="42">
        <f t="shared" ca="1" si="1251"/>
        <v>0.27967171835355775</v>
      </c>
      <c r="CR176" s="42">
        <f t="shared" ca="1" si="1252"/>
        <v>0.72032828164644225</v>
      </c>
      <c r="CS176" s="42">
        <f t="shared" ca="1" si="1253"/>
        <v>0.98162450344672281</v>
      </c>
      <c r="CT176" s="42">
        <f t="shared" ca="1" si="1254"/>
        <v>93.254327827438672</v>
      </c>
      <c r="CU176" s="42">
        <f t="shared" ca="1" si="1255"/>
        <v>0.98801719747153338</v>
      </c>
      <c r="CV176" s="42">
        <f t="shared" ca="1" si="1256"/>
        <v>84.870677262804691</v>
      </c>
      <c r="CW176" s="42">
        <f t="shared" ca="1" si="1257"/>
        <v>0.36966508243592172</v>
      </c>
      <c r="CX176" s="42">
        <f t="shared" ca="1" si="1258"/>
        <v>3.4635505089231771</v>
      </c>
      <c r="CY176" s="42">
        <f t="shared" ca="1" si="1259"/>
        <v>0.34393653802478413</v>
      </c>
      <c r="CZ176" s="42">
        <f t="shared" ca="1" si="1260"/>
        <v>2.1986765478189146E-2</v>
      </c>
      <c r="DA176" s="42">
        <f t="shared" ca="1" si="1148"/>
        <v>-1.8678729100025129E-2</v>
      </c>
      <c r="DB176" s="42">
        <f t="shared" ca="1" si="1261"/>
        <v>0.21363194001270588</v>
      </c>
      <c r="DC176" s="42">
        <f t="shared" ca="1" si="1262"/>
        <v>0.12092545203148779</v>
      </c>
      <c r="DD176" s="42">
        <f t="shared" ca="1" si="1263"/>
        <v>-843.22474553841164</v>
      </c>
      <c r="DE176" s="40"/>
      <c r="DF176" s="36">
        <f t="shared" si="733"/>
        <v>200</v>
      </c>
      <c r="DG176" s="35">
        <f t="shared" si="1151"/>
        <v>0.28399999999999997</v>
      </c>
      <c r="DH176" s="197">
        <f t="shared" ca="1" si="1288"/>
        <v>169.23611111111677</v>
      </c>
      <c r="DI176" s="41">
        <f t="shared" ca="1" si="1152"/>
        <v>0.46366057838662128</v>
      </c>
      <c r="DJ176" s="40">
        <f t="shared" ca="1" si="1264"/>
        <v>-0.84513353755782727</v>
      </c>
      <c r="DK176" s="40">
        <f t="shared" ca="1" si="1265"/>
        <v>2.5189751902588361E-2</v>
      </c>
      <c r="DL176" s="40">
        <f t="shared" ca="1" si="1266"/>
        <v>0.19338305926412305</v>
      </c>
      <c r="DM176" s="42">
        <f t="shared" ca="1" si="1267"/>
        <v>-4.2399980059026667</v>
      </c>
      <c r="DN176" s="42">
        <f t="shared" ca="1" si="1268"/>
        <v>-4.43338106516679</v>
      </c>
      <c r="DO176" s="42">
        <f t="shared" ca="1" si="1269"/>
        <v>1.1176088614463079E-5</v>
      </c>
      <c r="DP176" s="42">
        <f t="shared" ca="1" si="1270"/>
        <v>0.99998882391138555</v>
      </c>
      <c r="DQ176" s="42">
        <f t="shared" ca="1" si="1271"/>
        <v>4.6383345739406505E-6</v>
      </c>
      <c r="DR176" s="42">
        <f t="shared" ca="1" si="1272"/>
        <v>0.99999536166542602</v>
      </c>
      <c r="DS176" s="42">
        <f t="shared" ca="1" si="1273"/>
        <v>0.98162450344672281</v>
      </c>
      <c r="DT176" s="42">
        <f t="shared" ca="1" si="1274"/>
        <v>196.32490068934456</v>
      </c>
      <c r="DU176" s="42">
        <f t="shared" ca="1" si="1275"/>
        <v>0.98801719747153338</v>
      </c>
      <c r="DV176" s="42">
        <f t="shared" ca="1" si="1276"/>
        <v>84.870677262804691</v>
      </c>
      <c r="DW176" s="42">
        <f t="shared" ca="1" si="1277"/>
        <v>4.9788323055045414E-5</v>
      </c>
      <c r="DX176" s="42">
        <f t="shared" si="1278"/>
        <v>0</v>
      </c>
      <c r="DY176" s="92">
        <f t="shared" ca="1" si="1279"/>
        <v>0</v>
      </c>
      <c r="DZ176" s="42">
        <f t="shared" ca="1" si="1280"/>
        <v>0</v>
      </c>
      <c r="EA176" s="42">
        <f t="shared" ca="1" si="1170"/>
        <v>0</v>
      </c>
      <c r="EB176" s="42">
        <f t="shared" ca="1" si="1281"/>
        <v>0</v>
      </c>
      <c r="EC176" s="42">
        <f t="shared" ca="1" si="1282"/>
        <v>0</v>
      </c>
      <c r="ED176" s="42">
        <f t="shared" ca="1" si="1283"/>
        <v>0</v>
      </c>
      <c r="EE176" s="40"/>
      <c r="EF176" s="120">
        <f t="shared" ca="1" si="756"/>
        <v>85.899999999999977</v>
      </c>
      <c r="EG176" s="42">
        <f t="shared" ca="1" si="1173"/>
        <v>258.37729916238516</v>
      </c>
      <c r="EH176" s="36">
        <f t="shared" ca="1" si="1174"/>
        <v>258.37729916238516</v>
      </c>
      <c r="EI176" s="143">
        <f t="shared" ca="1" si="1175"/>
        <v>258.37700000000001</v>
      </c>
      <c r="EJ176" s="143">
        <f t="shared" ca="1" si="1183"/>
        <v>-2.8999999999996362E-2</v>
      </c>
      <c r="EK176" s="153">
        <f t="shared" ca="1" si="1176"/>
        <v>0</v>
      </c>
      <c r="EL176" s="143">
        <f t="shared" ca="1" si="1177"/>
        <v>0</v>
      </c>
    </row>
    <row r="177" spans="1:143" x14ac:dyDescent="0.3">
      <c r="A177" s="143">
        <f t="shared" ca="1" si="1178"/>
        <v>85.949999999999974</v>
      </c>
      <c r="B177" s="144">
        <f t="shared" ca="1" si="1179"/>
        <v>0.28399999999999997</v>
      </c>
      <c r="C177" s="145">
        <f t="shared" ca="1" si="1180"/>
        <v>45295.440972222219</v>
      </c>
      <c r="D177" s="144">
        <f t="shared" ca="1" si="1181"/>
        <v>2.5999999999999999E-2</v>
      </c>
      <c r="E177" s="144">
        <f t="shared" ca="1" si="1182"/>
        <v>0.04</v>
      </c>
      <c r="F177" s="36">
        <f t="shared" si="641"/>
        <v>75</v>
      </c>
      <c r="G177" s="35">
        <f t="shared" si="1063"/>
        <v>0.28399999999999997</v>
      </c>
      <c r="H177" s="197">
        <f t="shared" ca="1" si="1284"/>
        <v>169.23611111111677</v>
      </c>
      <c r="I177" s="41">
        <f t="shared" ca="1" si="1064"/>
        <v>0.46366057838662128</v>
      </c>
      <c r="J177" s="40">
        <f t="shared" ca="1" si="1184"/>
        <v>0.13627761829254756</v>
      </c>
      <c r="K177" s="40">
        <f t="shared" ca="1" si="1185"/>
        <v>2.5189751902588361E-2</v>
      </c>
      <c r="L177" s="40">
        <f t="shared" ca="1" si="1186"/>
        <v>0.19338305926412305</v>
      </c>
      <c r="M177" s="42">
        <f t="shared" ca="1" si="1187"/>
        <v>0.83496129810731445</v>
      </c>
      <c r="N177" s="42">
        <f t="shared" ca="1" si="1188"/>
        <v>0.64157823884319143</v>
      </c>
      <c r="O177" s="42">
        <f t="shared" ca="1" si="1189"/>
        <v>0.79813025026777884</v>
      </c>
      <c r="P177" s="42">
        <f t="shared" ca="1" si="1190"/>
        <v>0.20186974973222113</v>
      </c>
      <c r="Q177" s="42">
        <f t="shared" ca="1" si="1191"/>
        <v>0.73942646697640446</v>
      </c>
      <c r="R177" s="42">
        <f t="shared" ca="1" si="1192"/>
        <v>0.26057353302359554</v>
      </c>
      <c r="S177" s="42">
        <f t="shared" ca="1" si="1193"/>
        <v>0.98162450344672281</v>
      </c>
      <c r="T177" s="42">
        <f t="shared" ca="1" si="1194"/>
        <v>73.621837758504213</v>
      </c>
      <c r="U177" s="42">
        <f t="shared" ca="1" si="1195"/>
        <v>0.98801719747153338</v>
      </c>
      <c r="V177" s="42">
        <f t="shared" ca="1" si="1196"/>
        <v>84.920078122678262</v>
      </c>
      <c r="W177" s="42">
        <f t="shared" ca="1" si="1197"/>
        <v>0.28152930948419841</v>
      </c>
      <c r="X177" s="42">
        <f t="shared" ca="1" si="1198"/>
        <v>2.0411074545576611</v>
      </c>
      <c r="Y177" s="42">
        <f t="shared" ca="1" si="1199"/>
        <v>-0.19945078438470898</v>
      </c>
      <c r="Z177" s="42">
        <f t="shared" ca="1" si="1200"/>
        <v>1.6734926594916273E-2</v>
      </c>
      <c r="AA177" s="42">
        <f t="shared" ca="1" si="1082"/>
        <v>-1.2778115016440538E-2</v>
      </c>
      <c r="AB177" s="42">
        <f t="shared" ca="1" si="1201"/>
        <v>0.16279238522007541</v>
      </c>
      <c r="AC177" s="42">
        <f t="shared" ca="1" si="1202"/>
        <v>-8.8948192697103051E-2</v>
      </c>
      <c r="AD177" s="42">
        <f t="shared" ca="1" si="1203"/>
        <v>-779.44627272116952</v>
      </c>
      <c r="AF177" s="36">
        <f t="shared" si="664"/>
        <v>80</v>
      </c>
      <c r="AG177" s="35">
        <f t="shared" si="1085"/>
        <v>0.28399999999999997</v>
      </c>
      <c r="AH177" s="197">
        <f t="shared" ca="1" si="1285"/>
        <v>169.23611111111677</v>
      </c>
      <c r="AI177" s="41">
        <f t="shared" ca="1" si="1086"/>
        <v>0.46366057838662128</v>
      </c>
      <c r="AJ177" s="40">
        <f t="shared" ca="1" si="1204"/>
        <v>7.1739097154976311E-2</v>
      </c>
      <c r="AK177" s="40">
        <f t="shared" ca="1" si="1205"/>
        <v>2.5189751902588361E-2</v>
      </c>
      <c r="AL177" s="40">
        <f t="shared" ca="1" si="1206"/>
        <v>0.19338305926412305</v>
      </c>
      <c r="AM177" s="42">
        <f t="shared" ca="1" si="1207"/>
        <v>0.50122719863056364</v>
      </c>
      <c r="AN177" s="42">
        <f t="shared" ca="1" si="1208"/>
        <v>0.30784413936644062</v>
      </c>
      <c r="AO177" s="42">
        <f t="shared" ca="1" si="1209"/>
        <v>0.69189438272555193</v>
      </c>
      <c r="AP177" s="42">
        <f t="shared" ca="1" si="1210"/>
        <v>0.30810561727444807</v>
      </c>
      <c r="AQ177" s="42">
        <f t="shared" ca="1" si="1211"/>
        <v>0.62089953345156457</v>
      </c>
      <c r="AR177" s="42">
        <f t="shared" ca="1" si="1212"/>
        <v>0.37910046654843543</v>
      </c>
      <c r="AS177" s="42">
        <f t="shared" ca="1" si="1213"/>
        <v>0.98162450344672281</v>
      </c>
      <c r="AT177" s="42">
        <f t="shared" ca="1" si="1214"/>
        <v>78.529960275737821</v>
      </c>
      <c r="AU177" s="42">
        <f t="shared" ca="1" si="1215"/>
        <v>0.98801719747153338</v>
      </c>
      <c r="AV177" s="42">
        <f t="shared" ca="1" si="1216"/>
        <v>84.920078122678262</v>
      </c>
      <c r="AW177" s="42">
        <f t="shared" ca="1" si="1217"/>
        <v>0.35184910103895983</v>
      </c>
      <c r="AX177" s="42">
        <f t="shared" ca="1" si="1218"/>
        <v>3.6063914895801688</v>
      </c>
      <c r="AY177" s="42">
        <f t="shared" ca="1" si="1219"/>
        <v>-0.30441364850473707</v>
      </c>
      <c r="AZ177" s="42">
        <f t="shared" ca="1" si="1220"/>
        <v>2.0914940931593344E-2</v>
      </c>
      <c r="BA177" s="42">
        <f t="shared" ca="1" si="1104"/>
        <v>-1.5672343010133618E-2</v>
      </c>
      <c r="BB177" s="42">
        <f t="shared" ca="1" si="1221"/>
        <v>0.20345432061980923</v>
      </c>
      <c r="BC177" s="42">
        <f t="shared" ca="1" si="1222"/>
        <v>-0.13803520650296569</v>
      </c>
      <c r="BD177" s="42">
        <f t="shared" ca="1" si="1223"/>
        <v>1021.8042552099158</v>
      </c>
      <c r="BE177" s="40"/>
      <c r="BF177" s="36">
        <f t="shared" si="687"/>
        <v>90</v>
      </c>
      <c r="BG177" s="35">
        <f t="shared" si="1107"/>
        <v>0.28399999999999997</v>
      </c>
      <c r="BH177" s="197">
        <f t="shared" ca="1" si="1286"/>
        <v>169.23611111111677</v>
      </c>
      <c r="BI177" s="41">
        <f t="shared" ca="1" si="1108"/>
        <v>0.46366057838662128</v>
      </c>
      <c r="BJ177" s="40">
        <f t="shared" ca="1" si="1224"/>
        <v>-4.6043938501407082E-2</v>
      </c>
      <c r="BK177" s="40">
        <f t="shared" ca="1" si="1225"/>
        <v>2.5189751902588361E-2</v>
      </c>
      <c r="BL177" s="40">
        <f t="shared" ca="1" si="1226"/>
        <v>0.19338305926412305</v>
      </c>
      <c r="BM177" s="42">
        <f t="shared" ca="1" si="1227"/>
        <v>-0.10783874594897179</v>
      </c>
      <c r="BN177" s="42">
        <f t="shared" ca="1" si="1228"/>
        <v>-0.30122180521309483</v>
      </c>
      <c r="BO177" s="42">
        <f t="shared" ca="1" si="1229"/>
        <v>0.45706180363393223</v>
      </c>
      <c r="BP177" s="42">
        <f t="shared" ca="1" si="1230"/>
        <v>0.54293819636606777</v>
      </c>
      <c r="BQ177" s="42">
        <f t="shared" ca="1" si="1231"/>
        <v>0.38162268169619451</v>
      </c>
      <c r="BR177" s="42">
        <f t="shared" ca="1" si="1232"/>
        <v>0.61837731830380549</v>
      </c>
      <c r="BS177" s="42">
        <f t="shared" ca="1" si="1233"/>
        <v>0.98162450344672281</v>
      </c>
      <c r="BT177" s="42">
        <f t="shared" ca="1" si="1234"/>
        <v>88.34620531020505</v>
      </c>
      <c r="BU177" s="42">
        <f t="shared" ca="1" si="1235"/>
        <v>0.98801719747153338</v>
      </c>
      <c r="BV177" s="42">
        <f t="shared" ca="1" si="1236"/>
        <v>84.920078122678262</v>
      </c>
      <c r="BW177" s="42">
        <f t="shared" ca="1" si="1237"/>
        <v>0.39662932256582994</v>
      </c>
      <c r="BX177" s="42">
        <f t="shared" ca="1" si="1238"/>
        <v>5.0988082833227253</v>
      </c>
      <c r="BY177" s="42">
        <f t="shared" ca="1" si="1239"/>
        <v>0.45158492229768205</v>
      </c>
      <c r="BZ177" s="42">
        <f t="shared" ca="1" si="1240"/>
        <v>2.3576808434942306E-2</v>
      </c>
      <c r="CA177" s="42">
        <f t="shared" ca="1" si="1126"/>
        <v>-2.0173761531980316E-2</v>
      </c>
      <c r="CB177" s="42">
        <f t="shared" ca="1" si="1241"/>
        <v>0.2293481754599985</v>
      </c>
      <c r="CC177" s="42">
        <f t="shared" ca="1" si="1242"/>
        <v>0.15632277354595903</v>
      </c>
      <c r="CD177" s="42">
        <f t="shared" ca="1" si="1243"/>
        <v>850.5958583386373</v>
      </c>
      <c r="CE177" s="40"/>
      <c r="CF177" s="36">
        <f t="shared" si="710"/>
        <v>95</v>
      </c>
      <c r="CG177" s="35">
        <f t="shared" si="1129"/>
        <v>0.28399999999999997</v>
      </c>
      <c r="CH177" s="197">
        <f t="shared" ca="1" si="1287"/>
        <v>169.23611111111677</v>
      </c>
      <c r="CI177" s="41">
        <f t="shared" ca="1" si="1130"/>
        <v>0.46366057838662128</v>
      </c>
      <c r="CJ177" s="40">
        <f t="shared" ca="1" si="1244"/>
        <v>-0.10011115977168293</v>
      </c>
      <c r="CK177" s="40">
        <f t="shared" ca="1" si="1245"/>
        <v>2.5189751902588361E-2</v>
      </c>
      <c r="CL177" s="40">
        <f t="shared" ca="1" si="1246"/>
        <v>0.19338305926412305</v>
      </c>
      <c r="CM177" s="42">
        <f t="shared" ca="1" si="1247"/>
        <v>-0.38742487658532038</v>
      </c>
      <c r="CN177" s="42">
        <f t="shared" ca="1" si="1248"/>
        <v>-0.58080793584944346</v>
      </c>
      <c r="CO177" s="42">
        <f t="shared" ca="1" si="1249"/>
        <v>0.34922084508078338</v>
      </c>
      <c r="CP177" s="42">
        <f t="shared" ca="1" si="1250"/>
        <v>0.65077915491921656</v>
      </c>
      <c r="CQ177" s="42">
        <f t="shared" ca="1" si="1251"/>
        <v>0.28068495298222623</v>
      </c>
      <c r="CR177" s="42">
        <f t="shared" ca="1" si="1252"/>
        <v>0.71931504701777382</v>
      </c>
      <c r="CS177" s="42">
        <f t="shared" ca="1" si="1253"/>
        <v>0.98162450344672281</v>
      </c>
      <c r="CT177" s="42">
        <f t="shared" ca="1" si="1254"/>
        <v>93.254327827438672</v>
      </c>
      <c r="CU177" s="42">
        <f t="shared" ca="1" si="1255"/>
        <v>0.98801719747153338</v>
      </c>
      <c r="CV177" s="42">
        <f t="shared" ca="1" si="1256"/>
        <v>84.920078122678262</v>
      </c>
      <c r="CW177" s="42">
        <f t="shared" ca="1" si="1257"/>
        <v>0.37009796034261722</v>
      </c>
      <c r="CX177" s="42">
        <f t="shared" ca="1" si="1258"/>
        <v>3.4807748246941124</v>
      </c>
      <c r="CY177" s="42">
        <f t="shared" ca="1" si="1259"/>
        <v>0.34503620065535612</v>
      </c>
      <c r="CZ177" s="42">
        <f t="shared" ca="1" si="1260"/>
        <v>2.1999706569129217E-2</v>
      </c>
      <c r="DA177" s="42">
        <f t="shared" ca="1" si="1148"/>
        <v>-1.8712562589095691E-2</v>
      </c>
      <c r="DB177" s="42">
        <f t="shared" ca="1" si="1261"/>
        <v>0.21400659789080043</v>
      </c>
      <c r="DC177" s="42">
        <f t="shared" ca="1" si="1262"/>
        <v>0.12136355802306609</v>
      </c>
      <c r="DD177" s="42">
        <f t="shared" ca="1" si="1263"/>
        <v>-834.61258765294394</v>
      </c>
      <c r="DE177" s="40"/>
      <c r="DF177" s="36">
        <f t="shared" si="733"/>
        <v>200</v>
      </c>
      <c r="DG177" s="35">
        <f t="shared" si="1151"/>
        <v>0.28399999999999997</v>
      </c>
      <c r="DH177" s="197">
        <f t="shared" ca="1" si="1288"/>
        <v>169.23611111111677</v>
      </c>
      <c r="DI177" s="41">
        <f t="shared" ca="1" si="1152"/>
        <v>0.46366057838662128</v>
      </c>
      <c r="DJ177" s="40">
        <f t="shared" ca="1" si="1264"/>
        <v>-0.84455163471917871</v>
      </c>
      <c r="DK177" s="40">
        <f t="shared" ca="1" si="1265"/>
        <v>2.5189751902588361E-2</v>
      </c>
      <c r="DL177" s="40">
        <f t="shared" ca="1" si="1266"/>
        <v>0.19338305926412305</v>
      </c>
      <c r="DM177" s="42">
        <f t="shared" ca="1" si="1267"/>
        <v>-4.2369889375754672</v>
      </c>
      <c r="DN177" s="42">
        <f t="shared" ca="1" si="1268"/>
        <v>-4.4303719968395905</v>
      </c>
      <c r="DO177" s="42">
        <f t="shared" ca="1" si="1269"/>
        <v>1.132686464211177E-5</v>
      </c>
      <c r="DP177" s="42">
        <f t="shared" ca="1" si="1270"/>
        <v>0.99998867313535789</v>
      </c>
      <c r="DQ177" s="42">
        <f t="shared" ca="1" si="1271"/>
        <v>4.7035336155523599E-6</v>
      </c>
      <c r="DR177" s="42">
        <f t="shared" ca="1" si="1272"/>
        <v>0.99999529646638441</v>
      </c>
      <c r="DS177" s="42">
        <f t="shared" ca="1" si="1273"/>
        <v>0.98162450344672281</v>
      </c>
      <c r="DT177" s="42">
        <f t="shared" ca="1" si="1274"/>
        <v>196.32490068934456</v>
      </c>
      <c r="DU177" s="42">
        <f t="shared" ca="1" si="1275"/>
        <v>0.98801719747153338</v>
      </c>
      <c r="DV177" s="42">
        <f t="shared" ca="1" si="1276"/>
        <v>84.920078122678262</v>
      </c>
      <c r="DW177" s="42">
        <f t="shared" ca="1" si="1277"/>
        <v>5.0427385781731291E-5</v>
      </c>
      <c r="DX177" s="42">
        <f t="shared" si="1278"/>
        <v>0</v>
      </c>
      <c r="DY177" s="92">
        <f t="shared" ca="1" si="1279"/>
        <v>0</v>
      </c>
      <c r="DZ177" s="42">
        <f t="shared" ca="1" si="1280"/>
        <v>0</v>
      </c>
      <c r="EA177" s="42">
        <f t="shared" ca="1" si="1170"/>
        <v>0</v>
      </c>
      <c r="EB177" s="42">
        <f t="shared" ca="1" si="1281"/>
        <v>0</v>
      </c>
      <c r="EC177" s="42">
        <f t="shared" ca="1" si="1282"/>
        <v>0</v>
      </c>
      <c r="ED177" s="42">
        <f t="shared" ca="1" si="1283"/>
        <v>0</v>
      </c>
      <c r="EE177" s="40"/>
      <c r="EF177" s="120">
        <f t="shared" ca="1" si="756"/>
        <v>85.949999999999974</v>
      </c>
      <c r="EG177" s="42">
        <f t="shared" ca="1" si="1173"/>
        <v>258.34125317443966</v>
      </c>
      <c r="EH177" s="36">
        <f t="shared" ca="1" si="1174"/>
        <v>258.34125317443966</v>
      </c>
      <c r="EI177" s="143">
        <f t="shared" ca="1" si="1175"/>
        <v>258.34100000000001</v>
      </c>
      <c r="EJ177" s="143">
        <f t="shared" ca="1" si="1183"/>
        <v>-3.6000000000001364E-2</v>
      </c>
      <c r="EK177" s="153">
        <f t="shared" ca="1" si="1176"/>
        <v>0</v>
      </c>
      <c r="EL177" s="143">
        <f t="shared" ca="1" si="1177"/>
        <v>0</v>
      </c>
    </row>
    <row r="178" spans="1:143" x14ac:dyDescent="0.3">
      <c r="A178" s="143">
        <f t="shared" ca="1" si="1178"/>
        <v>85.999999999999972</v>
      </c>
      <c r="B178" s="144">
        <f t="shared" ca="1" si="1179"/>
        <v>0.28399999999999997</v>
      </c>
      <c r="C178" s="145">
        <f t="shared" ca="1" si="1180"/>
        <v>45295.440972222219</v>
      </c>
      <c r="D178" s="144">
        <f t="shared" ca="1" si="1181"/>
        <v>2.5999999999999999E-2</v>
      </c>
      <c r="E178" s="144">
        <f t="shared" ca="1" si="1182"/>
        <v>0.04</v>
      </c>
      <c r="F178" s="36">
        <f t="shared" si="641"/>
        <v>75</v>
      </c>
      <c r="G178" s="35">
        <f t="shared" si="1063"/>
        <v>0.28399999999999997</v>
      </c>
      <c r="H178" s="197">
        <f t="shared" ca="1" si="1284"/>
        <v>169.23611111111677</v>
      </c>
      <c r="I178" s="41">
        <f t="shared" ca="1" si="1064"/>
        <v>0.46366057838662128</v>
      </c>
      <c r="J178" s="40">
        <f t="shared" ca="1" si="1184"/>
        <v>0.13685918271719696</v>
      </c>
      <c r="K178" s="40">
        <f t="shared" ca="1" si="1185"/>
        <v>2.5189751902588361E-2</v>
      </c>
      <c r="L178" s="40">
        <f t="shared" ca="1" si="1186"/>
        <v>0.19338305926412305</v>
      </c>
      <c r="M178" s="42">
        <f t="shared" ca="1" si="1187"/>
        <v>0.83796861646737364</v>
      </c>
      <c r="N178" s="42">
        <f t="shared" ca="1" si="1188"/>
        <v>0.64458555720325061</v>
      </c>
      <c r="O178" s="42">
        <f t="shared" ca="1" si="1189"/>
        <v>0.79897583517991411</v>
      </c>
      <c r="P178" s="42">
        <f t="shared" ca="1" si="1190"/>
        <v>0.20102416482008587</v>
      </c>
      <c r="Q178" s="42">
        <f t="shared" ca="1" si="1191"/>
        <v>0.74040210157769326</v>
      </c>
      <c r="R178" s="42">
        <f t="shared" ca="1" si="1192"/>
        <v>0.25959789842230674</v>
      </c>
      <c r="S178" s="42">
        <f t="shared" ca="1" si="1193"/>
        <v>0.98162450344672281</v>
      </c>
      <c r="T178" s="42">
        <f t="shared" ca="1" si="1194"/>
        <v>73.621837758504213</v>
      </c>
      <c r="U178" s="42">
        <f t="shared" ca="1" si="1195"/>
        <v>0.98801719747153338</v>
      </c>
      <c r="V178" s="42">
        <f t="shared" ca="1" si="1196"/>
        <v>84.969478982551848</v>
      </c>
      <c r="W178" s="42">
        <f t="shared" ca="1" si="1197"/>
        <v>0.28082200786985406</v>
      </c>
      <c r="X178" s="42">
        <f t="shared" ca="1" si="1198"/>
        <v>2.0311558124303986</v>
      </c>
      <c r="Y178" s="42">
        <f t="shared" ca="1" si="1199"/>
        <v>-0.19861533194959688</v>
      </c>
      <c r="Z178" s="42">
        <f t="shared" ca="1" si="1200"/>
        <v>1.6683177351422326E-2</v>
      </c>
      <c r="AA178" s="42">
        <f t="shared" ca="1" si="1082"/>
        <v>-1.2755187986901189E-2</v>
      </c>
      <c r="AB178" s="42">
        <f t="shared" ca="1" si="1201"/>
        <v>0.1624778568007309</v>
      </c>
      <c r="AC178" s="42">
        <f t="shared" ca="1" si="1202"/>
        <v>-8.8615154519700978E-2</v>
      </c>
      <c r="AD178" s="42">
        <f t="shared" ca="1" si="1203"/>
        <v>-784.42209378480072</v>
      </c>
      <c r="AF178" s="36">
        <f t="shared" si="664"/>
        <v>80</v>
      </c>
      <c r="AG178" s="35">
        <f t="shared" si="1085"/>
        <v>0.28399999999999997</v>
      </c>
      <c r="AH178" s="197">
        <f t="shared" ca="1" si="1285"/>
        <v>169.23611111111677</v>
      </c>
      <c r="AI178" s="41">
        <f t="shared" ca="1" si="1086"/>
        <v>0.46366057838662128</v>
      </c>
      <c r="AJ178" s="40">
        <f t="shared" ca="1" si="1204"/>
        <v>7.2320661579625869E-2</v>
      </c>
      <c r="AK178" s="40">
        <f t="shared" ca="1" si="1205"/>
        <v>2.5189751902588361E-2</v>
      </c>
      <c r="AL178" s="40">
        <f t="shared" ca="1" si="1206"/>
        <v>0.19338305926412305</v>
      </c>
      <c r="AM178" s="42">
        <f t="shared" ca="1" si="1207"/>
        <v>0.5042345169906236</v>
      </c>
      <c r="AN178" s="42">
        <f t="shared" ca="1" si="1208"/>
        <v>0.31085145772650058</v>
      </c>
      <c r="AO178" s="42">
        <f t="shared" ca="1" si="1209"/>
        <v>0.69295170631432068</v>
      </c>
      <c r="AP178" s="42">
        <f t="shared" ca="1" si="1210"/>
        <v>0.30704829368567937</v>
      </c>
      <c r="AQ178" s="42">
        <f t="shared" ca="1" si="1211"/>
        <v>0.62204322572746662</v>
      </c>
      <c r="AR178" s="42">
        <f t="shared" ca="1" si="1212"/>
        <v>0.37795677427253332</v>
      </c>
      <c r="AS178" s="42">
        <f t="shared" ca="1" si="1213"/>
        <v>0.98162450344672281</v>
      </c>
      <c r="AT178" s="42">
        <f t="shared" ca="1" si="1214"/>
        <v>78.529960275737821</v>
      </c>
      <c r="AU178" s="42">
        <f t="shared" ca="1" si="1215"/>
        <v>0.98801719747153338</v>
      </c>
      <c r="AV178" s="42">
        <f t="shared" ca="1" si="1216"/>
        <v>84.969478982551848</v>
      </c>
      <c r="AW178" s="42">
        <f t="shared" ca="1" si="1217"/>
        <v>0.35131755224480393</v>
      </c>
      <c r="AX178" s="42">
        <f t="shared" ca="1" si="1218"/>
        <v>3.5911969326143058</v>
      </c>
      <c r="AY178" s="42">
        <f t="shared" ca="1" si="1219"/>
        <v>-0.30336899461574118</v>
      </c>
      <c r="AZ178" s="42">
        <f t="shared" ca="1" si="1220"/>
        <v>2.0871202635528281E-2</v>
      </c>
      <c r="BA178" s="42">
        <f t="shared" ca="1" si="1104"/>
        <v>-1.5660996276416039E-2</v>
      </c>
      <c r="BB178" s="42">
        <f t="shared" ca="1" si="1221"/>
        <v>0.2032651335919109</v>
      </c>
      <c r="BC178" s="42">
        <f t="shared" ca="1" si="1222"/>
        <v>-0.13761877388573013</v>
      </c>
      <c r="BD178" s="42">
        <f t="shared" ca="1" si="1223"/>
        <v>1029.4015336928474</v>
      </c>
      <c r="BE178" s="40"/>
      <c r="BF178" s="36">
        <f t="shared" si="687"/>
        <v>90</v>
      </c>
      <c r="BG178" s="35">
        <f t="shared" si="1107"/>
        <v>0.28399999999999997</v>
      </c>
      <c r="BH178" s="197">
        <f t="shared" ca="1" si="1286"/>
        <v>169.23611111111677</v>
      </c>
      <c r="BI178" s="41">
        <f t="shared" ca="1" si="1108"/>
        <v>0.46366057838662128</v>
      </c>
      <c r="BJ178" s="40">
        <f t="shared" ca="1" si="1224"/>
        <v>-4.5462374076757635E-2</v>
      </c>
      <c r="BK178" s="40">
        <f t="shared" ca="1" si="1225"/>
        <v>2.5189751902588361E-2</v>
      </c>
      <c r="BL178" s="40">
        <f t="shared" ca="1" si="1226"/>
        <v>0.19338305926412305</v>
      </c>
      <c r="BM178" s="42">
        <f t="shared" ca="1" si="1227"/>
        <v>-0.10483142758891241</v>
      </c>
      <c r="BN178" s="42">
        <f t="shared" ca="1" si="1228"/>
        <v>-0.29821448685303548</v>
      </c>
      <c r="BO178" s="42">
        <f t="shared" ca="1" si="1229"/>
        <v>0.45825478591461938</v>
      </c>
      <c r="BP178" s="42">
        <f t="shared" ca="1" si="1230"/>
        <v>0.54174521408538068</v>
      </c>
      <c r="BQ178" s="42">
        <f t="shared" ca="1" si="1231"/>
        <v>0.38276973282316346</v>
      </c>
      <c r="BR178" s="42">
        <f t="shared" ca="1" si="1232"/>
        <v>0.6172302671768366</v>
      </c>
      <c r="BS178" s="42">
        <f t="shared" ca="1" si="1233"/>
        <v>0.98162450344672281</v>
      </c>
      <c r="BT178" s="42">
        <f t="shared" ca="1" si="1234"/>
        <v>88.34620531020505</v>
      </c>
      <c r="BU178" s="42">
        <f t="shared" ca="1" si="1235"/>
        <v>0.98801719747153338</v>
      </c>
      <c r="BV178" s="42">
        <f t="shared" ca="1" si="1236"/>
        <v>84.969478982551848</v>
      </c>
      <c r="BW178" s="42">
        <f t="shared" ca="1" si="1237"/>
        <v>0.39675617834455401</v>
      </c>
      <c r="BX178" s="42">
        <f t="shared" ca="1" si="1238"/>
        <v>5.1214169978985211</v>
      </c>
      <c r="BY178" s="42">
        <f t="shared" ca="1" si="1239"/>
        <v>0.45276360930727977</v>
      </c>
      <c r="BZ178" s="42">
        <f t="shared" ca="1" si="1240"/>
        <v>2.3570637283037883E-2</v>
      </c>
      <c r="CA178" s="42">
        <f t="shared" ca="1" si="1126"/>
        <v>-2.0193391138743071E-2</v>
      </c>
      <c r="CB178" s="42">
        <f t="shared" ca="1" si="1241"/>
        <v>0.22955499114495098</v>
      </c>
      <c r="CC178" s="42">
        <f t="shared" ca="1" si="1242"/>
        <v>0.15679263611484465</v>
      </c>
      <c r="CD178" s="42">
        <f t="shared" ca="1" si="1243"/>
        <v>839.29150105073938</v>
      </c>
      <c r="CE178" s="40"/>
      <c r="CF178" s="36">
        <f t="shared" si="710"/>
        <v>95</v>
      </c>
      <c r="CG178" s="35">
        <f t="shared" si="1129"/>
        <v>0.28399999999999997</v>
      </c>
      <c r="CH178" s="197">
        <f t="shared" ca="1" si="1287"/>
        <v>169.23611111111677</v>
      </c>
      <c r="CI178" s="41">
        <f t="shared" ca="1" si="1130"/>
        <v>0.46366057838662128</v>
      </c>
      <c r="CJ178" s="40">
        <f t="shared" ca="1" si="1244"/>
        <v>-9.9529595347033428E-2</v>
      </c>
      <c r="CK178" s="40">
        <f t="shared" ca="1" si="1245"/>
        <v>2.5189751902588361E-2</v>
      </c>
      <c r="CL178" s="40">
        <f t="shared" ca="1" si="1246"/>
        <v>0.19338305926412305</v>
      </c>
      <c r="CM178" s="42">
        <f t="shared" ca="1" si="1247"/>
        <v>-0.38441755822526069</v>
      </c>
      <c r="CN178" s="42">
        <f t="shared" ca="1" si="1248"/>
        <v>-0.57780061748938372</v>
      </c>
      <c r="CO178" s="42">
        <f t="shared" ca="1" si="1249"/>
        <v>0.35033449442978287</v>
      </c>
      <c r="CP178" s="42">
        <f t="shared" ca="1" si="1250"/>
        <v>0.64966550557021718</v>
      </c>
      <c r="CQ178" s="42">
        <f t="shared" ca="1" si="1251"/>
        <v>0.28169936917281491</v>
      </c>
      <c r="CR178" s="42">
        <f t="shared" ca="1" si="1252"/>
        <v>0.71830063082718509</v>
      </c>
      <c r="CS178" s="42">
        <f t="shared" ca="1" si="1253"/>
        <v>0.98162450344672281</v>
      </c>
      <c r="CT178" s="42">
        <f t="shared" ca="1" si="1254"/>
        <v>93.254327827438672</v>
      </c>
      <c r="CU178" s="42">
        <f t="shared" ca="1" si="1255"/>
        <v>0.98801719747153338</v>
      </c>
      <c r="CV178" s="42">
        <f t="shared" ca="1" si="1256"/>
        <v>84.969478982551848</v>
      </c>
      <c r="CW178" s="42">
        <f t="shared" ca="1" si="1257"/>
        <v>0.37052774093123558</v>
      </c>
      <c r="CX178" s="42">
        <f t="shared" ca="1" si="1258"/>
        <v>3.4980541396900122</v>
      </c>
      <c r="CY178" s="42">
        <f t="shared" ca="1" si="1259"/>
        <v>0.34613650536412061</v>
      </c>
      <c r="CZ178" s="42">
        <f t="shared" ca="1" si="1260"/>
        <v>2.2012448605675163E-2</v>
      </c>
      <c r="DA178" s="42">
        <f t="shared" ca="1" si="1148"/>
        <v>-1.874627045834756E-2</v>
      </c>
      <c r="DB178" s="42">
        <f t="shared" ca="1" si="1261"/>
        <v>0.21437975495006167</v>
      </c>
      <c r="DC178" s="42">
        <f t="shared" ca="1" si="1262"/>
        <v>0.12180217490258881</v>
      </c>
      <c r="DD178" s="42">
        <f t="shared" ca="1" si="1263"/>
        <v>-825.97293015499406</v>
      </c>
      <c r="DE178" s="40"/>
      <c r="DF178" s="36">
        <f t="shared" si="733"/>
        <v>200</v>
      </c>
      <c r="DG178" s="35">
        <f t="shared" si="1151"/>
        <v>0.28399999999999997</v>
      </c>
      <c r="DH178" s="197">
        <f t="shared" ca="1" si="1288"/>
        <v>169.23611111111677</v>
      </c>
      <c r="DI178" s="41">
        <f t="shared" ca="1" si="1152"/>
        <v>0.46366057838662128</v>
      </c>
      <c r="DJ178" s="40">
        <f t="shared" ca="1" si="1264"/>
        <v>-0.8439700702945292</v>
      </c>
      <c r="DK178" s="40">
        <f t="shared" ca="1" si="1265"/>
        <v>2.5189751902588361E-2</v>
      </c>
      <c r="DL178" s="40">
        <f t="shared" ca="1" si="1266"/>
        <v>0.19338305926412305</v>
      </c>
      <c r="DM178" s="42">
        <f t="shared" ca="1" si="1267"/>
        <v>-4.2339816192154078</v>
      </c>
      <c r="DN178" s="42">
        <f t="shared" ca="1" si="1268"/>
        <v>-4.4273646784795311</v>
      </c>
      <c r="DO178" s="42">
        <f t="shared" ca="1" si="1269"/>
        <v>1.1479485899064839E-5</v>
      </c>
      <c r="DP178" s="42">
        <f t="shared" ca="1" si="1270"/>
        <v>0.99998852051410092</v>
      </c>
      <c r="DQ178" s="42">
        <f t="shared" ca="1" si="1271"/>
        <v>4.7695689807369201E-6</v>
      </c>
      <c r="DR178" s="42">
        <f t="shared" ca="1" si="1272"/>
        <v>0.99999523043101923</v>
      </c>
      <c r="DS178" s="42">
        <f t="shared" ca="1" si="1273"/>
        <v>0.98162450344672281</v>
      </c>
      <c r="DT178" s="42">
        <f t="shared" ca="1" si="1274"/>
        <v>196.32490068934456</v>
      </c>
      <c r="DU178" s="42">
        <f t="shared" ca="1" si="1275"/>
        <v>0.98801719747153338</v>
      </c>
      <c r="DV178" s="42">
        <f t="shared" ca="1" si="1276"/>
        <v>84.969478982551848</v>
      </c>
      <c r="DW178" s="42">
        <f t="shared" ca="1" si="1277"/>
        <v>5.1073810381540488E-5</v>
      </c>
      <c r="DX178" s="42">
        <f t="shared" si="1278"/>
        <v>0</v>
      </c>
      <c r="DY178" s="92">
        <f t="shared" ca="1" si="1279"/>
        <v>0</v>
      </c>
      <c r="DZ178" s="42">
        <f t="shared" ca="1" si="1280"/>
        <v>0</v>
      </c>
      <c r="EA178" s="42">
        <f t="shared" ca="1" si="1170"/>
        <v>0</v>
      </c>
      <c r="EB178" s="42">
        <f t="shared" ca="1" si="1281"/>
        <v>0</v>
      </c>
      <c r="EC178" s="42">
        <f t="shared" ca="1" si="1282"/>
        <v>0</v>
      </c>
      <c r="ED178" s="42">
        <f t="shared" ca="1" si="1283"/>
        <v>0</v>
      </c>
      <c r="EE178" s="40"/>
      <c r="EF178" s="120">
        <f t="shared" ca="1" si="756"/>
        <v>85.999999999999972</v>
      </c>
      <c r="EG178" s="42">
        <f t="shared" ca="1" si="1173"/>
        <v>258.29801080379195</v>
      </c>
      <c r="EH178" s="36">
        <f t="shared" ca="1" si="1174"/>
        <v>258.29801080379195</v>
      </c>
      <c r="EI178" s="143">
        <f t="shared" ca="1" si="1175"/>
        <v>258.298</v>
      </c>
      <c r="EJ178" s="143">
        <f t="shared" ca="1" si="1183"/>
        <v>-4.3000000000006366E-2</v>
      </c>
      <c r="EK178" s="153">
        <f t="shared" ca="1" si="1176"/>
        <v>0</v>
      </c>
      <c r="EL178" s="143">
        <f t="shared" ca="1" si="1177"/>
        <v>0</v>
      </c>
    </row>
    <row r="179" spans="1:143" x14ac:dyDescent="0.3">
      <c r="A179" s="143">
        <f t="shared" ca="1" si="1178"/>
        <v>86.049999999999969</v>
      </c>
      <c r="B179" s="144">
        <f t="shared" ca="1" si="1179"/>
        <v>0.28399999999999997</v>
      </c>
      <c r="C179" s="145">
        <f t="shared" ca="1" si="1180"/>
        <v>45295.440972222219</v>
      </c>
      <c r="D179" s="144">
        <f t="shared" ca="1" si="1181"/>
        <v>2.5999999999999999E-2</v>
      </c>
      <c r="E179" s="144">
        <f t="shared" ca="1" si="1182"/>
        <v>0.04</v>
      </c>
      <c r="F179" s="36">
        <f t="shared" si="641"/>
        <v>75</v>
      </c>
      <c r="G179" s="35">
        <f t="shared" si="1063"/>
        <v>0.28399999999999997</v>
      </c>
      <c r="H179" s="197">
        <f t="shared" ca="1" si="1284"/>
        <v>169.23611111111677</v>
      </c>
      <c r="I179" s="41">
        <f t="shared" ca="1" si="1064"/>
        <v>0.46366057838662128</v>
      </c>
      <c r="J179" s="40">
        <f t="shared" ca="1" si="1184"/>
        <v>0.13744040912123759</v>
      </c>
      <c r="K179" s="40">
        <f t="shared" ca="1" si="1185"/>
        <v>2.5189751902588361E-2</v>
      </c>
      <c r="L179" s="40">
        <f t="shared" ca="1" si="1186"/>
        <v>0.19338305926412305</v>
      </c>
      <c r="M179" s="42">
        <f t="shared" ca="1" si="1187"/>
        <v>0.84097418689454728</v>
      </c>
      <c r="N179" s="42">
        <f t="shared" ca="1" si="1188"/>
        <v>0.64759112763042426</v>
      </c>
      <c r="O179" s="42">
        <f t="shared" ca="1" si="1189"/>
        <v>0.79981880224918211</v>
      </c>
      <c r="P179" s="42">
        <f t="shared" ca="1" si="1190"/>
        <v>0.20018119775081789</v>
      </c>
      <c r="Q179" s="42">
        <f t="shared" ca="1" si="1191"/>
        <v>0.74137528135332409</v>
      </c>
      <c r="R179" s="42">
        <f t="shared" ca="1" si="1192"/>
        <v>0.25862471864667586</v>
      </c>
      <c r="S179" s="42">
        <f t="shared" ca="1" si="1193"/>
        <v>0.98162450344672281</v>
      </c>
      <c r="T179" s="42">
        <f t="shared" ca="1" si="1194"/>
        <v>73.621837758504213</v>
      </c>
      <c r="U179" s="42">
        <f t="shared" ca="1" si="1195"/>
        <v>0.98801719747153338</v>
      </c>
      <c r="V179" s="42">
        <f t="shared" ca="1" si="1196"/>
        <v>85.01887984242542</v>
      </c>
      <c r="W179" s="42">
        <f t="shared" ca="1" si="1197"/>
        <v>0.28011436165535242</v>
      </c>
      <c r="X179" s="42">
        <f t="shared" ca="1" si="1198"/>
        <v>2.0212458782547813</v>
      </c>
      <c r="Y179" s="42">
        <f t="shared" ca="1" si="1199"/>
        <v>-0.19778246598825791</v>
      </c>
      <c r="Z179" s="42">
        <f t="shared" ca="1" si="1200"/>
        <v>1.6631467786265366E-2</v>
      </c>
      <c r="AA179" s="42">
        <f t="shared" ca="1" si="1082"/>
        <v>-1.273219438864376E-2</v>
      </c>
      <c r="AB179" s="42">
        <f t="shared" ca="1" si="1201"/>
        <v>0.16216265303779578</v>
      </c>
      <c r="AC179" s="42">
        <f t="shared" ca="1" si="1202"/>
        <v>-8.8282954310388476E-2</v>
      </c>
      <c r="AD179" s="42">
        <f t="shared" ca="1" si="1203"/>
        <v>-789.37706087260938</v>
      </c>
      <c r="AF179" s="36">
        <f t="shared" si="664"/>
        <v>80</v>
      </c>
      <c r="AG179" s="35">
        <f t="shared" si="1085"/>
        <v>0.28399999999999997</v>
      </c>
      <c r="AH179" s="197">
        <f t="shared" ca="1" si="1285"/>
        <v>169.23611111111677</v>
      </c>
      <c r="AI179" s="41">
        <f t="shared" ca="1" si="1086"/>
        <v>0.46366057838662128</v>
      </c>
      <c r="AJ179" s="40">
        <f t="shared" ca="1" si="1204"/>
        <v>7.2901887983666452E-2</v>
      </c>
      <c r="AK179" s="40">
        <f t="shared" ca="1" si="1205"/>
        <v>2.5189751902588361E-2</v>
      </c>
      <c r="AL179" s="40">
        <f t="shared" ca="1" si="1206"/>
        <v>0.19338305926412305</v>
      </c>
      <c r="AM179" s="42">
        <f t="shared" ca="1" si="1207"/>
        <v>0.50724008741779714</v>
      </c>
      <c r="AN179" s="42">
        <f t="shared" ca="1" si="1208"/>
        <v>0.31385702815367411</v>
      </c>
      <c r="AO179" s="42">
        <f t="shared" ca="1" si="1209"/>
        <v>0.69400681465394043</v>
      </c>
      <c r="AP179" s="42">
        <f t="shared" ca="1" si="1210"/>
        <v>0.30599318534605957</v>
      </c>
      <c r="AQ179" s="42">
        <f t="shared" ca="1" si="1211"/>
        <v>0.62318518553586788</v>
      </c>
      <c r="AR179" s="42">
        <f t="shared" ca="1" si="1212"/>
        <v>0.37681481446413206</v>
      </c>
      <c r="AS179" s="42">
        <f t="shared" ca="1" si="1213"/>
        <v>0.98162450344672281</v>
      </c>
      <c r="AT179" s="42">
        <f t="shared" ca="1" si="1214"/>
        <v>78.529960275737821</v>
      </c>
      <c r="AU179" s="42">
        <f t="shared" ca="1" si="1215"/>
        <v>0.98801719747153338</v>
      </c>
      <c r="AV179" s="42">
        <f t="shared" ca="1" si="1216"/>
        <v>85.01887984242542</v>
      </c>
      <c r="AW179" s="42">
        <f t="shared" ca="1" si="1217"/>
        <v>0.35078394500128457</v>
      </c>
      <c r="AX179" s="42">
        <f t="shared" ca="1" si="1218"/>
        <v>3.5760545536401587</v>
      </c>
      <c r="AY179" s="42">
        <f t="shared" ca="1" si="1219"/>
        <v>-0.30232652943100125</v>
      </c>
      <c r="AZ179" s="42">
        <f t="shared" ca="1" si="1220"/>
        <v>2.0827392950333819E-2</v>
      </c>
      <c r="BA179" s="42">
        <f t="shared" ca="1" si="1104"/>
        <v>-1.5649510613172126E-2</v>
      </c>
      <c r="BB179" s="42">
        <f t="shared" ca="1" si="1221"/>
        <v>0.20307439728656843</v>
      </c>
      <c r="BC179" s="42">
        <f t="shared" ca="1" si="1222"/>
        <v>-0.13720297208151205</v>
      </c>
      <c r="BD179" s="42">
        <f t="shared" ca="1" si="1223"/>
        <v>1036.9727231799209</v>
      </c>
      <c r="BE179" s="40"/>
      <c r="BF179" s="36">
        <f t="shared" si="687"/>
        <v>90</v>
      </c>
      <c r="BG179" s="35">
        <f t="shared" si="1107"/>
        <v>0.28399999999999997</v>
      </c>
      <c r="BH179" s="197">
        <f t="shared" ca="1" si="1286"/>
        <v>169.23611111111677</v>
      </c>
      <c r="BI179" s="41">
        <f t="shared" ca="1" si="1108"/>
        <v>0.46366057838662128</v>
      </c>
      <c r="BJ179" s="40">
        <f t="shared" ca="1" si="1224"/>
        <v>-4.4881147672716969E-2</v>
      </c>
      <c r="BK179" s="40">
        <f t="shared" ca="1" si="1225"/>
        <v>2.5189751902588361E-2</v>
      </c>
      <c r="BL179" s="40">
        <f t="shared" ca="1" si="1226"/>
        <v>0.19338305926412305</v>
      </c>
      <c r="BM179" s="42">
        <f t="shared" ca="1" si="1227"/>
        <v>-0.10182585716173852</v>
      </c>
      <c r="BN179" s="42">
        <f t="shared" ca="1" si="1228"/>
        <v>-0.29520891642586156</v>
      </c>
      <c r="BO179" s="42">
        <f t="shared" ca="1" si="1229"/>
        <v>0.4594474506370278</v>
      </c>
      <c r="BP179" s="42">
        <f t="shared" ca="1" si="1230"/>
        <v>0.54055254936297215</v>
      </c>
      <c r="BQ179" s="42">
        <f t="shared" ca="1" si="1231"/>
        <v>0.38391714552425754</v>
      </c>
      <c r="BR179" s="42">
        <f t="shared" ca="1" si="1232"/>
        <v>0.6160828544757424</v>
      </c>
      <c r="BS179" s="42">
        <f t="shared" ca="1" si="1233"/>
        <v>0.98162450344672281</v>
      </c>
      <c r="BT179" s="42">
        <f t="shared" ca="1" si="1234"/>
        <v>88.34620531020505</v>
      </c>
      <c r="BU179" s="42">
        <f t="shared" ca="1" si="1235"/>
        <v>0.98801719747153338</v>
      </c>
      <c r="BV179" s="42">
        <f t="shared" ca="1" si="1236"/>
        <v>85.01887984242542</v>
      </c>
      <c r="BW179" s="42">
        <f t="shared" ca="1" si="1237"/>
        <v>0.39687941467835858</v>
      </c>
      <c r="BX179" s="42">
        <f t="shared" ca="1" si="1238"/>
        <v>5.1440846390242285</v>
      </c>
      <c r="BY179" s="42">
        <f t="shared" ca="1" si="1239"/>
        <v>0.45394198256383689</v>
      </c>
      <c r="BZ179" s="42">
        <f t="shared" ca="1" si="1240"/>
        <v>2.3564258402346175E-2</v>
      </c>
      <c r="CA179" s="42">
        <f t="shared" ca="1" si="1126"/>
        <v>-2.0212849120465649E-2</v>
      </c>
      <c r="CB179" s="42">
        <f t="shared" ca="1" si="1241"/>
        <v>0.22975979682011552</v>
      </c>
      <c r="CC179" s="42">
        <f t="shared" ca="1" si="1242"/>
        <v>0.15726264679408325</v>
      </c>
      <c r="CD179" s="42">
        <f t="shared" ca="1" si="1243"/>
        <v>827.95768048788568</v>
      </c>
      <c r="CE179" s="40"/>
      <c r="CF179" s="36">
        <f t="shared" si="710"/>
        <v>95</v>
      </c>
      <c r="CG179" s="35">
        <f t="shared" si="1129"/>
        <v>0.28399999999999997</v>
      </c>
      <c r="CH179" s="197">
        <f t="shared" ca="1" si="1287"/>
        <v>169.23611111111677</v>
      </c>
      <c r="CI179" s="41">
        <f t="shared" ca="1" si="1130"/>
        <v>0.46366057838662128</v>
      </c>
      <c r="CJ179" s="40">
        <f t="shared" ca="1" si="1244"/>
        <v>-9.8948368942992831E-2</v>
      </c>
      <c r="CK179" s="40">
        <f t="shared" ca="1" si="1245"/>
        <v>2.5189751902588361E-2</v>
      </c>
      <c r="CL179" s="40">
        <f t="shared" ca="1" si="1246"/>
        <v>0.19338305926412305</v>
      </c>
      <c r="CM179" s="42">
        <f t="shared" ca="1" si="1247"/>
        <v>-0.38141198779808716</v>
      </c>
      <c r="CN179" s="42">
        <f t="shared" ca="1" si="1248"/>
        <v>-0.57479504706221018</v>
      </c>
      <c r="CO179" s="42">
        <f t="shared" ca="1" si="1249"/>
        <v>0.35144878357077125</v>
      </c>
      <c r="CP179" s="42">
        <f t="shared" ca="1" si="1250"/>
        <v>0.64855121642922875</v>
      </c>
      <c r="CQ179" s="42">
        <f t="shared" ca="1" si="1251"/>
        <v>0.28271495843270344</v>
      </c>
      <c r="CR179" s="42">
        <f t="shared" ca="1" si="1252"/>
        <v>0.71728504156729656</v>
      </c>
      <c r="CS179" s="42">
        <f t="shared" ca="1" si="1253"/>
        <v>0.98162450344672281</v>
      </c>
      <c r="CT179" s="42">
        <f t="shared" ca="1" si="1254"/>
        <v>93.254327827438672</v>
      </c>
      <c r="CU179" s="42">
        <f t="shared" ca="1" si="1255"/>
        <v>0.98801719747153338</v>
      </c>
      <c r="CV179" s="42">
        <f t="shared" ca="1" si="1256"/>
        <v>85.01887984242542</v>
      </c>
      <c r="CW179" s="42">
        <f t="shared" ca="1" si="1257"/>
        <v>0.37095441838352877</v>
      </c>
      <c r="CX179" s="42">
        <f t="shared" ca="1" si="1258"/>
        <v>3.5153884857659534</v>
      </c>
      <c r="CY179" s="42">
        <f t="shared" ca="1" si="1259"/>
        <v>0.34723744219837288</v>
      </c>
      <c r="CZ179" s="42">
        <f t="shared" ca="1" si="1260"/>
        <v>2.2024991589361356E-2</v>
      </c>
      <c r="DA179" s="42">
        <f t="shared" ca="1" si="1148"/>
        <v>-1.8779852130251507E-2</v>
      </c>
      <c r="DB179" s="42">
        <f t="shared" ca="1" si="1261"/>
        <v>0.2147514046965541</v>
      </c>
      <c r="DC179" s="42">
        <f t="shared" ca="1" si="1262"/>
        <v>0.12224129899798659</v>
      </c>
      <c r="DD179" s="42">
        <f t="shared" ca="1" si="1263"/>
        <v>-817.30575711702352</v>
      </c>
      <c r="DE179" s="40"/>
      <c r="DF179" s="36">
        <f t="shared" si="733"/>
        <v>200</v>
      </c>
      <c r="DG179" s="35">
        <f t="shared" si="1151"/>
        <v>0.28399999999999997</v>
      </c>
      <c r="DH179" s="197">
        <f t="shared" ca="1" si="1288"/>
        <v>169.23611111111677</v>
      </c>
      <c r="DI179" s="41">
        <f t="shared" ca="1" si="1152"/>
        <v>0.46366057838662128</v>
      </c>
      <c r="DJ179" s="40">
        <f t="shared" ca="1" si="1264"/>
        <v>-0.84338884389048863</v>
      </c>
      <c r="DK179" s="40">
        <f t="shared" ca="1" si="1265"/>
        <v>2.5189751902588361E-2</v>
      </c>
      <c r="DL179" s="40">
        <f t="shared" ca="1" si="1266"/>
        <v>0.19338305926412305</v>
      </c>
      <c r="DM179" s="42">
        <f t="shared" ca="1" si="1267"/>
        <v>-4.230976048788234</v>
      </c>
      <c r="DN179" s="42">
        <f t="shared" ca="1" si="1268"/>
        <v>-4.4243591080523572</v>
      </c>
      <c r="DO179" s="42">
        <f t="shared" ca="1" si="1269"/>
        <v>1.1633972478316401E-5</v>
      </c>
      <c r="DP179" s="42">
        <f t="shared" ca="1" si="1270"/>
        <v>0.99998836602752172</v>
      </c>
      <c r="DQ179" s="42">
        <f t="shared" ca="1" si="1271"/>
        <v>4.8364502969034948E-6</v>
      </c>
      <c r="DR179" s="42">
        <f t="shared" ca="1" si="1272"/>
        <v>0.99999516354970308</v>
      </c>
      <c r="DS179" s="42">
        <f t="shared" ca="1" si="1273"/>
        <v>0.98162450344672281</v>
      </c>
      <c r="DT179" s="42">
        <f t="shared" ca="1" si="1274"/>
        <v>196.32490068934456</v>
      </c>
      <c r="DU179" s="42">
        <f t="shared" ca="1" si="1275"/>
        <v>0.98801719747153338</v>
      </c>
      <c r="DV179" s="42">
        <f t="shared" ca="1" si="1276"/>
        <v>85.01887984242542</v>
      </c>
      <c r="DW179" s="42">
        <f t="shared" ca="1" si="1277"/>
        <v>5.1727671066142841E-5</v>
      </c>
      <c r="DX179" s="42">
        <f t="shared" si="1278"/>
        <v>0</v>
      </c>
      <c r="DY179" s="92">
        <f t="shared" ca="1" si="1279"/>
        <v>0</v>
      </c>
      <c r="DZ179" s="42">
        <f t="shared" ca="1" si="1280"/>
        <v>0</v>
      </c>
      <c r="EA179" s="42">
        <f t="shared" ca="1" si="1170"/>
        <v>0</v>
      </c>
      <c r="EB179" s="42">
        <f t="shared" ca="1" si="1281"/>
        <v>0</v>
      </c>
      <c r="EC179" s="42">
        <f t="shared" ca="1" si="1282"/>
        <v>0</v>
      </c>
      <c r="ED179" s="42">
        <f t="shared" ca="1" si="1283"/>
        <v>0</v>
      </c>
      <c r="EE179" s="40"/>
      <c r="EF179" s="120">
        <f t="shared" ca="1" si="756"/>
        <v>86.049999999999969</v>
      </c>
      <c r="EG179" s="42">
        <f t="shared" ca="1" si="1173"/>
        <v>258.24758567817378</v>
      </c>
      <c r="EH179" s="36">
        <f t="shared" ca="1" si="1174"/>
        <v>258.24758567817378</v>
      </c>
      <c r="EI179" s="143">
        <f t="shared" ca="1" si="1175"/>
        <v>258.24799999999999</v>
      </c>
      <c r="EJ179" s="143">
        <f t="shared" ca="1" si="1183"/>
        <v>-5.0000000000011369E-2</v>
      </c>
      <c r="EK179" s="153">
        <f t="shared" ca="1" si="1176"/>
        <v>0</v>
      </c>
      <c r="EL179" s="143">
        <f t="shared" ca="1" si="1177"/>
        <v>0</v>
      </c>
    </row>
    <row r="180" spans="1:143" x14ac:dyDescent="0.3">
      <c r="A180" s="152">
        <v>3</v>
      </c>
      <c r="B180" s="149">
        <f ca="1">MATCH($A180,$EN$53:$EN$149,0)</f>
        <v>82</v>
      </c>
      <c r="C180" s="150" t="str">
        <f ca="1">IF(ISNUMBER($B180),INDEX($EL$53:$EL$149,$B180),"")</f>
        <v>B/E ALL</v>
      </c>
      <c r="D180" s="163" t="str">
        <f ca="1">IF($C180="","",LEFT($C180,3))</f>
        <v>B/E</v>
      </c>
      <c r="E180" s="150" t="str">
        <f ca="1">IF($C180="","",MID($C180,5,3))</f>
        <v>ALL</v>
      </c>
      <c r="F180" s="150">
        <f ca="1">IF(ISNUMBER($B180),IF($E180="BEG",INDEX($EF$51:$EF$147,$B180),INDEX($EF$52:$EF$148,$B180)),"")</f>
        <v>101.5</v>
      </c>
      <c r="G180" s="150" t="str">
        <f ca="1">IF($D180="MAX",MAX($EI181:$EI193),IF($D180="MIN",MIN($EI181:$EI193),""))</f>
        <v/>
      </c>
      <c r="H180" s="150">
        <f ca="1">IF($D180="B/E",MAX($EL182:$EL193),IF($G180="","",SUM($EK181:$EK193)))</f>
        <v>2</v>
      </c>
      <c r="I180" s="150">
        <f ca="1">IF($D180="B/E",MATCH($H180,$EL182:$EL193,0)+1,IF($E180="END",$H180,IF($E180="BEG",14-$H180,IF($E180="MID",MATCH(1,$EK181:$EK193,0),""))))</f>
        <v>3</v>
      </c>
      <c r="J180" s="150">
        <f ca="1">IF($I180="","",INDEX($EF181:$EF193,$I180))</f>
        <v>101.55</v>
      </c>
      <c r="K180" s="150">
        <f ca="1">IF($D180="B/E",INDEX($EI181:$EI193,$I180-1),"")</f>
        <v>0.36199999999999999</v>
      </c>
      <c r="L180" s="150">
        <f ca="1">IF($D180="B/E",INDEX($EI181:$EI193,$I180),"")</f>
        <v>-0.88800000000000001</v>
      </c>
      <c r="M180" s="150" t="str">
        <f ca="1">IF($E180="BEG",INDEX($EJ181:$EJ193,$I180-1),"")</f>
        <v/>
      </c>
      <c r="N180" s="150" t="str">
        <f ca="1">IF(OR($E180="BEG",$E180="MID"),INDEX($EJ181:$EJ193,$I180),"")</f>
        <v/>
      </c>
      <c r="O180" s="150" t="str">
        <f ca="1">IF(OR($E180="MID",$E180="END"),INDEX($EJ181:$EJ193,$I180+1),"")</f>
        <v/>
      </c>
      <c r="P180" s="150" t="str">
        <f ca="1">IF($E180="END",INDEX($EJ181:$EJ193,$I180+2),"")</f>
        <v/>
      </c>
      <c r="Q180" s="150">
        <f ca="1">IF($D180="B/E",IF($H180=1,$J180,IF($H180=2,$J180+$EF$48*(ABS($K180/($L180-$K180))-1),$J180)),"")</f>
        <v>101.51447999999999</v>
      </c>
      <c r="R180" s="150" t="str">
        <f ca="1">IF($E180="BEG",$J180-IF(AND(ISNUMBER($M180),$M180&lt;&gt;0),$EF$48*(1-$N180/$M180),0),"")</f>
        <v/>
      </c>
      <c r="S180" s="150" t="str">
        <f ca="1">IF($E180="MID",$J180+$EF$48*(ABS($N180)-ABS($O180))/MAX(ABS($N180),ABS($O180))/2,"")</f>
        <v/>
      </c>
      <c r="T180" s="150" t="str">
        <f ca="1">IF($E180="END",$J180+IF(AND(ISNUMBER($P180),$P180&lt;&gt;0),$EF$48*(1-$O180/$P180),0),"")</f>
        <v/>
      </c>
      <c r="U180" s="150">
        <f ca="1">IF($D180="B/E",$Q180,IF($E180="BEG",$R180,IF($E180="MID",$S180,IF($E180="END",$T180,""))))</f>
        <v>101.51447999999999</v>
      </c>
      <c r="V180" s="163">
        <f ca="1">IF(ISNUMBER($U180),$U180,IF($D180="","",$F180))</f>
        <v>101.51447999999999</v>
      </c>
      <c r="W180" s="163">
        <f ca="1">IF(AND(ISNUMBER($V180),ISNUMBER($EI$239)),$EI$239,"")</f>
        <v>0</v>
      </c>
      <c r="AH180" s="201"/>
      <c r="BH180" s="201"/>
      <c r="CH180" s="201"/>
      <c r="DH180" s="201"/>
      <c r="EF180" s="120"/>
      <c r="EG180" s="42"/>
      <c r="EH180" s="36"/>
      <c r="EI180" s="155" t="s">
        <v>109</v>
      </c>
      <c r="EJ180" s="155" t="s">
        <v>110</v>
      </c>
      <c r="EK180" s="155" t="s">
        <v>112</v>
      </c>
      <c r="EL180" s="155" t="s">
        <v>116</v>
      </c>
    </row>
    <row r="181" spans="1:143" x14ac:dyDescent="0.3">
      <c r="A181" s="146">
        <f ca="1">IF(AND($M$22=1,ISNUMBER($B$180)),$F$180-$EF$48,A$48)</f>
        <v>101.45</v>
      </c>
      <c r="B181" s="147">
        <f ca="1">IF(AND($M$22=2,ISNUMBER($B$180)),$F$180-$EF$48,B$48)</f>
        <v>0.28399999999999997</v>
      </c>
      <c r="C181" s="148">
        <f ca="1">IF(AND($M$22=3,ISNUMBER($B$180)),$F$180-$EF$48,C$48)</f>
        <v>45295.440972222219</v>
      </c>
      <c r="D181" s="147">
        <f ca="1">IF(AND($M$22=4,ISNUMBER($B$180)),$F$180-$EF$48,D$48)</f>
        <v>2.5999999999999999E-2</v>
      </c>
      <c r="E181" s="147">
        <f ca="1">IF(AND($M$22=5,ISNUMBER($B$180)),$F$180-$EF$48,E$48)</f>
        <v>0.04</v>
      </c>
      <c r="F181" s="36">
        <f t="shared" si="641"/>
        <v>75</v>
      </c>
      <c r="G181" s="35">
        <f t="shared" ref="G181:G193" si="1289">IF($M$22=2,$B181,G$48)</f>
        <v>0.28399999999999997</v>
      </c>
      <c r="H181" s="197">
        <f t="shared" ref="H181:H235" ca="1" si="1290">MAX($C$48+H$48-$C181,0)</f>
        <v>169.23611111111677</v>
      </c>
      <c r="I181" s="41">
        <f t="shared" ref="I181:I193" ca="1" si="1291">H181/365</f>
        <v>0.46366057838662128</v>
      </c>
      <c r="J181" s="40">
        <f t="shared" ref="J181:J183" ca="1" si="1292">LN($A181/F181)</f>
        <v>0.3020779527355133</v>
      </c>
      <c r="K181" s="40">
        <f t="shared" ref="K181:K183" ca="1" si="1293">($E181-$D181+POWER(G181,2)/2)*I181</f>
        <v>2.5189751902588361E-2</v>
      </c>
      <c r="L181" s="40">
        <f t="shared" ref="L181:L183" ca="1" si="1294">MAX(0,0.000000000001,G181*SQRT(I181))</f>
        <v>0.19338305926412305</v>
      </c>
      <c r="M181" s="42">
        <f t="shared" ref="M181:M183" ca="1" si="1295">(J181+K181)/L181</f>
        <v>1.6923287173315356</v>
      </c>
      <c r="N181" s="42">
        <f t="shared" ref="N181:N183" ca="1" si="1296">M181-L181</f>
        <v>1.4989456580674125</v>
      </c>
      <c r="O181" s="42">
        <f t="shared" ref="O181:O183" ca="1" si="1297">_xlfn.NORM.DIST(M181,0,1,TRUE)</f>
        <v>0.95470834235633684</v>
      </c>
      <c r="P181" s="42">
        <f t="shared" ref="P181:P183" ca="1" si="1298">_xlfn.NORM.DIST(-M181,0,1,TRUE)</f>
        <v>4.529165764366315E-2</v>
      </c>
      <c r="Q181" s="42">
        <f t="shared" ref="Q181:Q183" ca="1" si="1299">_xlfn.NORM.DIST(N181,0,1,TRUE)</f>
        <v>0.93305613488500094</v>
      </c>
      <c r="R181" s="42">
        <f t="shared" ref="R181:R183" ca="1" si="1300">_xlfn.NORM.DIST(-N181,0,1,TRUE)</f>
        <v>6.6943865114999057E-2</v>
      </c>
      <c r="S181" s="42">
        <f t="shared" ref="S181:S183" ca="1" si="1301">EXP(-$E181*I181)</f>
        <v>0.98162450344672281</v>
      </c>
      <c r="T181" s="42">
        <f t="shared" ref="T181:T183" ca="1" si="1302">F181*S181</f>
        <v>73.621837758504213</v>
      </c>
      <c r="U181" s="42">
        <f t="shared" ref="U181:U183" ca="1" si="1303">EXP(-$D181*I181)</f>
        <v>0.98801719747153338</v>
      </c>
      <c r="V181" s="42">
        <f t="shared" ref="V181:V183" ca="1" si="1304">$A181*U181</f>
        <v>100.23434468348707</v>
      </c>
      <c r="W181" s="42">
        <f t="shared" ref="W181:W183" ca="1" si="1305">EXP(-1*POWER(M181,2)/2)/SQRT(2*PI())</f>
        <v>9.5280817217960806E-2</v>
      </c>
      <c r="X181" s="42">
        <f t="shared" ref="X181:X183" ca="1" si="1306">IF($F$8=1,0,IF($F$8=2,$A181,IF($F$8=3,V181*O181-T181*Q181,T181*R181-V181*P181)))</f>
        <v>0.38875075288222671</v>
      </c>
      <c r="Y181" s="42">
        <f t="shared" ref="Y181:Y183" ca="1" si="1307">IF($F$8=2,1,IF(OR($F$8=1,I181&lt;=0),0,IF($F$8=3,O181*U181,(O181-1)*U181)))</f>
        <v>-4.4748936653932231E-2</v>
      </c>
      <c r="Z181" s="42">
        <f t="shared" ref="Z181:Z183" ca="1" si="1308">IF(OR($F$8&lt;=2,I181&lt;=0),0,W181*U181/($A181*L181))</f>
        <v>4.7984337126836338E-3</v>
      </c>
      <c r="AA181" s="42">
        <f t="shared" ref="AA181:AA193" ca="1" si="1309">IF(OR($F$8&lt;=2,I181&lt;=0),0,(IF($F$8=3,-1*$E181*F181*S181*Q181+$D181*$A181*U181*O181,$E181*F181*S181*R181-$D181*$A181*U181*P181)-(W181*$A181*G181*U181/(2*SQRT(I181))))/365)</f>
        <v>-5.2398096390661938E-3</v>
      </c>
      <c r="AB181" s="42">
        <f t="shared" ref="AB181:AB183" ca="1" si="1310">IF(OR($F$8&lt;=2,I181&lt;=0),0,(W181*$A181*U181*SQRT(I181))/100)</f>
        <v>6.5031251977413926E-2</v>
      </c>
      <c r="AC181" s="42">
        <f t="shared" ref="AC181:AC183" ca="1" si="1311">IF(OR($F$8&lt;=2,I181&lt;=0),0,IF($F$8=3,Q181,-1*R181)*F181*I181*S181/100)</f>
        <v>-2.2851652449286219E-2</v>
      </c>
      <c r="AD181" s="42">
        <f ca="1">IF($F$8=1,0,IF($M$28=1,X181-$G$8,OFFSET(V181,0,$M$28))*IF($M$30=1,SIGN($B$8),$T$8))</f>
        <v>-1605.6246235588867</v>
      </c>
      <c r="AF181" s="36">
        <f t="shared" si="664"/>
        <v>80</v>
      </c>
      <c r="AG181" s="35">
        <f t="shared" ref="AG181:AG193" si="1312">IF($M$22=2,$B181,AG$48)</f>
        <v>0.28399999999999997</v>
      </c>
      <c r="AH181" s="197">
        <f t="shared" ref="AH181:AH235" ca="1" si="1313">MAX($C$48+AH$48-$C181,0)</f>
        <v>169.23611111111677</v>
      </c>
      <c r="AI181" s="41">
        <f t="shared" ref="AI181:AI193" ca="1" si="1314">AH181/365</f>
        <v>0.46366057838662128</v>
      </c>
      <c r="AJ181" s="40">
        <f t="shared" ref="AJ181:AJ183" ca="1" si="1315">LN($A181/AF181)</f>
        <v>0.23753943159794211</v>
      </c>
      <c r="AK181" s="40">
        <f t="shared" ref="AK181:AK183" ca="1" si="1316">($E181-$D181+POWER(AG181,2)/2)*AI181</f>
        <v>2.5189751902588361E-2</v>
      </c>
      <c r="AL181" s="40">
        <f t="shared" ref="AL181:AL183" ca="1" si="1317">MAX(0,0.000000000001,AG181*SQRT(AI181))</f>
        <v>0.19338305926412305</v>
      </c>
      <c r="AM181" s="42">
        <f t="shared" ref="AM181:AM183" ca="1" si="1318">(AJ181+AK181)/AL181</f>
        <v>1.358594617854785</v>
      </c>
      <c r="AN181" s="42">
        <f t="shared" ref="AN181:AN183" ca="1" si="1319">AM181-AL181</f>
        <v>1.1652115585906619</v>
      </c>
      <c r="AO181" s="42">
        <f t="shared" ref="AO181:AO183" ca="1" si="1320">_xlfn.NORM.DIST(AM181,0,1,TRUE)</f>
        <v>0.91286245918890585</v>
      </c>
      <c r="AP181" s="42">
        <f t="shared" ref="AP181:AP183" ca="1" si="1321">_xlfn.NORM.DIST(-AM181,0,1,TRUE)</f>
        <v>8.7137540811094108E-2</v>
      </c>
      <c r="AQ181" s="42">
        <f t="shared" ref="AQ181:AQ183" ca="1" si="1322">_xlfn.NORM.DIST(AN181,0,1,TRUE)</f>
        <v>0.87803331597799361</v>
      </c>
      <c r="AR181" s="42">
        <f t="shared" ref="AR181:AR183" ca="1" si="1323">_xlfn.NORM.DIST(-AN181,0,1,TRUE)</f>
        <v>0.1219666840220064</v>
      </c>
      <c r="AS181" s="42">
        <f t="shared" ref="AS181:AS183" ca="1" si="1324">EXP(-$E181*AI181)</f>
        <v>0.98162450344672281</v>
      </c>
      <c r="AT181" s="42">
        <f t="shared" ref="AT181:AT183" ca="1" si="1325">AF181*AS181</f>
        <v>78.529960275737821</v>
      </c>
      <c r="AU181" s="42">
        <f t="shared" ref="AU181:AU183" ca="1" si="1326">EXP(-$D181*AI181)</f>
        <v>0.98801719747153338</v>
      </c>
      <c r="AV181" s="42">
        <f t="shared" ref="AV181:AV183" ca="1" si="1327">$A181*AU181</f>
        <v>100.23434468348707</v>
      </c>
      <c r="AW181" s="42">
        <f t="shared" ref="AW181:AW183" ca="1" si="1328">EXP(-1*POWER(AM181,2)/2)/SQRT(2*PI())</f>
        <v>0.15852734117145742</v>
      </c>
      <c r="AX181" s="42">
        <f t="shared" ref="AX181:AX183" ca="1" si="1329">IF($F$10=1,0,IF($F$10=2,$A181,IF($F$10=3,AV181*AO181-AT181*AQ181,AT181*AR181-AV181*AP181)))</f>
        <v>0.84386455068100297</v>
      </c>
      <c r="AY181" s="42">
        <f t="shared" ref="AY181:AY183" ca="1" si="1330">IF($F$10=2,1,IF(OR($F$10=1,AI181&lt;=0),0,IF($F$10=3,AO181*AU181,(AO181-1)*AU181)))</f>
        <v>-8.6093388866738604E-2</v>
      </c>
      <c r="AZ181" s="42">
        <f t="shared" ref="AZ181:AZ183" ca="1" si="1331">IF(OR($F$10&lt;=2,AI181&lt;=0),0,AW181*AU181/($A181*AL181))</f>
        <v>7.983589566818175E-3</v>
      </c>
      <c r="BA181" s="42">
        <f t="shared" ref="BA181:BA193" ca="1" si="1332">IF(OR($F$10&lt;=2,AI181&lt;=0),0,(IF($F$10=3,-1*$E181*AF181*AS181*AQ181+$D181*$A181*AU181*AO181,$E181*AF181*AS181*AR181-$D181*$A181*AU181*AP181)-(AW181*$A181*AG181*AU181/(2*SQRT(AI181))))/365)</f>
        <v>-8.651054635101527E-3</v>
      </c>
      <c r="BB181" s="42">
        <f t="shared" ref="BB181:BB183" ca="1" si="1333">IF(OR($F$10&lt;=2,AI181&lt;=0),0,(AW181*$A181*AU181*SQRT(AI181))/100)</f>
        <v>0.10819839470360022</v>
      </c>
      <c r="BC181" s="42">
        <f t="shared" ref="BC181:BC183" ca="1" si="1334">IF(OR($F$10&lt;=2,AI181&lt;=0),0,IF($F$10=3,AQ181,-1*AR181)*AF181*AI181*AS181/100)</f>
        <v>-4.4409590335623139E-2</v>
      </c>
      <c r="BD181" s="42">
        <f ca="1">IF($F$10=1,0,IF($M$28=1,AX181-$G$10,OFFSET(AV181,0,$M$28))*IF($M$30=1,SIGN($B$10),$T$10))</f>
        <v>2403.0677246594987</v>
      </c>
      <c r="BE181" s="40"/>
      <c r="BF181" s="36">
        <f t="shared" si="687"/>
        <v>90</v>
      </c>
      <c r="BG181" s="35">
        <f t="shared" ref="BG181:BG193" si="1335">IF($M$22=2,$B181,BG$48)</f>
        <v>0.28399999999999997</v>
      </c>
      <c r="BH181" s="197">
        <f t="shared" ref="BH181:BH235" ca="1" si="1336">MAX($C$48+BH$48-$C181,0)</f>
        <v>169.23611111111677</v>
      </c>
      <c r="BI181" s="41">
        <f t="shared" ref="BI181:BI193" ca="1" si="1337">BH181/365</f>
        <v>0.46366057838662128</v>
      </c>
      <c r="BJ181" s="40">
        <f t="shared" ref="BJ181:BJ183" ca="1" si="1338">LN($A181/BF181)</f>
        <v>0.11975639594155879</v>
      </c>
      <c r="BK181" s="40">
        <f t="shared" ref="BK181:BK183" ca="1" si="1339">($E181-$D181+POWER(BG181,2)/2)*BI181</f>
        <v>2.5189751902588361E-2</v>
      </c>
      <c r="BL181" s="40">
        <f t="shared" ref="BL181:BL183" ca="1" si="1340">MAX(0,0.000000000001,BG181*SQRT(BI181))</f>
        <v>0.19338305926412305</v>
      </c>
      <c r="BM181" s="42">
        <f t="shared" ref="BM181:BM183" ca="1" si="1341">(BJ181+BK181)/BL181</f>
        <v>0.74952867327524986</v>
      </c>
      <c r="BN181" s="42">
        <f t="shared" ref="BN181:BN183" ca="1" si="1342">BM181-BL181</f>
        <v>0.55614561401112683</v>
      </c>
      <c r="BO181" s="42">
        <f t="shared" ref="BO181:BO183" ca="1" si="1343">_xlfn.NORM.DIST(BM181,0,1,TRUE)</f>
        <v>0.77323068841933096</v>
      </c>
      <c r="BP181" s="42">
        <f t="shared" ref="BP181:BP183" ca="1" si="1344">_xlfn.NORM.DIST(-BM181,0,1,TRUE)</f>
        <v>0.22676931158066901</v>
      </c>
      <c r="BQ181" s="42">
        <f t="shared" ref="BQ181:BQ183" ca="1" si="1345">_xlfn.NORM.DIST(BN181,0,1,TRUE)</f>
        <v>0.71094434261136819</v>
      </c>
      <c r="BR181" s="42">
        <f t="shared" ref="BR181:BR183" ca="1" si="1346">_xlfn.NORM.DIST(-BN181,0,1,TRUE)</f>
        <v>0.28905565738863187</v>
      </c>
      <c r="BS181" s="42">
        <f t="shared" ref="BS181:BS183" ca="1" si="1347">EXP(-$E181*BI181)</f>
        <v>0.98162450344672281</v>
      </c>
      <c r="BT181" s="42">
        <f t="shared" ref="BT181:BT183" ca="1" si="1348">BF181*BS181</f>
        <v>88.34620531020505</v>
      </c>
      <c r="BU181" s="42">
        <f t="shared" ref="BU181:BU183" ca="1" si="1349">EXP(-$D181*BI181)</f>
        <v>0.98801719747153338</v>
      </c>
      <c r="BV181" s="42">
        <f t="shared" ref="BV181:BV183" ca="1" si="1350">$A181*BU181</f>
        <v>100.23434468348707</v>
      </c>
      <c r="BW181" s="42">
        <f t="shared" ref="BW181:BW183" ca="1" si="1351">EXP(-1*POWER(BM181,2)/2)/SQRT(2*PI())</f>
        <v>0.30124386810110143</v>
      </c>
      <c r="BX181" s="42">
        <f t="shared" ref="BX181:BX183" ca="1" si="1352">IF($F$12=1,0,IF($F$12=2,$A181,IF($F$12=3,BV181*BO181-BT181*BQ181,BT181*BR181-BV181*BP181)))</f>
        <v>14.695036486400518</v>
      </c>
      <c r="BY181" s="42">
        <f t="shared" ref="BY181:BY183" ca="1" si="1353">IF($F$12=2,1,IF(OR($F$12=1,BI181&lt;=0),0,IF($F$12=3,BO181*BU181,(BO181-1)*BU181)))</f>
        <v>0.76396521777105186</v>
      </c>
      <c r="BZ181" s="42">
        <f t="shared" ref="BZ181:BZ183" ca="1" si="1354">IF(OR($F$12&lt;=2,BI181&lt;=0),0,BW181*BU181/($A181*BL181))</f>
        <v>1.5170931302246058E-2</v>
      </c>
      <c r="CA181" s="42">
        <f t="shared" ref="CA181:CA193" ca="1" si="1355">IF(OR($F$12&lt;=2,BI181&lt;=0),0,(IF($F$12=3,-1*$E181*BF181*BS181*BQ181+$D181*$A181*BU181*BO181,$E181*BF181*BS181*BR181-$D181*$A181*BU181*BP181)-(BW181*$A181*BG181*BU181/(2*SQRT(BI181))))/365)</f>
        <v>-1.861398277946762E-2</v>
      </c>
      <c r="CB181" s="42">
        <f t="shared" ref="CB181:CB183" ca="1" si="1356">IF(OR($F$12&lt;=2,BI181&lt;=0),0,(BW181*$A181*BU181*SQRT(BI181))/100)</f>
        <v>0.20560556117313328</v>
      </c>
      <c r="CC181" s="42">
        <f t="shared" ref="CC181:CC183" ca="1" si="1357">IF(OR($F$12&lt;=2,BI181&lt;=0),0,IF($F$12=3,BQ181,-1*BR181)*BF181*BI181*BS181/100)</f>
        <v>0.29122166161573265</v>
      </c>
      <c r="CD181" s="42">
        <f ca="1">IF($F$12=1,0,IF($M$28=1,BX181-$G$12,OFFSET(BV181,0,$M$28))*IF($M$30=1,SIGN($B$12),$T$12))</f>
        <v>-3947.5182432002593</v>
      </c>
      <c r="CE181" s="40"/>
      <c r="CF181" s="36">
        <f t="shared" si="710"/>
        <v>95</v>
      </c>
      <c r="CG181" s="35">
        <f t="shared" ref="CG181:CG193" si="1358">IF($M$22=2,$B181,CG$48)</f>
        <v>0.28399999999999997</v>
      </c>
      <c r="CH181" s="197">
        <f t="shared" ref="CH181:CH235" ca="1" si="1359">MAX($C$48+CH$48-$C181,0)</f>
        <v>169.23611111111677</v>
      </c>
      <c r="CI181" s="41">
        <f t="shared" ref="CI181:CI193" ca="1" si="1360">CH181/365</f>
        <v>0.46366057838662128</v>
      </c>
      <c r="CJ181" s="40">
        <f t="shared" ref="CJ181:CJ183" ca="1" si="1361">LN($A181/CF181)</f>
        <v>6.5689174671282879E-2</v>
      </c>
      <c r="CK181" s="40">
        <f t="shared" ref="CK181:CK183" ca="1" si="1362">($E181-$D181+POWER(CG181,2)/2)*CI181</f>
        <v>2.5189751902588361E-2</v>
      </c>
      <c r="CL181" s="40">
        <f t="shared" ref="CL181:CL183" ca="1" si="1363">MAX(0,0.000000000001,CG181*SQRT(CI181))</f>
        <v>0.19338305926412305</v>
      </c>
      <c r="CM181" s="42">
        <f t="shared" ref="CM181:CM183" ca="1" si="1364">(CJ181+CK181)/CL181</f>
        <v>0.46994254263890084</v>
      </c>
      <c r="CN181" s="42">
        <f t="shared" ref="CN181:CN183" ca="1" si="1365">CM181-CL181</f>
        <v>0.27655948337477776</v>
      </c>
      <c r="CO181" s="42">
        <f t="shared" ref="CO181:CO183" ca="1" si="1366">_xlfn.NORM.DIST(CM181,0,1,TRUE)</f>
        <v>0.68080196571580642</v>
      </c>
      <c r="CP181" s="42">
        <f t="shared" ref="CP181:CP183" ca="1" si="1367">_xlfn.NORM.DIST(-CM181,0,1,TRUE)</f>
        <v>0.31919803428419363</v>
      </c>
      <c r="CQ181" s="42">
        <f t="shared" ref="CQ181:CQ183" ca="1" si="1368">_xlfn.NORM.DIST(CN181,0,1,TRUE)</f>
        <v>0.60894081041860093</v>
      </c>
      <c r="CR181" s="42">
        <f t="shared" ref="CR181:CR183" ca="1" si="1369">_xlfn.NORM.DIST(-CN181,0,1,TRUE)</f>
        <v>0.39105918958139901</v>
      </c>
      <c r="CS181" s="42">
        <f t="shared" ref="CS181:CS183" ca="1" si="1370">EXP(-$E181*CI181)</f>
        <v>0.98162450344672281</v>
      </c>
      <c r="CT181" s="42">
        <f t="shared" ref="CT181:CT183" ca="1" si="1371">CF181*CS181</f>
        <v>93.254327827438672</v>
      </c>
      <c r="CU181" s="42">
        <f t="shared" ref="CU181:CU183" ca="1" si="1372">EXP(-$D181*CI181)</f>
        <v>0.98801719747153338</v>
      </c>
      <c r="CV181" s="42">
        <f t="shared" ref="CV181:CV183" ca="1" si="1373">$A181*CU181</f>
        <v>100.23434468348707</v>
      </c>
      <c r="CW181" s="42">
        <f t="shared" ref="CW181:CW183" ca="1" si="1374">EXP(-1*POWER(CM181,2)/2)/SQRT(2*PI())</f>
        <v>0.35723497162189738</v>
      </c>
      <c r="CX181" s="42">
        <f t="shared" ref="CX181:CX183" ca="1" si="1375">IF($F$14=1,0,IF($F$14=2,$A181,IF($F$14=3,CV181*CO181-CT181*CQ181,CT181*CR181-CV181*CP181)))</f>
        <v>11.453372930471296</v>
      </c>
      <c r="CY181" s="42">
        <f t="shared" ref="CY181:CY183" ca="1" si="1376">IF($F$14=2,1,IF(OR($F$14=1,CI181&lt;=0),0,IF($F$14=3,CO181*CU181,(CO181-1)*CU181)))</f>
        <v>0.67264405019964202</v>
      </c>
      <c r="CZ181" s="42">
        <f t="shared" ref="CZ181:CZ183" ca="1" si="1377">IF(OR($F$14&lt;=2,CI181&lt;=0),0,CW181*CU181/($A181*CL181))</f>
        <v>1.7990697196255429E-2</v>
      </c>
      <c r="DA181" s="42">
        <f t="shared" ref="DA181:DA193" ca="1" si="1378">IF(OR($F$14&lt;=2,CI181&lt;=0),0,(IF($F$14=3,-1*$E181*CF181*CS181*CQ181+$D181*$A181*CU181*CO181,$E181*CF181*CS181*CR181-$D181*$A181*CU181*CP181)-(CW181*$A181*CG181*CU181/(2*SQRT(CI181))))/365)</f>
        <v>-2.1820379670022642E-2</v>
      </c>
      <c r="DB181" s="42">
        <f t="shared" ref="DB181:DB183" ca="1" si="1379">IF(OR($F$14&lt;=2,CI181&lt;=0),0,(CW181*$A181*CU181*SQRT(CI181))/100)</f>
        <v>0.24382071998337884</v>
      </c>
      <c r="DC181" s="42">
        <f t="shared" ref="DC181:DC183" ca="1" si="1380">IF(OR($F$14&lt;=2,CI181&lt;=0),0,IF($F$14=3,CQ181,-1*CR181)*CF181*CI181*CS181/100)</f>
        <v>0.26329599286546196</v>
      </c>
      <c r="DD181" s="42">
        <f ca="1">IF($F$14=1,0,IF($M$28=1,CX181-$G$14,OFFSET(CV181,0,$M$28))*IF($M$30=1,SIGN($B$14),$T$14))</f>
        <v>3151.686465235648</v>
      </c>
      <c r="DE181" s="40"/>
      <c r="DF181" s="36">
        <f t="shared" si="733"/>
        <v>200</v>
      </c>
      <c r="DG181" s="35">
        <f t="shared" ref="DG181:DG193" si="1381">IF($M$22=2,$B181,DG$48)</f>
        <v>0.28399999999999997</v>
      </c>
      <c r="DH181" s="197">
        <f t="shared" ref="DH181:DH235" ca="1" si="1382">MAX($C$48+DH$48-$C181,0)</f>
        <v>169.23611111111677</v>
      </c>
      <c r="DI181" s="41">
        <f t="shared" ref="DI181:DI193" ca="1" si="1383">DH181/365</f>
        <v>0.46366057838662128</v>
      </c>
      <c r="DJ181" s="40">
        <f t="shared" ref="DJ181:DJ183" ca="1" si="1384">LN($A181/DF181)</f>
        <v>-0.678751300276213</v>
      </c>
      <c r="DK181" s="40">
        <f t="shared" ref="DK181:DK183" ca="1" si="1385">($E181-$D181+POWER(DG181,2)/2)*DI181</f>
        <v>2.5189751902588361E-2</v>
      </c>
      <c r="DL181" s="40">
        <f t="shared" ref="DL181:DL183" ca="1" si="1386">MAX(0,0.000000000001,DG181*SQRT(DI181))</f>
        <v>0.19338305926412305</v>
      </c>
      <c r="DM181" s="42">
        <f t="shared" ref="DM181:DM183" ca="1" si="1387">(DJ181+DK181)/DL181</f>
        <v>-3.3796215183512466</v>
      </c>
      <c r="DN181" s="42">
        <f t="shared" ref="DN181:DN183" ca="1" si="1388">DM181-DL181</f>
        <v>-3.5730045776153698</v>
      </c>
      <c r="DO181" s="42">
        <f t="shared" ref="DO181:DO183" ca="1" si="1389">_xlfn.NORM.DIST(DM181,0,1,TRUE)</f>
        <v>3.6292855734002585E-4</v>
      </c>
      <c r="DP181" s="42">
        <f t="shared" ref="DP181:DP183" ca="1" si="1390">_xlfn.NORM.DIST(-DM181,0,1,TRUE)</f>
        <v>0.99963707144266001</v>
      </c>
      <c r="DQ181" s="42">
        <f t="shared" ref="DQ181:DQ183" ca="1" si="1391">_xlfn.NORM.DIST(DN181,0,1,TRUE)</f>
        <v>1.7645429470236479E-4</v>
      </c>
      <c r="DR181" s="42">
        <f t="shared" ref="DR181:DR183" ca="1" si="1392">_xlfn.NORM.DIST(-DN181,0,1,TRUE)</f>
        <v>0.99982354570529763</v>
      </c>
      <c r="DS181" s="42">
        <f t="shared" ref="DS181:DS183" ca="1" si="1393">EXP(-$E181*DI181)</f>
        <v>0.98162450344672281</v>
      </c>
      <c r="DT181" s="42">
        <f t="shared" ref="DT181:DT183" ca="1" si="1394">DF181*DS181</f>
        <v>196.32490068934456</v>
      </c>
      <c r="DU181" s="42">
        <f t="shared" ref="DU181:DU183" ca="1" si="1395">EXP(-$D181*DI181)</f>
        <v>0.98801719747153338</v>
      </c>
      <c r="DV181" s="42">
        <f t="shared" ref="DV181:DV183" ca="1" si="1396">$A181*DU181</f>
        <v>100.23434468348707</v>
      </c>
      <c r="DW181" s="42">
        <f t="shared" ref="DW181:DW183" ca="1" si="1397">EXP(-1*POWER(DM181,2)/2)/SQRT(2*PI())</f>
        <v>1.3203487973717542E-3</v>
      </c>
      <c r="DX181" s="42">
        <f t="shared" ref="DX181:DX183" si="1398">IF($F$16=1,0,IF($F$16=2,$A181,IF($F$16=3,DV181*DO181-DT181*DQ181,DT181*DR181-DV181*DP181)))</f>
        <v>0</v>
      </c>
      <c r="DY181" s="92">
        <f t="shared" ref="DY181:DY183" ca="1" si="1399">IF($F$16=2,1,IF(OR($F$16=1,DI181&lt;=0),0,IF($F$16=3,DO181*DU181,(DO181-1)*DU181)))</f>
        <v>0</v>
      </c>
      <c r="DZ181" s="42">
        <f t="shared" ref="DZ181:DZ183" ca="1" si="1400">IF(OR($F$16&lt;=2,DI181&lt;=0),0,DW181*DU181/($A181*DL181))</f>
        <v>0</v>
      </c>
      <c r="EA181" s="42">
        <f t="shared" ref="EA181:EA193" ca="1" si="1401">IF(OR($F$16&lt;=2,DI181&lt;=0),0,(IF($F$16=3,-1*$E181*DF181*DS181*DQ181+$D181*$A181*DU181*DO181,$E181*DF181*DS181*DR181-$D181*$A181*DU181*DP181)-(DW181*$A181*DG181*DU181/(2*SQRT(DI181))))/365)</f>
        <v>0</v>
      </c>
      <c r="EB181" s="42">
        <f t="shared" ref="EB181:EB183" ca="1" si="1402">IF(OR($F$16&lt;=2,DI181&lt;=0),0,(DW181*$A181*DU181*SQRT(DI181))/100)</f>
        <v>0</v>
      </c>
      <c r="EC181" s="42">
        <f t="shared" ref="EC181:EC183" ca="1" si="1403">IF(OR($F$16&lt;=2,DI181&lt;=0),0,IF($F$16=3,DQ181,-1*DR181)*DF181*DI181*DS181/100)</f>
        <v>0</v>
      </c>
      <c r="ED181" s="42">
        <f ca="1">IF($F$16=1,0,IF($M$28=1,DX181-$G$16,OFFSET(DV181,0,$M$28))*IF($M$30=1,SIGN($B$16),$T$16))</f>
        <v>0</v>
      </c>
      <c r="EE181" s="40"/>
      <c r="EF181" s="120">
        <f t="shared" ca="1" si="756"/>
        <v>101.45</v>
      </c>
      <c r="EG181" s="42">
        <f t="shared" ref="EG181:EG193" ca="1" si="1404">AD181+BD181+CD181+DD181+ED181</f>
        <v>1.6113231360004647</v>
      </c>
      <c r="EH181" s="36">
        <f t="shared" ref="EH181:EH193" ca="1" si="1405">IF($M$26=1,EG181,OFFSET($AD181,0,$M$26*26-52))</f>
        <v>1.6113231360004647</v>
      </c>
      <c r="EI181" s="143">
        <f ca="1">ROUND(EH181,EI$49)</f>
        <v>1.611</v>
      </c>
      <c r="EJ181" s="88"/>
      <c r="EK181" s="153">
        <f ca="1">IF(EI181=$G$180,1,0)</f>
        <v>0</v>
      </c>
      <c r="EL181" s="88"/>
    </row>
    <row r="182" spans="1:143" x14ac:dyDescent="0.3">
      <c r="A182" s="128">
        <f ca="1">IF(AND($M$22=1,ISNUMBER($B$180)),$F$180,A$48)</f>
        <v>101.5</v>
      </c>
      <c r="B182" s="127">
        <f ca="1">IF(AND($M$22=2,ISNUMBER($B$180)),$F$180,B$48)</f>
        <v>0.28399999999999997</v>
      </c>
      <c r="C182" s="141">
        <f ca="1">IF(AND($M$22=3,ISNUMBER($B$180)),$F$180,C$48)</f>
        <v>45295.440972222219</v>
      </c>
      <c r="D182" s="127">
        <f ca="1">IF(AND($M$22=4,ISNUMBER($B$180)),$F$180,D$48)</f>
        <v>2.5999999999999999E-2</v>
      </c>
      <c r="E182" s="127">
        <f ca="1">IF(AND($M$22=5,ISNUMBER($B$180)),$F$180,E$48)</f>
        <v>0.04</v>
      </c>
      <c r="F182" s="36">
        <f t="shared" si="641"/>
        <v>75</v>
      </c>
      <c r="G182" s="35">
        <f t="shared" si="1289"/>
        <v>0.28399999999999997</v>
      </c>
      <c r="H182" s="197">
        <f t="shared" ca="1" si="1290"/>
        <v>169.23611111111677</v>
      </c>
      <c r="I182" s="41">
        <f t="shared" ca="1" si="1291"/>
        <v>0.46366057838662128</v>
      </c>
      <c r="J182" s="40">
        <f t="shared" ca="1" si="1292"/>
        <v>0.30257068494553152</v>
      </c>
      <c r="K182" s="40">
        <f t="shared" ca="1" si="1293"/>
        <v>2.5189751902588361E-2</v>
      </c>
      <c r="L182" s="40">
        <f t="shared" ca="1" si="1294"/>
        <v>0.19338305926412305</v>
      </c>
      <c r="M182" s="42">
        <f t="shared" ca="1" si="1295"/>
        <v>1.6948766768678734</v>
      </c>
      <c r="N182" s="42">
        <f t="shared" ca="1" si="1296"/>
        <v>1.5014936176037503</v>
      </c>
      <c r="O182" s="42">
        <f t="shared" ca="1" si="1297"/>
        <v>0.95495059109896585</v>
      </c>
      <c r="P182" s="42">
        <f t="shared" ca="1" si="1298"/>
        <v>4.5049408901034191E-2</v>
      </c>
      <c r="Q182" s="42">
        <f t="shared" ca="1" si="1299"/>
        <v>0.93338603187698743</v>
      </c>
      <c r="R182" s="42">
        <f t="shared" ca="1" si="1300"/>
        <v>6.6613968123012554E-2</v>
      </c>
      <c r="S182" s="42">
        <f t="shared" ca="1" si="1301"/>
        <v>0.98162450344672281</v>
      </c>
      <c r="T182" s="42">
        <f t="shared" ca="1" si="1302"/>
        <v>73.621837758504213</v>
      </c>
      <c r="U182" s="42">
        <f t="shared" ca="1" si="1303"/>
        <v>0.98801719747153338</v>
      </c>
      <c r="V182" s="42">
        <f t="shared" ca="1" si="1304"/>
        <v>100.28374554336064</v>
      </c>
      <c r="W182" s="42">
        <f t="shared" ca="1" si="1305"/>
        <v>9.4870544316036393E-2</v>
      </c>
      <c r="X182" s="42">
        <f t="shared" ca="1" si="1306"/>
        <v>0.38651929449248268</v>
      </c>
      <c r="Y182" s="42">
        <f t="shared" ca="1" si="1307"/>
        <v>-4.4509590730148908E-2</v>
      </c>
      <c r="Z182" s="42">
        <f t="shared" ca="1" si="1308"/>
        <v>4.7754183919872933E-3</v>
      </c>
      <c r="AA182" s="42">
        <f t="shared" ca="1" si="1309"/>
        <v>-5.2200823635645639E-3</v>
      </c>
      <c r="AB182" s="42">
        <f t="shared" ca="1" si="1310"/>
        <v>6.4783144583356184E-2</v>
      </c>
      <c r="AC182" s="42">
        <f t="shared" ca="1" si="1311"/>
        <v>-2.2739040316837787E-2</v>
      </c>
      <c r="AD182" s="42">
        <f ca="1">IF($F$8=1,0,IF($M$28=1,X182-$G$8,OFFSET(V182,0,$M$28))*IF($M$30=1,SIGN($B$8),$T$8))</f>
        <v>-1606.7403527537588</v>
      </c>
      <c r="AF182" s="36">
        <f t="shared" si="664"/>
        <v>80</v>
      </c>
      <c r="AG182" s="35">
        <f t="shared" si="1312"/>
        <v>0.28399999999999997</v>
      </c>
      <c r="AH182" s="197">
        <f t="shared" ca="1" si="1313"/>
        <v>169.23611111111677</v>
      </c>
      <c r="AI182" s="41">
        <f t="shared" ca="1" si="1314"/>
        <v>0.46366057838662128</v>
      </c>
      <c r="AJ182" s="40">
        <f t="shared" ca="1" si="1315"/>
        <v>0.23803216380796044</v>
      </c>
      <c r="AK182" s="40">
        <f t="shared" ca="1" si="1316"/>
        <v>2.5189751902588361E-2</v>
      </c>
      <c r="AL182" s="40">
        <f t="shared" ca="1" si="1317"/>
        <v>0.19338305926412305</v>
      </c>
      <c r="AM182" s="42">
        <f t="shared" ca="1" si="1318"/>
        <v>1.3611425773911234</v>
      </c>
      <c r="AN182" s="42">
        <f t="shared" ca="1" si="1319"/>
        <v>1.1677595181270004</v>
      </c>
      <c r="AO182" s="42">
        <f t="shared" ca="1" si="1320"/>
        <v>0.91326568169388755</v>
      </c>
      <c r="AP182" s="42">
        <f t="shared" ca="1" si="1321"/>
        <v>8.6734318306112418E-2</v>
      </c>
      <c r="AQ182" s="42">
        <f t="shared" ca="1" si="1322"/>
        <v>0.87854810926970361</v>
      </c>
      <c r="AR182" s="42">
        <f t="shared" ca="1" si="1323"/>
        <v>0.12145189073029636</v>
      </c>
      <c r="AS182" s="42">
        <f t="shared" ca="1" si="1324"/>
        <v>0.98162450344672281</v>
      </c>
      <c r="AT182" s="42">
        <f t="shared" ca="1" si="1325"/>
        <v>78.529960275737821</v>
      </c>
      <c r="AU182" s="42">
        <f t="shared" ca="1" si="1326"/>
        <v>0.98801719747153338</v>
      </c>
      <c r="AV182" s="42">
        <f t="shared" ca="1" si="1327"/>
        <v>100.28374554336064</v>
      </c>
      <c r="AW182" s="42">
        <f t="shared" ca="1" si="1328"/>
        <v>0.15797901184572863</v>
      </c>
      <c r="AX182" s="42">
        <f t="shared" ca="1" si="1329"/>
        <v>0.8395698475763993</v>
      </c>
      <c r="AY182" s="42">
        <f t="shared" ca="1" si="1330"/>
        <v>-8.5694998097409131E-2</v>
      </c>
      <c r="AZ182" s="42">
        <f t="shared" ca="1" si="1331"/>
        <v>7.9520559743278367E-3</v>
      </c>
      <c r="BA182" s="42">
        <f t="shared" ca="1" si="1332"/>
        <v>-8.6259683692664711E-3</v>
      </c>
      <c r="BB182" s="42">
        <f t="shared" ca="1" si="1333"/>
        <v>0.10787728940865385</v>
      </c>
      <c r="BC182" s="42">
        <f t="shared" ca="1" si="1334"/>
        <v>-4.4222147679657813E-2</v>
      </c>
      <c r="BD182" s="42">
        <f ca="1">IF($F$10=1,0,IF($M$28=1,AX182-$G$10,OFFSET(AV182,0,$M$28))*IF($M$30=1,SIGN($B$10),$T$10))</f>
        <v>2405.2150762118004</v>
      </c>
      <c r="BE182" s="40"/>
      <c r="BF182" s="36">
        <f t="shared" si="687"/>
        <v>90</v>
      </c>
      <c r="BG182" s="35">
        <f t="shared" si="1335"/>
        <v>0.28399999999999997</v>
      </c>
      <c r="BH182" s="197">
        <f t="shared" ca="1" si="1336"/>
        <v>169.23611111111677</v>
      </c>
      <c r="BI182" s="41">
        <f t="shared" ca="1" si="1337"/>
        <v>0.46366057838662128</v>
      </c>
      <c r="BJ182" s="40">
        <f t="shared" ca="1" si="1338"/>
        <v>0.12024912815157694</v>
      </c>
      <c r="BK182" s="40">
        <f t="shared" ca="1" si="1339"/>
        <v>2.5189751902588361E-2</v>
      </c>
      <c r="BL182" s="40">
        <f t="shared" ca="1" si="1340"/>
        <v>0.19338305926412305</v>
      </c>
      <c r="BM182" s="42">
        <f t="shared" ca="1" si="1341"/>
        <v>0.75207663281158732</v>
      </c>
      <c r="BN182" s="42">
        <f t="shared" ca="1" si="1342"/>
        <v>0.5586935735474643</v>
      </c>
      <c r="BO182" s="42">
        <f t="shared" ca="1" si="1343"/>
        <v>0.77399751231449732</v>
      </c>
      <c r="BP182" s="42">
        <f t="shared" ca="1" si="1344"/>
        <v>0.22600248768550263</v>
      </c>
      <c r="BQ182" s="42">
        <f t="shared" ca="1" si="1345"/>
        <v>0.71181456701585832</v>
      </c>
      <c r="BR182" s="42">
        <f t="shared" ca="1" si="1346"/>
        <v>0.28818543298414168</v>
      </c>
      <c r="BS182" s="42">
        <f t="shared" ca="1" si="1347"/>
        <v>0.98162450344672281</v>
      </c>
      <c r="BT182" s="42">
        <f t="shared" ca="1" si="1348"/>
        <v>88.34620531020505</v>
      </c>
      <c r="BU182" s="42">
        <f t="shared" ca="1" si="1349"/>
        <v>0.98801719747153338</v>
      </c>
      <c r="BV182" s="42">
        <f t="shared" ca="1" si="1350"/>
        <v>100.28374554336064</v>
      </c>
      <c r="BW182" s="42">
        <f t="shared" ca="1" si="1351"/>
        <v>0.30066813499766976</v>
      </c>
      <c r="BX182" s="42">
        <f t="shared" ca="1" si="1352"/>
        <v>14.733253695763466</v>
      </c>
      <c r="BY182" s="42">
        <f t="shared" ca="1" si="1353"/>
        <v>0.76472285296690834</v>
      </c>
      <c r="BZ182" s="42">
        <f t="shared" ca="1" si="1354"/>
        <v>1.5134477746531576E-2</v>
      </c>
      <c r="CA182" s="42">
        <f t="shared" ca="1" si="1355"/>
        <v>-1.8589724519635878E-2</v>
      </c>
      <c r="CB182" s="42">
        <f t="shared" ca="1" si="1356"/>
        <v>0.20531375045425562</v>
      </c>
      <c r="CC182" s="42">
        <f t="shared" ca="1" si="1357"/>
        <v>0.29157812861584032</v>
      </c>
      <c r="CD182" s="42">
        <f ca="1">IF($F$12=1,0,IF($M$28=1,BX182-$G$12,OFFSET(BV182,0,$M$28))*IF($M$30=1,SIGN($B$12),$T$12))</f>
        <v>-3966.6268478817328</v>
      </c>
      <c r="CE182" s="40"/>
      <c r="CF182" s="36">
        <f t="shared" si="710"/>
        <v>95</v>
      </c>
      <c r="CG182" s="35">
        <f t="shared" si="1358"/>
        <v>0.28399999999999997</v>
      </c>
      <c r="CH182" s="197">
        <f t="shared" ca="1" si="1359"/>
        <v>169.23611111111677</v>
      </c>
      <c r="CI182" s="41">
        <f t="shared" ca="1" si="1360"/>
        <v>0.46366057838662128</v>
      </c>
      <c r="CJ182" s="40">
        <f t="shared" ca="1" si="1361"/>
        <v>6.6181906881301183E-2</v>
      </c>
      <c r="CK182" s="40">
        <f t="shared" ca="1" si="1362"/>
        <v>2.5189751902588361E-2</v>
      </c>
      <c r="CL182" s="40">
        <f t="shared" ca="1" si="1363"/>
        <v>0.19338305926412305</v>
      </c>
      <c r="CM182" s="42">
        <f t="shared" ca="1" si="1364"/>
        <v>0.47249050217523919</v>
      </c>
      <c r="CN182" s="42">
        <f t="shared" ca="1" si="1365"/>
        <v>0.27910744291111611</v>
      </c>
      <c r="CO182" s="42">
        <f t="shared" ca="1" si="1366"/>
        <v>0.681711640255516</v>
      </c>
      <c r="CP182" s="42">
        <f t="shared" ca="1" si="1367"/>
        <v>0.318288359744484</v>
      </c>
      <c r="CQ182" s="42">
        <f t="shared" ca="1" si="1368"/>
        <v>0.60991881429786921</v>
      </c>
      <c r="CR182" s="42">
        <f t="shared" ca="1" si="1369"/>
        <v>0.39008118570213079</v>
      </c>
      <c r="CS182" s="42">
        <f t="shared" ca="1" si="1370"/>
        <v>0.98162450344672281</v>
      </c>
      <c r="CT182" s="42">
        <f t="shared" ca="1" si="1371"/>
        <v>93.254327827438672</v>
      </c>
      <c r="CU182" s="42">
        <f t="shared" ca="1" si="1372"/>
        <v>0.98801719747153338</v>
      </c>
      <c r="CV182" s="42">
        <f t="shared" ca="1" si="1373"/>
        <v>100.28374554336064</v>
      </c>
      <c r="CW182" s="42">
        <f t="shared" ca="1" si="1374"/>
        <v>0.35680631818067826</v>
      </c>
      <c r="CX182" s="42">
        <f t="shared" ca="1" si="1375"/>
        <v>11.487027608674993</v>
      </c>
      <c r="CY182" s="42">
        <f t="shared" ca="1" si="1376"/>
        <v>0.67354282428897705</v>
      </c>
      <c r="CZ182" s="42">
        <f t="shared" ca="1" si="1377"/>
        <v>1.7960258017927947E-2</v>
      </c>
      <c r="DA182" s="42">
        <f t="shared" ca="1" si="1378"/>
        <v>-2.1807003194339036E-2</v>
      </c>
      <c r="DB182" s="42">
        <f t="shared" ca="1" si="1379"/>
        <v>0.24364817832131519</v>
      </c>
      <c r="DC182" s="42">
        <f t="shared" ca="1" si="1380"/>
        <v>0.26371886566034197</v>
      </c>
      <c r="DD182" s="42">
        <f ca="1">IF($F$14=1,0,IF($M$28=1,CX182-$G$14,OFFSET(CV182,0,$M$28))*IF($M$30=1,SIGN($B$14),$T$14))</f>
        <v>3168.5138043374959</v>
      </c>
      <c r="DE182" s="40"/>
      <c r="DF182" s="36">
        <f t="shared" si="733"/>
        <v>200</v>
      </c>
      <c r="DG182" s="35">
        <f t="shared" si="1381"/>
        <v>0.28399999999999997</v>
      </c>
      <c r="DH182" s="197">
        <f t="shared" ca="1" si="1382"/>
        <v>169.23611111111677</v>
      </c>
      <c r="DI182" s="41">
        <f t="shared" ca="1" si="1383"/>
        <v>0.46366057838662128</v>
      </c>
      <c r="DJ182" s="40">
        <f t="shared" ca="1" si="1384"/>
        <v>-0.67825856806619478</v>
      </c>
      <c r="DK182" s="40">
        <f t="shared" ca="1" si="1385"/>
        <v>2.5189751902588361E-2</v>
      </c>
      <c r="DL182" s="40">
        <f t="shared" ca="1" si="1386"/>
        <v>0.19338305926412305</v>
      </c>
      <c r="DM182" s="42">
        <f t="shared" ca="1" si="1387"/>
        <v>-3.3770735588149088</v>
      </c>
      <c r="DN182" s="42">
        <f t="shared" ca="1" si="1388"/>
        <v>-3.570456618079032</v>
      </c>
      <c r="DO182" s="42">
        <f t="shared" ca="1" si="1389"/>
        <v>3.663072754288578E-4</v>
      </c>
      <c r="DP182" s="42">
        <f t="shared" ca="1" si="1390"/>
        <v>0.99963369272457114</v>
      </c>
      <c r="DQ182" s="42">
        <f t="shared" ca="1" si="1391"/>
        <v>1.7817973636045478E-4</v>
      </c>
      <c r="DR182" s="42">
        <f t="shared" ca="1" si="1392"/>
        <v>0.99982182026363953</v>
      </c>
      <c r="DS182" s="42">
        <f t="shared" ca="1" si="1393"/>
        <v>0.98162450344672281</v>
      </c>
      <c r="DT182" s="42">
        <f t="shared" ca="1" si="1394"/>
        <v>196.32490068934456</v>
      </c>
      <c r="DU182" s="42">
        <f t="shared" ca="1" si="1395"/>
        <v>0.98801719747153338</v>
      </c>
      <c r="DV182" s="42">
        <f t="shared" ca="1" si="1396"/>
        <v>100.28374554336064</v>
      </c>
      <c r="DW182" s="42">
        <f t="shared" ca="1" si="1397"/>
        <v>1.3317632751354061E-3</v>
      </c>
      <c r="DX182" s="42">
        <f t="shared" si="1398"/>
        <v>0</v>
      </c>
      <c r="DY182" s="92">
        <f t="shared" ca="1" si="1399"/>
        <v>0</v>
      </c>
      <c r="DZ182" s="42">
        <f t="shared" ca="1" si="1400"/>
        <v>0</v>
      </c>
      <c r="EA182" s="42">
        <f t="shared" ca="1" si="1401"/>
        <v>0</v>
      </c>
      <c r="EB182" s="42">
        <f t="shared" ca="1" si="1402"/>
        <v>0</v>
      </c>
      <c r="EC182" s="42">
        <f t="shared" ca="1" si="1403"/>
        <v>0</v>
      </c>
      <c r="ED182" s="42">
        <f ca="1">IF($F$16=1,0,IF($M$28=1,DX182-$G$16,OFFSET(DV182,0,$M$28))*IF($M$30=1,SIGN($B$16),$T$16))</f>
        <v>0</v>
      </c>
      <c r="EE182" s="40"/>
      <c r="EF182" s="120">
        <f t="shared" ca="1" si="756"/>
        <v>101.5</v>
      </c>
      <c r="EG182" s="42">
        <f t="shared" ca="1" si="1404"/>
        <v>0.36167991380489184</v>
      </c>
      <c r="EH182" s="36">
        <f t="shared" ca="1" si="1405"/>
        <v>0.36167991380489184</v>
      </c>
      <c r="EI182" s="143">
        <f t="shared" ref="EI182:EI193" ca="1" si="1406">ROUND(EH182,EI$49)</f>
        <v>0.36199999999999999</v>
      </c>
      <c r="EJ182" s="143">
        <f ca="1">EI182-EI181</f>
        <v>-1.2490000000000001</v>
      </c>
      <c r="EK182" s="153">
        <f t="shared" ref="EK182:EK193" ca="1" si="1407">IF(EI182=$G$180,1,0)</f>
        <v>0</v>
      </c>
      <c r="EL182" s="143">
        <f ca="1">IF(EI181=0,IF(EI182&lt;&gt;0,2,0),IF(EI182=0,IF(EI181&lt;&gt;0,1,0),IF(SIGN(EI182)=-SIGN(EI181),2,0)))</f>
        <v>0</v>
      </c>
      <c r="EM182" s="267"/>
    </row>
    <row r="183" spans="1:143" x14ac:dyDescent="0.3">
      <c r="A183" s="143">
        <f t="shared" ref="A183:A193" ca="1" si="1408">IF(AND($M$22=1,ISNUMBER($B$180)),A182+$EF$48,A$48)</f>
        <v>101.55</v>
      </c>
      <c r="B183" s="144">
        <f t="shared" ref="B183:B193" ca="1" si="1409">IF(AND($M$22=2,ISNUMBER($B$180)),B182+$EF$48,B$48)</f>
        <v>0.28399999999999997</v>
      </c>
      <c r="C183" s="145">
        <f t="shared" ref="C183:C193" ca="1" si="1410">IF(AND($M$22=3,ISNUMBER($B$180)),C182+$EF$48,C$48)</f>
        <v>45295.440972222219</v>
      </c>
      <c r="D183" s="144">
        <f t="shared" ref="D183:D193" ca="1" si="1411">IF(AND($M$22=4,ISNUMBER($B$180)),D182+$EF$48,D$48)</f>
        <v>2.5999999999999999E-2</v>
      </c>
      <c r="E183" s="144">
        <f t="shared" ref="E183:E193" ca="1" si="1412">IF(AND($M$22=5,ISNUMBER($B$180)),E182+$EF$48,E$48)</f>
        <v>0.04</v>
      </c>
      <c r="F183" s="36">
        <f t="shared" si="641"/>
        <v>75</v>
      </c>
      <c r="G183" s="35">
        <f t="shared" si="1289"/>
        <v>0.28399999999999997</v>
      </c>
      <c r="H183" s="197">
        <f t="shared" ca="1" si="1290"/>
        <v>169.23611111111677</v>
      </c>
      <c r="I183" s="41">
        <f t="shared" ca="1" si="1291"/>
        <v>0.46366057838662128</v>
      </c>
      <c r="J183" s="40">
        <f t="shared" ca="1" si="1292"/>
        <v>0.30306317449008313</v>
      </c>
      <c r="K183" s="40">
        <f t="shared" ca="1" si="1293"/>
        <v>2.5189751902588361E-2</v>
      </c>
      <c r="L183" s="40">
        <f t="shared" ca="1" si="1294"/>
        <v>0.19338305926412305</v>
      </c>
      <c r="M183" s="42">
        <f t="shared" ca="1" si="1295"/>
        <v>1.6974233815607542</v>
      </c>
      <c r="N183" s="42">
        <f t="shared" ca="1" si="1296"/>
        <v>1.5040403222966312</v>
      </c>
      <c r="O183" s="42">
        <f t="shared" ca="1" si="1297"/>
        <v>0.95519167741769151</v>
      </c>
      <c r="P183" s="42">
        <f t="shared" ca="1" si="1298"/>
        <v>4.4808322582308512E-2</v>
      </c>
      <c r="Q183" s="42">
        <f t="shared" ca="1" si="1299"/>
        <v>0.93371450763821717</v>
      </c>
      <c r="R183" s="42">
        <f t="shared" ca="1" si="1300"/>
        <v>6.6285492361782841E-2</v>
      </c>
      <c r="S183" s="42">
        <f t="shared" ca="1" si="1301"/>
        <v>0.98162450344672281</v>
      </c>
      <c r="T183" s="42">
        <f t="shared" ca="1" si="1302"/>
        <v>73.621837758504213</v>
      </c>
      <c r="U183" s="42">
        <f t="shared" ca="1" si="1303"/>
        <v>0.98801719747153338</v>
      </c>
      <c r="V183" s="42">
        <f t="shared" ca="1" si="1304"/>
        <v>100.33314640323421</v>
      </c>
      <c r="W183" s="42">
        <f t="shared" ca="1" si="1305"/>
        <v>9.446162597049701E-2</v>
      </c>
      <c r="X183" s="42">
        <f t="shared" ca="1" si="1306"/>
        <v>0.38429977466764065</v>
      </c>
      <c r="Y183" s="42">
        <f t="shared" ca="1" si="1307"/>
        <v>-4.4271393301172857E-2</v>
      </c>
      <c r="Z183" s="42">
        <f t="shared" ca="1" si="1308"/>
        <v>4.7524938849076871E-3</v>
      </c>
      <c r="AA183" s="42">
        <f t="shared" ca="1" si="1309"/>
        <v>-5.2004047137978963E-3</v>
      </c>
      <c r="AB183" s="42">
        <f t="shared" ca="1" si="1310"/>
        <v>6.4535686597092384E-2</v>
      </c>
      <c r="AC183" s="42">
        <f t="shared" ca="1" si="1311"/>
        <v>-2.2626913329237924E-2</v>
      </c>
      <c r="AD183" s="42">
        <f ca="1">IF($F$8=1,0,IF($M$28=1,X183-$G$8,OFFSET(V183,0,$M$28))*IF($M$30=1,SIGN($B$8),$T$8))</f>
        <v>-1607.8501126661797</v>
      </c>
      <c r="AF183" s="36">
        <f t="shared" si="664"/>
        <v>80</v>
      </c>
      <c r="AG183" s="35">
        <f t="shared" si="1312"/>
        <v>0.28399999999999997</v>
      </c>
      <c r="AH183" s="197">
        <f t="shared" ca="1" si="1313"/>
        <v>169.23611111111677</v>
      </c>
      <c r="AI183" s="41">
        <f t="shared" ca="1" si="1314"/>
        <v>0.46366057838662128</v>
      </c>
      <c r="AJ183" s="40">
        <f t="shared" ca="1" si="1315"/>
        <v>0.23852465335251202</v>
      </c>
      <c r="AK183" s="40">
        <f t="shared" ca="1" si="1316"/>
        <v>2.5189751902588361E-2</v>
      </c>
      <c r="AL183" s="40">
        <f t="shared" ca="1" si="1317"/>
        <v>0.19338305926412305</v>
      </c>
      <c r="AM183" s="42">
        <f t="shared" ca="1" si="1318"/>
        <v>1.3636892820840041</v>
      </c>
      <c r="AN183" s="42">
        <f t="shared" ca="1" si="1319"/>
        <v>1.1703062228198811</v>
      </c>
      <c r="AO183" s="42">
        <f t="shared" ca="1" si="1320"/>
        <v>0.91366731063909734</v>
      </c>
      <c r="AP183" s="42">
        <f t="shared" ca="1" si="1321"/>
        <v>8.6332689360902715E-2</v>
      </c>
      <c r="AQ183" s="42">
        <f t="shared" ca="1" si="1322"/>
        <v>0.8790611207198481</v>
      </c>
      <c r="AR183" s="42">
        <f t="shared" ca="1" si="1323"/>
        <v>0.12093887928015193</v>
      </c>
      <c r="AS183" s="42">
        <f t="shared" ca="1" si="1324"/>
        <v>0.98162450344672281</v>
      </c>
      <c r="AT183" s="42">
        <f t="shared" ca="1" si="1325"/>
        <v>78.529960275737821</v>
      </c>
      <c r="AU183" s="42">
        <f t="shared" ca="1" si="1326"/>
        <v>0.98801719747153338</v>
      </c>
      <c r="AV183" s="42">
        <f t="shared" ca="1" si="1327"/>
        <v>100.33314640323421</v>
      </c>
      <c r="AW183" s="42">
        <f t="shared" ca="1" si="1328"/>
        <v>0.15743182646867152</v>
      </c>
      <c r="AX183" s="42">
        <f t="shared" ca="1" si="1329"/>
        <v>0.83529502463018979</v>
      </c>
      <c r="AY183" s="42">
        <f t="shared" ca="1" si="1330"/>
        <v>-8.5298181792539507E-2</v>
      </c>
      <c r="AZ183" s="42">
        <f t="shared" ca="1" si="1331"/>
        <v>7.9206109877453437E-3</v>
      </c>
      <c r="BA183" s="42">
        <f t="shared" ca="1" si="1332"/>
        <v>-8.600909943526986E-3</v>
      </c>
      <c r="BB183" s="42">
        <f t="shared" ca="1" si="1333"/>
        <v>0.10755659675563134</v>
      </c>
      <c r="BC183" s="42">
        <f t="shared" ca="1" si="1334"/>
        <v>-4.4035353814422543E-2</v>
      </c>
      <c r="BD183" s="42">
        <f ca="1">IF($F$10=1,0,IF($M$28=1,AX183-$G$10,OFFSET(AV183,0,$M$28))*IF($M$30=1,SIGN($B$10),$T$10))</f>
        <v>2407.3524876849051</v>
      </c>
      <c r="BE183" s="40"/>
      <c r="BF183" s="36">
        <f t="shared" si="687"/>
        <v>90</v>
      </c>
      <c r="BG183" s="35">
        <f t="shared" si="1335"/>
        <v>0.28399999999999997</v>
      </c>
      <c r="BH183" s="197">
        <f t="shared" ca="1" si="1336"/>
        <v>169.23611111111677</v>
      </c>
      <c r="BI183" s="41">
        <f t="shared" ca="1" si="1337"/>
        <v>0.46366057838662128</v>
      </c>
      <c r="BJ183" s="40">
        <f t="shared" ca="1" si="1338"/>
        <v>0.12074161769612869</v>
      </c>
      <c r="BK183" s="40">
        <f t="shared" ca="1" si="1339"/>
        <v>2.5189751902588361E-2</v>
      </c>
      <c r="BL183" s="40">
        <f t="shared" ca="1" si="1340"/>
        <v>0.19338305926412305</v>
      </c>
      <c r="BM183" s="42">
        <f t="shared" ca="1" si="1341"/>
        <v>0.75462333750446897</v>
      </c>
      <c r="BN183" s="42">
        <f t="shared" ca="1" si="1342"/>
        <v>0.56124027824034595</v>
      </c>
      <c r="BO183" s="42">
        <f t="shared" ca="1" si="1343"/>
        <v>0.77476249161477462</v>
      </c>
      <c r="BP183" s="42">
        <f t="shared" ca="1" si="1344"/>
        <v>0.22523750838522544</v>
      </c>
      <c r="BQ183" s="42">
        <f t="shared" ca="1" si="1345"/>
        <v>0.71268312585152305</v>
      </c>
      <c r="BR183" s="42">
        <f t="shared" ca="1" si="1346"/>
        <v>0.28731687414847695</v>
      </c>
      <c r="BS183" s="42">
        <f t="shared" ca="1" si="1347"/>
        <v>0.98162450344672281</v>
      </c>
      <c r="BT183" s="42">
        <f t="shared" ca="1" si="1348"/>
        <v>88.34620531020505</v>
      </c>
      <c r="BU183" s="42">
        <f t="shared" ca="1" si="1349"/>
        <v>0.98801719747153338</v>
      </c>
      <c r="BV183" s="42">
        <f t="shared" ca="1" si="1350"/>
        <v>100.33314640323421</v>
      </c>
      <c r="BW183" s="42">
        <f t="shared" ca="1" si="1351"/>
        <v>0.30009183816463408</v>
      </c>
      <c r="BX183" s="42">
        <f t="shared" ca="1" si="1352"/>
        <v>14.771508741322343</v>
      </c>
      <c r="BY183" s="42">
        <f t="shared" ca="1" si="1353"/>
        <v>0.76547866567129197</v>
      </c>
      <c r="BZ183" s="42">
        <f t="shared" ca="1" si="1354"/>
        <v>1.5098031725957884E-2</v>
      </c>
      <c r="CA183" s="42">
        <f t="shared" ca="1" si="1355"/>
        <v>-1.8565393105325678E-2</v>
      </c>
      <c r="CB183" s="42">
        <f t="shared" ca="1" si="1356"/>
        <v>0.20502116726412198</v>
      </c>
      <c r="CC183" s="42">
        <f t="shared" ca="1" si="1357"/>
        <v>0.29193391335477531</v>
      </c>
      <c r="CD183" s="42">
        <f ca="1">IF($F$12=1,0,IF($M$28=1,BX183-$G$12,OFFSET(BV183,0,$M$28))*IF($M$30=1,SIGN($B$12),$T$12))</f>
        <v>-3985.7543706611714</v>
      </c>
      <c r="CE183" s="40"/>
      <c r="CF183" s="36">
        <f t="shared" si="710"/>
        <v>95</v>
      </c>
      <c r="CG183" s="35">
        <f t="shared" si="1358"/>
        <v>0.28399999999999997</v>
      </c>
      <c r="CH183" s="197">
        <f t="shared" ca="1" si="1359"/>
        <v>169.23611111111677</v>
      </c>
      <c r="CI183" s="41">
        <f t="shared" ca="1" si="1360"/>
        <v>0.46366057838662128</v>
      </c>
      <c r="CJ183" s="40">
        <f t="shared" ca="1" si="1361"/>
        <v>6.6674396425852864E-2</v>
      </c>
      <c r="CK183" s="40">
        <f t="shared" ca="1" si="1362"/>
        <v>2.5189751902588361E-2</v>
      </c>
      <c r="CL183" s="40">
        <f t="shared" ca="1" si="1363"/>
        <v>0.19338305926412305</v>
      </c>
      <c r="CM183" s="42">
        <f t="shared" ca="1" si="1364"/>
        <v>0.47503720686812045</v>
      </c>
      <c r="CN183" s="42">
        <f t="shared" ca="1" si="1365"/>
        <v>0.28165414760399743</v>
      </c>
      <c r="CO183" s="42">
        <f t="shared" ca="1" si="1366"/>
        <v>0.68261977311364963</v>
      </c>
      <c r="CP183" s="42">
        <f t="shared" ca="1" si="1367"/>
        <v>0.31738022688635037</v>
      </c>
      <c r="CQ183" s="42">
        <f t="shared" ca="1" si="1368"/>
        <v>0.61089564177072775</v>
      </c>
      <c r="CR183" s="42">
        <f t="shared" ca="1" si="1369"/>
        <v>0.38910435822927225</v>
      </c>
      <c r="CS183" s="42">
        <f t="shared" ca="1" si="1370"/>
        <v>0.98162450344672281</v>
      </c>
      <c r="CT183" s="42">
        <f t="shared" ca="1" si="1371"/>
        <v>93.254327827438672</v>
      </c>
      <c r="CU183" s="42">
        <f t="shared" ca="1" si="1372"/>
        <v>0.98801719747153338</v>
      </c>
      <c r="CV183" s="42">
        <f t="shared" ca="1" si="1373"/>
        <v>100.33314640323421</v>
      </c>
      <c r="CW183" s="42">
        <f t="shared" ca="1" si="1374"/>
        <v>0.35637607788992542</v>
      </c>
      <c r="CX183" s="42">
        <f t="shared" ca="1" si="1375"/>
        <v>11.520727187513344</v>
      </c>
      <c r="CY183" s="42">
        <f t="shared" ca="1" si="1376"/>
        <v>0.67444007517040205</v>
      </c>
      <c r="CZ183" s="42">
        <f t="shared" ca="1" si="1377"/>
        <v>1.792976897759772E-2</v>
      </c>
      <c r="DA183" s="42">
        <f t="shared" ca="1" si="1378"/>
        <v>-2.1793504149868449E-2</v>
      </c>
      <c r="DB183" s="42">
        <f t="shared" ca="1" si="1379"/>
        <v>0.24347426414815718</v>
      </c>
      <c r="DC183" s="42">
        <f t="shared" ca="1" si="1380"/>
        <v>0.26414122979643551</v>
      </c>
      <c r="DD183" s="42">
        <f ca="1">IF($F$14=1,0,IF($M$28=1,CX183-$G$14,OFFSET(CV183,0,$M$28))*IF($M$30=1,SIGN($B$14),$T$14))</f>
        <v>3185.3635937566719</v>
      </c>
      <c r="DE183" s="40"/>
      <c r="DF183" s="36">
        <f t="shared" si="733"/>
        <v>200</v>
      </c>
      <c r="DG183" s="35">
        <f t="shared" si="1381"/>
        <v>0.28399999999999997</v>
      </c>
      <c r="DH183" s="197">
        <f t="shared" ca="1" si="1382"/>
        <v>169.23611111111677</v>
      </c>
      <c r="DI183" s="41">
        <f t="shared" ca="1" si="1383"/>
        <v>0.46366057838662128</v>
      </c>
      <c r="DJ183" s="40">
        <f t="shared" ca="1" si="1384"/>
        <v>-0.67776607852164295</v>
      </c>
      <c r="DK183" s="40">
        <f t="shared" ca="1" si="1385"/>
        <v>2.5189751902588361E-2</v>
      </c>
      <c r="DL183" s="40">
        <f t="shared" ca="1" si="1386"/>
        <v>0.19338305926412305</v>
      </c>
      <c r="DM183" s="42">
        <f t="shared" ca="1" si="1387"/>
        <v>-3.3745268541220268</v>
      </c>
      <c r="DN183" s="42">
        <f t="shared" ca="1" si="1388"/>
        <v>-3.56790991338615</v>
      </c>
      <c r="DO183" s="42">
        <f t="shared" ca="1" si="1389"/>
        <v>3.6971350603000157E-4</v>
      </c>
      <c r="DP183" s="42">
        <f t="shared" ca="1" si="1390"/>
        <v>0.99963028649397001</v>
      </c>
      <c r="DQ183" s="42">
        <f t="shared" ca="1" si="1391"/>
        <v>1.7992008519382153E-4</v>
      </c>
      <c r="DR183" s="42">
        <f t="shared" ca="1" si="1392"/>
        <v>0.99982007991480615</v>
      </c>
      <c r="DS183" s="42">
        <f t="shared" ca="1" si="1393"/>
        <v>0.98162450344672281</v>
      </c>
      <c r="DT183" s="42">
        <f t="shared" ca="1" si="1394"/>
        <v>196.32490068934456</v>
      </c>
      <c r="DU183" s="42">
        <f t="shared" ca="1" si="1395"/>
        <v>0.98801719747153338</v>
      </c>
      <c r="DV183" s="42">
        <f t="shared" ca="1" si="1396"/>
        <v>100.33314640323421</v>
      </c>
      <c r="DW183" s="42">
        <f t="shared" ca="1" si="1397"/>
        <v>1.3432620228872379E-3</v>
      </c>
      <c r="DX183" s="42">
        <f t="shared" si="1398"/>
        <v>0</v>
      </c>
      <c r="DY183" s="92">
        <f t="shared" ca="1" si="1399"/>
        <v>0</v>
      </c>
      <c r="DZ183" s="42">
        <f t="shared" ca="1" si="1400"/>
        <v>0</v>
      </c>
      <c r="EA183" s="42">
        <f t="shared" ca="1" si="1401"/>
        <v>0</v>
      </c>
      <c r="EB183" s="42">
        <f t="shared" ca="1" si="1402"/>
        <v>0</v>
      </c>
      <c r="EC183" s="42">
        <f t="shared" ca="1" si="1403"/>
        <v>0</v>
      </c>
      <c r="ED183" s="42">
        <f ca="1">IF($F$16=1,0,IF($M$28=1,DX183-$G$16,OFFSET(DV183,0,$M$28))*IF($M$30=1,SIGN($B$16),$T$16))</f>
        <v>0</v>
      </c>
      <c r="EE183" s="40"/>
      <c r="EF183" s="120">
        <f t="shared" ca="1" si="756"/>
        <v>101.55</v>
      </c>
      <c r="EG183" s="42">
        <f t="shared" ca="1" si="1404"/>
        <v>-0.8884018857738738</v>
      </c>
      <c r="EH183" s="36">
        <f t="shared" ca="1" si="1405"/>
        <v>-0.8884018857738738</v>
      </c>
      <c r="EI183" s="143">
        <f t="shared" ca="1" si="1406"/>
        <v>-0.88800000000000001</v>
      </c>
      <c r="EJ183" s="143">
        <f t="shared" ref="EJ183:EJ193" ca="1" si="1413">EI183-EI182</f>
        <v>-1.25</v>
      </c>
      <c r="EK183" s="153">
        <f t="shared" ca="1" si="1407"/>
        <v>0</v>
      </c>
      <c r="EL183" s="143">
        <f t="shared" ref="EL183:EL193" ca="1" si="1414">IF(EI182=0,IF(EI183&lt;&gt;0,2,0),IF(EI183=0,IF(EI182&lt;&gt;0,1,0),IF(SIGN(EI183)=-SIGN(EI182),2,0)))</f>
        <v>2</v>
      </c>
    </row>
    <row r="184" spans="1:143" x14ac:dyDescent="0.3">
      <c r="A184" s="143">
        <f t="shared" ca="1" si="1408"/>
        <v>101.6</v>
      </c>
      <c r="B184" s="144">
        <f t="shared" ca="1" si="1409"/>
        <v>0.28399999999999997</v>
      </c>
      <c r="C184" s="145">
        <f t="shared" ca="1" si="1410"/>
        <v>45295.440972222219</v>
      </c>
      <c r="D184" s="144">
        <f t="shared" ca="1" si="1411"/>
        <v>2.5999999999999999E-2</v>
      </c>
      <c r="E184" s="144">
        <f t="shared" ca="1" si="1412"/>
        <v>0.04</v>
      </c>
      <c r="F184" s="36">
        <f t="shared" si="641"/>
        <v>75</v>
      </c>
      <c r="G184" s="35">
        <f t="shared" si="1289"/>
        <v>0.28399999999999997</v>
      </c>
      <c r="H184" s="197">
        <f t="shared" ca="1" si="1290"/>
        <v>169.23611111111677</v>
      </c>
      <c r="I184" s="41">
        <f t="shared" ca="1" si="1291"/>
        <v>0.46366057838662128</v>
      </c>
      <c r="J184" s="40">
        <f t="shared" ref="J184:J193" ca="1" si="1415">LN($A184/F184)</f>
        <v>0.30355542160807109</v>
      </c>
      <c r="K184" s="40">
        <f t="shared" ref="K184:K193" ca="1" si="1416">($E184-$D184+POWER(G184,2)/2)*I184</f>
        <v>2.5189751902588361E-2</v>
      </c>
      <c r="L184" s="40">
        <f t="shared" ref="L184:L193" ca="1" si="1417">MAX(0,0.000000000001,G184*SQRT(I184))</f>
        <v>0.19338305926412305</v>
      </c>
      <c r="M184" s="42">
        <f t="shared" ref="M184:M193" ca="1" si="1418">(J184+K184)/L184</f>
        <v>1.6999688326455653</v>
      </c>
      <c r="N184" s="42">
        <f t="shared" ref="N184:N193" ca="1" si="1419">M184-L184</f>
        <v>1.5065857733814423</v>
      </c>
      <c r="O184" s="42">
        <f t="shared" ref="O184:O193" ca="1" si="1420">_xlfn.NORM.DIST(M184,0,1,TRUE)</f>
        <v>0.95543160590287157</v>
      </c>
      <c r="P184" s="42">
        <f t="shared" ref="P184:P193" ca="1" si="1421">_xlfn.NORM.DIST(-M184,0,1,TRUE)</f>
        <v>4.4568394097128483E-2</v>
      </c>
      <c r="Q184" s="42">
        <f t="shared" ref="Q184:Q193" ca="1" si="1422">_xlfn.NORM.DIST(N184,0,1,TRUE)</f>
        <v>0.93404156686605844</v>
      </c>
      <c r="R184" s="42">
        <f t="shared" ref="R184:R193" ca="1" si="1423">_xlfn.NORM.DIST(-N184,0,1,TRUE)</f>
        <v>6.5958433133941619E-2</v>
      </c>
      <c r="S184" s="42">
        <f t="shared" ref="S184:S193" ca="1" si="1424">EXP(-$E184*I184)</f>
        <v>0.98162450344672281</v>
      </c>
      <c r="T184" s="42">
        <f t="shared" ref="T184:T193" ca="1" si="1425">F184*S184</f>
        <v>73.621837758504213</v>
      </c>
      <c r="U184" s="42">
        <f t="shared" ref="U184:U193" ca="1" si="1426">EXP(-$D184*I184)</f>
        <v>0.98801719747153338</v>
      </c>
      <c r="V184" s="42">
        <f t="shared" ref="V184:V193" ca="1" si="1427">$A184*U184</f>
        <v>100.38254726310778</v>
      </c>
      <c r="W184" s="42">
        <f t="shared" ref="W184:W193" ca="1" si="1428">EXP(-1*POWER(M184,2)/2)/SQRT(2*PI())</f>
        <v>9.4054060606800771E-2</v>
      </c>
      <c r="X184" s="42">
        <f t="shared" ref="X184:X193" ca="1" si="1429">IF($F$8=1,0,IF($F$8=2,$A184,IF($F$8=3,V184*O184-T184*Q184,T184*R184-V184*P184)))</f>
        <v>0.38209213609638493</v>
      </c>
      <c r="Y184" s="42">
        <f t="shared" ref="Y184:Y193" ca="1" si="1430">IF($F$8=2,1,IF(OR($F$8=1,I184&lt;=0),0,IF($F$8=3,O184*U184,(O184-1)*U184)))</f>
        <v>-4.4034339831651663E-2</v>
      </c>
      <c r="Z184" s="42">
        <f t="shared" ref="Z184:Z193" ca="1" si="1431">IF(OR($F$8&lt;=2,I184&lt;=0),0,W184*U184/($A184*L184))</f>
        <v>4.7296599781912188E-3</v>
      </c>
      <c r="AA184" s="42">
        <f t="shared" ca="1" si="1309"/>
        <v>-5.1807767315051314E-3</v>
      </c>
      <c r="AB184" s="42">
        <f t="shared" ref="AB184:AB193" ca="1" si="1432">IF(OR($F$8&lt;=2,I184&lt;=0),0,(W184*$A184*U184*SQRT(I184))/100)</f>
        <v>6.4288878309325101E-2</v>
      </c>
      <c r="AC184" s="42">
        <f t="shared" ref="AC184:AC193" ca="1" si="1433">IF(OR($F$8&lt;=2,I184&lt;=0),0,IF($F$8=3,Q184,-1*R184)*F184*I184*S184/100)</f>
        <v>-2.2515269883014423E-2</v>
      </c>
      <c r="AD184" s="42">
        <f t="shared" ref="AD184:AD193" ca="1" si="1434">IF($F$8=1,0,IF($M$28=1,X184-$G$8,OFFSET(V184,0,$M$28))*IF($M$30=1,SIGN($B$8),$T$8))</f>
        <v>-1608.9539319518076</v>
      </c>
      <c r="AF184" s="36">
        <f t="shared" si="664"/>
        <v>80</v>
      </c>
      <c r="AG184" s="35">
        <f t="shared" si="1312"/>
        <v>0.28399999999999997</v>
      </c>
      <c r="AH184" s="197">
        <f t="shared" ca="1" si="1313"/>
        <v>169.23611111111677</v>
      </c>
      <c r="AI184" s="41">
        <f t="shared" ca="1" si="1314"/>
        <v>0.46366057838662128</v>
      </c>
      <c r="AJ184" s="40">
        <f t="shared" ref="AJ184:AJ193" ca="1" si="1435">LN($A184/AF184)</f>
        <v>0.23901690047049992</v>
      </c>
      <c r="AK184" s="40">
        <f t="shared" ref="AK184:AK193" ca="1" si="1436">($E184-$D184+POWER(AG184,2)/2)*AI184</f>
        <v>2.5189751902588361E-2</v>
      </c>
      <c r="AL184" s="40">
        <f t="shared" ref="AL184:AL193" ca="1" si="1437">MAX(0,0.000000000001,AG184*SQRT(AI184))</f>
        <v>0.19338305926412305</v>
      </c>
      <c r="AM184" s="42">
        <f t="shared" ref="AM184:AM193" ca="1" si="1438">(AJ184+AK184)/AL184</f>
        <v>1.3662347331688149</v>
      </c>
      <c r="AN184" s="42">
        <f t="shared" ref="AN184:AN193" ca="1" si="1439">AM184-AL184</f>
        <v>1.1728516739046919</v>
      </c>
      <c r="AO184" s="42">
        <f t="shared" ref="AO184:AO193" ca="1" si="1440">_xlfn.NORM.DIST(AM184,0,1,TRUE)</f>
        <v>0.91406735050844135</v>
      </c>
      <c r="AP184" s="42">
        <f t="shared" ref="AP184:AP193" ca="1" si="1441">_xlfn.NORM.DIST(-AM184,0,1,TRUE)</f>
        <v>8.5932649491558599E-2</v>
      </c>
      <c r="AQ184" s="42">
        <f t="shared" ref="AQ184:AQ193" ca="1" si="1442">_xlfn.NORM.DIST(AN184,0,1,TRUE)</f>
        <v>0.87957235405374068</v>
      </c>
      <c r="AR184" s="42">
        <f t="shared" ref="AR184:AR193" ca="1" si="1443">_xlfn.NORM.DIST(-AN184,0,1,TRUE)</f>
        <v>0.12042764594625929</v>
      </c>
      <c r="AS184" s="42">
        <f t="shared" ref="AS184:AS193" ca="1" si="1444">EXP(-$E184*AI184)</f>
        <v>0.98162450344672281</v>
      </c>
      <c r="AT184" s="42">
        <f t="shared" ref="AT184:AT193" ca="1" si="1445">AF184*AS184</f>
        <v>78.529960275737821</v>
      </c>
      <c r="AU184" s="42">
        <f t="shared" ref="AU184:AU193" ca="1" si="1446">EXP(-$D184*AI184)</f>
        <v>0.98801719747153338</v>
      </c>
      <c r="AV184" s="42">
        <f t="shared" ref="AV184:AV193" ca="1" si="1447">$A184*AU184</f>
        <v>100.38254726310778</v>
      </c>
      <c r="AW184" s="42">
        <f t="shared" ref="AW184:AW193" ca="1" si="1448">EXP(-1*POWER(AM184,2)/2)/SQRT(2*PI())</f>
        <v>0.15688578754031113</v>
      </c>
      <c r="AX184" s="42">
        <f t="shared" ref="AX184:AX193" ca="1" si="1449">IF($F$10=1,0,IF($F$10=2,$A184,IF($F$10=3,AV184*AO184-AT184*AQ184,AT184*AR184-AV184*AP184)))</f>
        <v>0.83104000322990501</v>
      </c>
      <c r="AY184" s="42">
        <f t="shared" ref="AY184:AY193" ca="1" si="1450">IF($F$10=2,1,IF(OR($F$10=1,AI184&lt;=0),0,IF($F$10=3,AO184*AU184,(AO184-1)*AU184)))</f>
        <v>-8.4902935521953368E-2</v>
      </c>
      <c r="AZ184" s="42">
        <f t="shared" ref="AZ184:AZ193" ca="1" si="1451">IF(OR($F$10&lt;=2,AI184&lt;=0),0,AW184*AU184/($A184*AL184))</f>
        <v>7.8892546019726766E-3</v>
      </c>
      <c r="BA184" s="42">
        <f t="shared" ca="1" si="1332"/>
        <v>-8.575879614949964E-3</v>
      </c>
      <c r="BB184" s="42">
        <f t="shared" ref="BB184:BB193" ca="1" si="1452">IF(OR($F$10&lt;=2,AI184&lt;=0),0,(AW184*$A184*AU184*SQRT(AI184))/100)</f>
        <v>0.10723631960779377</v>
      </c>
      <c r="BC184" s="42">
        <f t="shared" ref="BC184:BC193" ca="1" si="1453">IF(OR($F$10&lt;=2,AI184&lt;=0),0,IF($F$10=3,AQ184,-1*AR184)*AF184*AI184*AS184/100)</f>
        <v>-4.3849207383484155E-2</v>
      </c>
      <c r="BD184" s="42">
        <f t="shared" ref="BD184:BD193" ca="1" si="1454">IF($F$10=1,0,IF($M$28=1,AX184-$G$10,OFFSET(AV184,0,$M$28))*IF($M$30=1,SIGN($B$10),$T$10))</f>
        <v>2409.4799983850476</v>
      </c>
      <c r="BE184" s="40"/>
      <c r="BF184" s="36">
        <f t="shared" si="687"/>
        <v>90</v>
      </c>
      <c r="BG184" s="35">
        <f t="shared" si="1335"/>
        <v>0.28399999999999997</v>
      </c>
      <c r="BH184" s="197">
        <f t="shared" ca="1" si="1336"/>
        <v>169.23611111111677</v>
      </c>
      <c r="BI184" s="41">
        <f t="shared" ca="1" si="1337"/>
        <v>0.46366057838662128</v>
      </c>
      <c r="BJ184" s="40">
        <f t="shared" ref="BJ184:BJ193" ca="1" si="1455">LN($A184/BF184)</f>
        <v>0.1212338648141164</v>
      </c>
      <c r="BK184" s="40">
        <f t="shared" ref="BK184:BK193" ca="1" si="1456">($E184-$D184+POWER(BG184,2)/2)*BI184</f>
        <v>2.5189751902588361E-2</v>
      </c>
      <c r="BL184" s="40">
        <f t="shared" ref="BL184:BL193" ca="1" si="1457">MAX(0,0.000000000001,BG184*SQRT(BI184))</f>
        <v>0.19338305926412305</v>
      </c>
      <c r="BM184" s="42">
        <f t="shared" ref="BM184:BM193" ca="1" si="1458">(BJ184+BK184)/BL184</f>
        <v>0.75716878858927883</v>
      </c>
      <c r="BN184" s="42">
        <f t="shared" ref="BN184:BN193" ca="1" si="1459">BM184-BL184</f>
        <v>0.5637857293251558</v>
      </c>
      <c r="BO184" s="42">
        <f t="shared" ref="BO184:BO193" ca="1" si="1460">_xlfn.NORM.DIST(BM184,0,1,TRUE)</f>
        <v>0.77552562671401393</v>
      </c>
      <c r="BP184" s="42">
        <f t="shared" ref="BP184:BP193" ca="1" si="1461">_xlfn.NORM.DIST(-BM184,0,1,TRUE)</f>
        <v>0.22447437328598605</v>
      </c>
      <c r="BQ184" s="42">
        <f t="shared" ref="BQ184:BQ193" ca="1" si="1462">_xlfn.NORM.DIST(BN184,0,1,TRUE)</f>
        <v>0.71355001750286584</v>
      </c>
      <c r="BR184" s="42">
        <f t="shared" ref="BR184:BR193" ca="1" si="1463">_xlfn.NORM.DIST(-BN184,0,1,TRUE)</f>
        <v>0.28644998249713416</v>
      </c>
      <c r="BS184" s="42">
        <f t="shared" ref="BS184:BS193" ca="1" si="1464">EXP(-$E184*BI184)</f>
        <v>0.98162450344672281</v>
      </c>
      <c r="BT184" s="42">
        <f t="shared" ref="BT184:BT193" ca="1" si="1465">BF184*BS184</f>
        <v>88.34620531020505</v>
      </c>
      <c r="BU184" s="42">
        <f t="shared" ref="BU184:BU193" ca="1" si="1466">EXP(-$D184*BI184)</f>
        <v>0.98801719747153338</v>
      </c>
      <c r="BV184" s="42">
        <f t="shared" ref="BV184:BV193" ca="1" si="1467">$A184*BU184</f>
        <v>100.38254726310778</v>
      </c>
      <c r="BW184" s="42">
        <f t="shared" ref="BW184:BW193" ca="1" si="1468">EXP(-1*POWER(BM184,2)/2)/SQRT(2*PI())</f>
        <v>0.29951498765901285</v>
      </c>
      <c r="BX184" s="42">
        <f t="shared" ref="BX184:BX193" ca="1" si="1469">IF($F$12=1,0,IF($F$12=2,$A184,IF($F$12=3,BV184*BO184-BT184*BQ184,BT184*BR184-BV184*BP184)))</f>
        <v>14.809801531962187</v>
      </c>
      <c r="BY184" s="42">
        <f t="shared" ref="BY184:BY193" ca="1" si="1470">IF($F$12=2,1,IF(OR($F$12=1,BI184&lt;=0),0,IF($F$12=3,BO184*BU184,(BO184-1)*BU184)))</f>
        <v>0.76623265627333459</v>
      </c>
      <c r="BZ184" s="42">
        <f t="shared" ref="BZ184:BZ193" ca="1" si="1471">IF(OR($F$12&lt;=2,BI184&lt;=0),0,BW184*BU184/($A184*BL184))</f>
        <v>1.5061593735133634E-2</v>
      </c>
      <c r="CA184" s="42">
        <f t="shared" ca="1" si="1355"/>
        <v>-1.8540989066616574E-2</v>
      </c>
      <c r="CB184" s="42">
        <f t="shared" ref="CB184:CB193" ca="1" si="1472">IF(OR($F$12&lt;=2,BI184&lt;=0),0,(BW184*$A184*BU184*SQRT(BI184))/100)</f>
        <v>0.20472781790812952</v>
      </c>
      <c r="CC184" s="42">
        <f t="shared" ref="CC184:CC193" ca="1" si="1473">IF(OR($F$12&lt;=2,BI184&lt;=0),0,IF($F$12=3,BQ184,-1*BR184)*BF184*BI184*BS184/100)</f>
        <v>0.29228901517078743</v>
      </c>
      <c r="CD184" s="42">
        <f t="shared" ref="CD184:CD193" ca="1" si="1474">IF($F$12=1,0,IF($M$28=1,BX184-$G$12,OFFSET(BV184,0,$M$28))*IF($M$30=1,SIGN($B$12),$T$12))</f>
        <v>-4004.9007659810927</v>
      </c>
      <c r="CE184" s="40"/>
      <c r="CF184" s="36">
        <f t="shared" si="710"/>
        <v>95</v>
      </c>
      <c r="CG184" s="35">
        <f t="shared" si="1358"/>
        <v>0.28399999999999997</v>
      </c>
      <c r="CH184" s="197">
        <f t="shared" ca="1" si="1359"/>
        <v>169.23611111111677</v>
      </c>
      <c r="CI184" s="41">
        <f t="shared" ca="1" si="1360"/>
        <v>0.46366057838662128</v>
      </c>
      <c r="CJ184" s="40">
        <f t="shared" ref="CJ184:CJ193" ca="1" si="1475">LN($A184/CF184)</f>
        <v>6.7166643543840721E-2</v>
      </c>
      <c r="CK184" s="40">
        <f t="shared" ref="CK184:CK193" ca="1" si="1476">($E184-$D184+POWER(CG184,2)/2)*CI184</f>
        <v>2.5189751902588361E-2</v>
      </c>
      <c r="CL184" s="40">
        <f t="shared" ref="CL184:CL193" ca="1" si="1477">MAX(0,0.000000000001,CG184*SQRT(CI184))</f>
        <v>0.19338305926412305</v>
      </c>
      <c r="CM184" s="42">
        <f t="shared" ref="CM184:CM193" ca="1" si="1478">(CJ184+CK184)/CL184</f>
        <v>0.47758265795293109</v>
      </c>
      <c r="CN184" s="42">
        <f t="shared" ref="CN184:CN193" ca="1" si="1479">CM184-CL184</f>
        <v>0.28419959868880806</v>
      </c>
      <c r="CO184" s="42">
        <f t="shared" ref="CO184:CO193" ca="1" si="1480">_xlfn.NORM.DIST(CM184,0,1,TRUE)</f>
        <v>0.68352636178169968</v>
      </c>
      <c r="CP184" s="42">
        <f t="shared" ref="CP184:CP193" ca="1" si="1481">_xlfn.NORM.DIST(-CM184,0,1,TRUE)</f>
        <v>0.31647363821830032</v>
      </c>
      <c r="CQ184" s="42">
        <f t="shared" ref="CQ184:CQ193" ca="1" si="1482">_xlfn.NORM.DIST(CN184,0,1,TRUE)</f>
        <v>0.61187128850419681</v>
      </c>
      <c r="CR184" s="42">
        <f t="shared" ref="CR184:CR193" ca="1" si="1483">_xlfn.NORM.DIST(-CN184,0,1,TRUE)</f>
        <v>0.38812871149580314</v>
      </c>
      <c r="CS184" s="42">
        <f t="shared" ref="CS184:CS193" ca="1" si="1484">EXP(-$E184*CI184)</f>
        <v>0.98162450344672281</v>
      </c>
      <c r="CT184" s="42">
        <f t="shared" ref="CT184:CT193" ca="1" si="1485">CF184*CS184</f>
        <v>93.254327827438672</v>
      </c>
      <c r="CU184" s="42">
        <f t="shared" ref="CU184:CU193" ca="1" si="1486">EXP(-$D184*CI184)</f>
        <v>0.98801719747153338</v>
      </c>
      <c r="CV184" s="42">
        <f t="shared" ref="CV184:CV193" ca="1" si="1487">$A184*CU184</f>
        <v>100.38254726310778</v>
      </c>
      <c r="CW184" s="42">
        <f t="shared" ref="CW184:CW193" ca="1" si="1488">EXP(-1*POWER(CM184,2)/2)/SQRT(2*PI())</f>
        <v>0.35594426093587916</v>
      </c>
      <c r="CX184" s="42">
        <f t="shared" ref="CX184:CX193" ca="1" si="1489">IF($F$14=1,0,IF($F$14=2,$A184,IF($F$14=3,CV184*CO184-CT184*CQ184,CT184*CR184-CV184*CP184)))</f>
        <v>11.554471590763896</v>
      </c>
      <c r="CY184" s="42">
        <f t="shared" ref="CY184:CY193" ca="1" si="1490">IF($F$14=2,1,IF(OR($F$14=1,CI184&lt;=0),0,IF($F$14=3,CO184*CU184,(CO184-1)*CU184)))</f>
        <v>0.67533580036546836</v>
      </c>
      <c r="CZ184" s="42">
        <f t="shared" ref="CZ184:CZ193" ca="1" si="1491">IF(OR($F$14&lt;=2,CI184&lt;=0),0,CW184*CU184/($A184*CL184))</f>
        <v>1.7899230661111414E-2</v>
      </c>
      <c r="DA184" s="42">
        <f t="shared" ca="1" si="1378"/>
        <v>-2.1779882976384689E-2</v>
      </c>
      <c r="DB184" s="42">
        <f t="shared" ref="DB184:DB193" ca="1" si="1492">IF(OR($F$14&lt;=2,CI184&lt;=0),0,(CW184*$A184*CU184*SQRT(CI184))/100)</f>
        <v>0.24329898282514745</v>
      </c>
      <c r="DC184" s="42">
        <f t="shared" ref="DC184:DC193" ca="1" si="1493">IF(OR($F$14&lt;=2,CI184&lt;=0),0,IF($F$14=3,CQ184,-1*CR184)*CF184*CI184*CS184/100)</f>
        <v>0.26456308340023338</v>
      </c>
      <c r="DD184" s="42">
        <f t="shared" ref="DD184:DD193" ca="1" si="1494">IF($F$14=1,0,IF($M$28=1,CX184-$G$14,OFFSET(CV184,0,$M$28))*IF($M$30=1,SIGN($B$14),$T$14))</f>
        <v>3202.2357953819478</v>
      </c>
      <c r="DE184" s="40"/>
      <c r="DF184" s="36">
        <f t="shared" si="733"/>
        <v>200</v>
      </c>
      <c r="DG184" s="35">
        <f t="shared" si="1381"/>
        <v>0.28399999999999997</v>
      </c>
      <c r="DH184" s="197">
        <f t="shared" ca="1" si="1382"/>
        <v>169.23611111111677</v>
      </c>
      <c r="DI184" s="41">
        <f t="shared" ca="1" si="1383"/>
        <v>0.46366057838662128</v>
      </c>
      <c r="DJ184" s="40">
        <f t="shared" ref="DJ184:DJ193" ca="1" si="1495">LN($A184/DF184)</f>
        <v>-0.67727383140365516</v>
      </c>
      <c r="DK184" s="40">
        <f t="shared" ref="DK184:DK193" ca="1" si="1496">($E184-$D184+POWER(DG184,2)/2)*DI184</f>
        <v>2.5189751902588361E-2</v>
      </c>
      <c r="DL184" s="40">
        <f t="shared" ref="DL184:DL193" ca="1" si="1497">MAX(0,0.000000000001,DG184*SQRT(DI184))</f>
        <v>0.19338305926412305</v>
      </c>
      <c r="DM184" s="42">
        <f t="shared" ref="DM184:DM193" ca="1" si="1498">(DJ184+DK184)/DL184</f>
        <v>-3.3719814030372164</v>
      </c>
      <c r="DN184" s="42">
        <f t="shared" ref="DN184:DN193" ca="1" si="1499">DM184-DL184</f>
        <v>-3.5653644623013396</v>
      </c>
      <c r="DO184" s="42">
        <f t="shared" ref="DO184:DO193" ca="1" si="1500">_xlfn.NORM.DIST(DM184,0,1,TRUE)</f>
        <v>3.731474371966464E-4</v>
      </c>
      <c r="DP184" s="42">
        <f t="shared" ref="DP184:DP193" ca="1" si="1501">_xlfn.NORM.DIST(-DM184,0,1,TRUE)</f>
        <v>0.99962685256280337</v>
      </c>
      <c r="DQ184" s="42">
        <f t="shared" ref="DQ184:DQ193" ca="1" si="1502">_xlfn.NORM.DIST(DN184,0,1,TRUE)</f>
        <v>1.8167545117782092E-4</v>
      </c>
      <c r="DR184" s="42">
        <f t="shared" ref="DR184:DR193" ca="1" si="1503">_xlfn.NORM.DIST(-DN184,0,1,TRUE)</f>
        <v>0.99981832454882213</v>
      </c>
      <c r="DS184" s="42">
        <f t="shared" ref="DS184:DS193" ca="1" si="1504">EXP(-$E184*DI184)</f>
        <v>0.98162450344672281</v>
      </c>
      <c r="DT184" s="42">
        <f t="shared" ref="DT184:DT193" ca="1" si="1505">DF184*DS184</f>
        <v>196.32490068934456</v>
      </c>
      <c r="DU184" s="42">
        <f t="shared" ref="DU184:DU193" ca="1" si="1506">EXP(-$D184*DI184)</f>
        <v>0.98801719747153338</v>
      </c>
      <c r="DV184" s="42">
        <f t="shared" ref="DV184:DV193" ca="1" si="1507">$A184*DU184</f>
        <v>100.38254726310778</v>
      </c>
      <c r="DW184" s="42">
        <f t="shared" ref="DW184:DW193" ca="1" si="1508">EXP(-1*POWER(DM184,2)/2)/SQRT(2*PI())</f>
        <v>1.3548455391179442E-3</v>
      </c>
      <c r="DX184" s="42">
        <f t="shared" ref="DX184:DX193" si="1509">IF($F$16=1,0,IF($F$16=2,$A184,IF($F$16=3,DV184*DO184-DT184*DQ184,DT184*DR184-DV184*DP184)))</f>
        <v>0</v>
      </c>
      <c r="DY184" s="92">
        <f t="shared" ref="DY184:DY193" ca="1" si="1510">IF($F$16=2,1,IF(OR($F$16=1,DI184&lt;=0),0,IF($F$16=3,DO184*DU184,(DO184-1)*DU184)))</f>
        <v>0</v>
      </c>
      <c r="DZ184" s="42">
        <f t="shared" ref="DZ184:DZ193" ca="1" si="1511">IF(OR($F$16&lt;=2,DI184&lt;=0),0,DW184*DU184/($A184*DL184))</f>
        <v>0</v>
      </c>
      <c r="EA184" s="42">
        <f t="shared" ca="1" si="1401"/>
        <v>0</v>
      </c>
      <c r="EB184" s="42">
        <f t="shared" ref="EB184:EB193" ca="1" si="1512">IF(OR($F$16&lt;=2,DI184&lt;=0),0,(DW184*$A184*DU184*SQRT(DI184))/100)</f>
        <v>0</v>
      </c>
      <c r="EC184" s="42">
        <f t="shared" ref="EC184:EC193" ca="1" si="1513">IF(OR($F$16&lt;=2,DI184&lt;=0),0,IF($F$16=3,DQ184,-1*DR184)*DF184*DI184*DS184/100)</f>
        <v>0</v>
      </c>
      <c r="ED184" s="42">
        <f t="shared" ref="ED184:ED193" ca="1" si="1514">IF($F$16=1,0,IF($M$28=1,DX184-$G$16,OFFSET(DV184,0,$M$28))*IF($M$30=1,SIGN($B$16),$T$16))</f>
        <v>0</v>
      </c>
      <c r="EE184" s="40"/>
      <c r="EF184" s="120">
        <f t="shared" ca="1" si="756"/>
        <v>101.6</v>
      </c>
      <c r="EG184" s="42">
        <f t="shared" ca="1" si="1404"/>
        <v>-2.1389041659049326</v>
      </c>
      <c r="EH184" s="36">
        <f t="shared" ca="1" si="1405"/>
        <v>-2.1389041659049326</v>
      </c>
      <c r="EI184" s="143">
        <f t="shared" ca="1" si="1406"/>
        <v>-2.1389999999999998</v>
      </c>
      <c r="EJ184" s="143">
        <f t="shared" ca="1" si="1413"/>
        <v>-1.2509999999999999</v>
      </c>
      <c r="EK184" s="153">
        <f t="shared" ca="1" si="1407"/>
        <v>0</v>
      </c>
      <c r="EL184" s="143">
        <f t="shared" ca="1" si="1414"/>
        <v>0</v>
      </c>
    </row>
    <row r="185" spans="1:143" x14ac:dyDescent="0.3">
      <c r="A185" s="143">
        <f t="shared" ca="1" si="1408"/>
        <v>101.64999999999999</v>
      </c>
      <c r="B185" s="144">
        <f t="shared" ca="1" si="1409"/>
        <v>0.28399999999999997</v>
      </c>
      <c r="C185" s="145">
        <f t="shared" ca="1" si="1410"/>
        <v>45295.440972222219</v>
      </c>
      <c r="D185" s="144">
        <f t="shared" ca="1" si="1411"/>
        <v>2.5999999999999999E-2</v>
      </c>
      <c r="E185" s="144">
        <f t="shared" ca="1" si="1412"/>
        <v>0.04</v>
      </c>
      <c r="F185" s="36">
        <f t="shared" si="641"/>
        <v>75</v>
      </c>
      <c r="G185" s="35">
        <f t="shared" si="1289"/>
        <v>0.28399999999999997</v>
      </c>
      <c r="H185" s="197">
        <f t="shared" ca="1" si="1290"/>
        <v>169.23611111111677</v>
      </c>
      <c r="I185" s="41">
        <f t="shared" ca="1" si="1291"/>
        <v>0.46366057838662128</v>
      </c>
      <c r="J185" s="40">
        <f t="shared" ca="1" si="1415"/>
        <v>0.30404742653804517</v>
      </c>
      <c r="K185" s="40">
        <f t="shared" ca="1" si="1416"/>
        <v>2.5189751902588361E-2</v>
      </c>
      <c r="L185" s="40">
        <f t="shared" ca="1" si="1417"/>
        <v>0.19338305926412305</v>
      </c>
      <c r="M185" s="42">
        <f t="shared" ca="1" si="1418"/>
        <v>1.7025130313558676</v>
      </c>
      <c r="N185" s="42">
        <f t="shared" ca="1" si="1419"/>
        <v>1.5091299720917446</v>
      </c>
      <c r="O185" s="42">
        <f t="shared" ca="1" si="1420"/>
        <v>0.95567038113405478</v>
      </c>
      <c r="P185" s="42">
        <f t="shared" ca="1" si="1421"/>
        <v>4.4329618865945233E-2</v>
      </c>
      <c r="Q185" s="42">
        <f t="shared" ca="1" si="1422"/>
        <v>0.93436721425237867</v>
      </c>
      <c r="R185" s="42">
        <f t="shared" ca="1" si="1423"/>
        <v>6.5632785747621339E-2</v>
      </c>
      <c r="S185" s="42">
        <f t="shared" ca="1" si="1424"/>
        <v>0.98162450344672281</v>
      </c>
      <c r="T185" s="42">
        <f t="shared" ca="1" si="1425"/>
        <v>73.621837758504213</v>
      </c>
      <c r="U185" s="42">
        <f t="shared" ca="1" si="1426"/>
        <v>0.98801719747153338</v>
      </c>
      <c r="V185" s="42">
        <f t="shared" ca="1" si="1427"/>
        <v>100.43194812298135</v>
      </c>
      <c r="W185" s="42">
        <f t="shared" ca="1" si="1428"/>
        <v>9.3647846629080655E-2</v>
      </c>
      <c r="X185" s="42">
        <f t="shared" ca="1" si="1429"/>
        <v>0.37989632169389953</v>
      </c>
      <c r="Y185" s="42">
        <f t="shared" ca="1" si="1430"/>
        <v>-4.3798425796912413E-2</v>
      </c>
      <c r="Z185" s="42">
        <f t="shared" ca="1" si="1431"/>
        <v>4.7069164579320311E-3</v>
      </c>
      <c r="AA185" s="42">
        <f t="shared" ca="1" si="1309"/>
        <v>-5.16119845699212E-3</v>
      </c>
      <c r="AB185" s="42">
        <f t="shared" ca="1" si="1432"/>
        <v>6.4042719994054725E-2</v>
      </c>
      <c r="AC185" s="42">
        <f t="shared" ca="1" si="1433"/>
        <v>-2.2404108376572779E-2</v>
      </c>
      <c r="AD185" s="42">
        <f t="shared" ca="1" si="1434"/>
        <v>-1610.0518391530502</v>
      </c>
      <c r="AF185" s="36">
        <f t="shared" si="664"/>
        <v>80</v>
      </c>
      <c r="AG185" s="35">
        <f t="shared" si="1312"/>
        <v>0.28399999999999997</v>
      </c>
      <c r="AH185" s="197">
        <f t="shared" ca="1" si="1313"/>
        <v>169.23611111111677</v>
      </c>
      <c r="AI185" s="41">
        <f t="shared" ca="1" si="1314"/>
        <v>0.46366057838662128</v>
      </c>
      <c r="AJ185" s="40">
        <f t="shared" ca="1" si="1435"/>
        <v>0.23950890540047395</v>
      </c>
      <c r="AK185" s="40">
        <f t="shared" ca="1" si="1436"/>
        <v>2.5189751902588361E-2</v>
      </c>
      <c r="AL185" s="40">
        <f t="shared" ca="1" si="1437"/>
        <v>0.19338305926412305</v>
      </c>
      <c r="AM185" s="42">
        <f t="shared" ca="1" si="1438"/>
        <v>1.3687789318791168</v>
      </c>
      <c r="AN185" s="42">
        <f t="shared" ca="1" si="1439"/>
        <v>1.1753958726149938</v>
      </c>
      <c r="AO185" s="42">
        <f t="shared" ca="1" si="1440"/>
        <v>0.91446580578551673</v>
      </c>
      <c r="AP185" s="42">
        <f t="shared" ca="1" si="1441"/>
        <v>8.5534194214483272E-2</v>
      </c>
      <c r="AQ185" s="42">
        <f t="shared" ca="1" si="1442"/>
        <v>0.8800818130047614</v>
      </c>
      <c r="AR185" s="42">
        <f t="shared" ca="1" si="1443"/>
        <v>0.11991818699523857</v>
      </c>
      <c r="AS185" s="42">
        <f t="shared" ca="1" si="1444"/>
        <v>0.98162450344672281</v>
      </c>
      <c r="AT185" s="42">
        <f t="shared" ca="1" si="1445"/>
        <v>78.529960275737821</v>
      </c>
      <c r="AU185" s="42">
        <f t="shared" ca="1" si="1446"/>
        <v>0.98801719747153338</v>
      </c>
      <c r="AV185" s="42">
        <f t="shared" ca="1" si="1447"/>
        <v>100.43194812298135</v>
      </c>
      <c r="AW185" s="42">
        <f t="shared" ca="1" si="1448"/>
        <v>0.1563408975203758</v>
      </c>
      <c r="AX185" s="42">
        <f t="shared" ca="1" si="1449"/>
        <v>0.82680470498458902</v>
      </c>
      <c r="AY185" s="42">
        <f t="shared" ca="1" si="1450"/>
        <v>-8.4509254855779606E-2</v>
      </c>
      <c r="AZ185" s="42">
        <f t="shared" ca="1" si="1451"/>
        <v>7.8579868098964546E-3</v>
      </c>
      <c r="BA185" s="42">
        <f t="shared" ca="1" si="1332"/>
        <v>-8.5508776385808047E-3</v>
      </c>
      <c r="BB185" s="42">
        <f t="shared" ca="1" si="1452"/>
        <v>0.1069164608042085</v>
      </c>
      <c r="BC185" s="42">
        <f t="shared" ca="1" si="1453"/>
        <v>-4.3663707027472472E-2</v>
      </c>
      <c r="BD185" s="42">
        <f t="shared" ca="1" si="1454"/>
        <v>2411.5976475077055</v>
      </c>
      <c r="BE185" s="40"/>
      <c r="BF185" s="36">
        <f t="shared" si="687"/>
        <v>90</v>
      </c>
      <c r="BG185" s="35">
        <f t="shared" si="1335"/>
        <v>0.28399999999999997</v>
      </c>
      <c r="BH185" s="197">
        <f t="shared" ca="1" si="1336"/>
        <v>169.23611111111677</v>
      </c>
      <c r="BI185" s="41">
        <f t="shared" ca="1" si="1337"/>
        <v>0.46366057838662128</v>
      </c>
      <c r="BJ185" s="40">
        <f t="shared" ca="1" si="1455"/>
        <v>0.1217258697440904</v>
      </c>
      <c r="BK185" s="40">
        <f t="shared" ca="1" si="1456"/>
        <v>2.5189751902588361E-2</v>
      </c>
      <c r="BL185" s="40">
        <f t="shared" ca="1" si="1457"/>
        <v>0.19338305926412305</v>
      </c>
      <c r="BM185" s="42">
        <f t="shared" ca="1" si="1458"/>
        <v>0.75971298729958059</v>
      </c>
      <c r="BN185" s="42">
        <f t="shared" ca="1" si="1459"/>
        <v>0.56632992803545756</v>
      </c>
      <c r="BO185" s="42">
        <f t="shared" ca="1" si="1460"/>
        <v>0.77628691803103556</v>
      </c>
      <c r="BP185" s="42">
        <f t="shared" ca="1" si="1461"/>
        <v>0.22371308196896442</v>
      </c>
      <c r="BQ185" s="42">
        <f t="shared" ca="1" si="1462"/>
        <v>0.71441524038342852</v>
      </c>
      <c r="BR185" s="42">
        <f t="shared" ca="1" si="1463"/>
        <v>0.28558475961657143</v>
      </c>
      <c r="BS185" s="42">
        <f t="shared" ca="1" si="1464"/>
        <v>0.98162450344672281</v>
      </c>
      <c r="BT185" s="42">
        <f t="shared" ca="1" si="1465"/>
        <v>88.34620531020505</v>
      </c>
      <c r="BU185" s="42">
        <f t="shared" ca="1" si="1466"/>
        <v>0.98801719747153338</v>
      </c>
      <c r="BV185" s="42">
        <f t="shared" ca="1" si="1467"/>
        <v>100.43194812298135</v>
      </c>
      <c r="BW185" s="42">
        <f t="shared" ca="1" si="1468"/>
        <v>0.29893759350800014</v>
      </c>
      <c r="BX185" s="42">
        <f t="shared" ca="1" si="1469"/>
        <v>14.848131976588178</v>
      </c>
      <c r="BY185" s="42">
        <f t="shared" ca="1" si="1470"/>
        <v>0.76698482518683775</v>
      </c>
      <c r="BZ185" s="42">
        <f t="shared" ca="1" si="1471"/>
        <v>1.5025164266195308E-2</v>
      </c>
      <c r="CA185" s="42">
        <f t="shared" ca="1" si="1355"/>
        <v>-1.851651293310912E-2</v>
      </c>
      <c r="CB185" s="42">
        <f t="shared" ca="1" si="1472"/>
        <v>0.2044337086848117</v>
      </c>
      <c r="CC185" s="42">
        <f t="shared" ca="1" si="1473"/>
        <v>0.29264343341402133</v>
      </c>
      <c r="CD185" s="42">
        <f t="shared" ca="1" si="1474"/>
        <v>-4024.0659882940886</v>
      </c>
      <c r="CE185" s="40"/>
      <c r="CF185" s="36">
        <f t="shared" si="710"/>
        <v>95</v>
      </c>
      <c r="CG185" s="35">
        <f t="shared" si="1358"/>
        <v>0.28399999999999997</v>
      </c>
      <c r="CH185" s="197">
        <f t="shared" ca="1" si="1359"/>
        <v>169.23611111111677</v>
      </c>
      <c r="CI185" s="41">
        <f t="shared" ca="1" si="1360"/>
        <v>0.46366057838662128</v>
      </c>
      <c r="CJ185" s="40">
        <f t="shared" ca="1" si="1475"/>
        <v>6.7658648473814656E-2</v>
      </c>
      <c r="CK185" s="40">
        <f t="shared" ca="1" si="1476"/>
        <v>2.5189751902588361E-2</v>
      </c>
      <c r="CL185" s="40">
        <f t="shared" ca="1" si="1477"/>
        <v>0.19338305926412305</v>
      </c>
      <c r="CM185" s="42">
        <f t="shared" ca="1" si="1478"/>
        <v>0.48012685666323257</v>
      </c>
      <c r="CN185" s="42">
        <f t="shared" ca="1" si="1479"/>
        <v>0.28674379739910949</v>
      </c>
      <c r="CO185" s="42">
        <f t="shared" ca="1" si="1480"/>
        <v>0.68443140378077394</v>
      </c>
      <c r="CP185" s="42">
        <f t="shared" ca="1" si="1481"/>
        <v>0.31556859621922606</v>
      </c>
      <c r="CQ185" s="42">
        <f t="shared" ca="1" si="1482"/>
        <v>0.61284575019319765</v>
      </c>
      <c r="CR185" s="42">
        <f t="shared" ca="1" si="1483"/>
        <v>0.38715424980680241</v>
      </c>
      <c r="CS185" s="42">
        <f t="shared" ca="1" si="1484"/>
        <v>0.98162450344672281</v>
      </c>
      <c r="CT185" s="42">
        <f t="shared" ca="1" si="1485"/>
        <v>93.254327827438672</v>
      </c>
      <c r="CU185" s="42">
        <f t="shared" ca="1" si="1486"/>
        <v>0.98801719747153338</v>
      </c>
      <c r="CV185" s="42">
        <f t="shared" ca="1" si="1487"/>
        <v>100.43194812298135</v>
      </c>
      <c r="CW185" s="42">
        <f t="shared" ca="1" si="1488"/>
        <v>0.35551087750283122</v>
      </c>
      <c r="CX185" s="42">
        <f t="shared" ca="1" si="1489"/>
        <v>11.588260742080948</v>
      </c>
      <c r="CY185" s="42">
        <f t="shared" ca="1" si="1490"/>
        <v>0.67622999742498768</v>
      </c>
      <c r="CZ185" s="42">
        <f t="shared" ca="1" si="1491"/>
        <v>1.7868643653065085E-2</v>
      </c>
      <c r="DA185" s="42">
        <f t="shared" ca="1" si="1378"/>
        <v>-2.1766140114808333E-2</v>
      </c>
      <c r="DB185" s="42">
        <f t="shared" ca="1" si="1492"/>
        <v>0.24312233972590191</v>
      </c>
      <c r="DC185" s="42">
        <f t="shared" ca="1" si="1493"/>
        <v>0.26498442461029031</v>
      </c>
      <c r="DD185" s="42">
        <f t="shared" ca="1" si="1494"/>
        <v>3219.1303710404736</v>
      </c>
      <c r="DE185" s="40"/>
      <c r="DF185" s="36">
        <f t="shared" si="733"/>
        <v>200</v>
      </c>
      <c r="DG185" s="35">
        <f t="shared" si="1381"/>
        <v>0.28399999999999997</v>
      </c>
      <c r="DH185" s="197">
        <f t="shared" ca="1" si="1382"/>
        <v>169.23611111111677</v>
      </c>
      <c r="DI185" s="41">
        <f t="shared" ca="1" si="1383"/>
        <v>0.46366057838662128</v>
      </c>
      <c r="DJ185" s="40">
        <f t="shared" ca="1" si="1495"/>
        <v>-0.67678182647368113</v>
      </c>
      <c r="DK185" s="40">
        <f t="shared" ca="1" si="1496"/>
        <v>2.5189751902588361E-2</v>
      </c>
      <c r="DL185" s="40">
        <f t="shared" ca="1" si="1497"/>
        <v>0.19338305926412305</v>
      </c>
      <c r="DM185" s="42">
        <f t="shared" ca="1" si="1498"/>
        <v>-3.3694372043269145</v>
      </c>
      <c r="DN185" s="42">
        <f t="shared" ca="1" si="1499"/>
        <v>-3.5628202635910378</v>
      </c>
      <c r="DO185" s="42">
        <f t="shared" ca="1" si="1500"/>
        <v>3.7660925797523555E-4</v>
      </c>
      <c r="DP185" s="42">
        <f t="shared" ca="1" si="1501"/>
        <v>0.99962339074202478</v>
      </c>
      <c r="DQ185" s="42">
        <f t="shared" ca="1" si="1502"/>
        <v>1.8344594493775114E-4</v>
      </c>
      <c r="DR185" s="42">
        <f t="shared" ca="1" si="1503"/>
        <v>0.9998165540550622</v>
      </c>
      <c r="DS185" s="42">
        <f t="shared" ca="1" si="1504"/>
        <v>0.98162450344672281</v>
      </c>
      <c r="DT185" s="42">
        <f t="shared" ca="1" si="1505"/>
        <v>196.32490068934456</v>
      </c>
      <c r="DU185" s="42">
        <f t="shared" ca="1" si="1506"/>
        <v>0.98801719747153338</v>
      </c>
      <c r="DV185" s="42">
        <f t="shared" ca="1" si="1507"/>
        <v>100.43194812298135</v>
      </c>
      <c r="DW185" s="42">
        <f t="shared" ca="1" si="1508"/>
        <v>1.3665143243297357E-3</v>
      </c>
      <c r="DX185" s="42">
        <f t="shared" si="1509"/>
        <v>0</v>
      </c>
      <c r="DY185" s="92">
        <f t="shared" ca="1" si="1510"/>
        <v>0</v>
      </c>
      <c r="DZ185" s="42">
        <f t="shared" ca="1" si="1511"/>
        <v>0</v>
      </c>
      <c r="EA185" s="42">
        <f t="shared" ca="1" si="1401"/>
        <v>0</v>
      </c>
      <c r="EB185" s="42">
        <f t="shared" ca="1" si="1512"/>
        <v>0</v>
      </c>
      <c r="EC185" s="42">
        <f t="shared" ca="1" si="1513"/>
        <v>0</v>
      </c>
      <c r="ED185" s="42">
        <f t="shared" ca="1" si="1514"/>
        <v>0</v>
      </c>
      <c r="EE185" s="40"/>
      <c r="EF185" s="120">
        <f t="shared" ca="1" si="756"/>
        <v>101.64999999999999</v>
      </c>
      <c r="EG185" s="42">
        <f t="shared" ca="1" si="1404"/>
        <v>-3.3898088989599273</v>
      </c>
      <c r="EH185" s="36">
        <f t="shared" ca="1" si="1405"/>
        <v>-3.3898088989599273</v>
      </c>
      <c r="EI185" s="143">
        <f t="shared" ca="1" si="1406"/>
        <v>-3.39</v>
      </c>
      <c r="EJ185" s="143">
        <f t="shared" ca="1" si="1413"/>
        <v>-1.2510000000000003</v>
      </c>
      <c r="EK185" s="153">
        <f t="shared" ca="1" si="1407"/>
        <v>0</v>
      </c>
      <c r="EL185" s="143">
        <f t="shared" ca="1" si="1414"/>
        <v>0</v>
      </c>
    </row>
    <row r="186" spans="1:143" x14ac:dyDescent="0.3">
      <c r="A186" s="143">
        <f t="shared" ca="1" si="1408"/>
        <v>101.69999999999999</v>
      </c>
      <c r="B186" s="144">
        <f t="shared" ca="1" si="1409"/>
        <v>0.28399999999999997</v>
      </c>
      <c r="C186" s="145">
        <f t="shared" ca="1" si="1410"/>
        <v>45295.440972222219</v>
      </c>
      <c r="D186" s="144">
        <f t="shared" ca="1" si="1411"/>
        <v>2.5999999999999999E-2</v>
      </c>
      <c r="E186" s="144">
        <f t="shared" ca="1" si="1412"/>
        <v>0.04</v>
      </c>
      <c r="F186" s="36">
        <f t="shared" si="641"/>
        <v>75</v>
      </c>
      <c r="G186" s="35">
        <f t="shared" si="1289"/>
        <v>0.28399999999999997</v>
      </c>
      <c r="H186" s="197">
        <f t="shared" ca="1" si="1290"/>
        <v>169.23611111111677</v>
      </c>
      <c r="I186" s="41">
        <f t="shared" ca="1" si="1291"/>
        <v>0.46366057838662128</v>
      </c>
      <c r="J186" s="40">
        <f t="shared" ca="1" si="1415"/>
        <v>0.30453918951820375</v>
      </c>
      <c r="K186" s="40">
        <f t="shared" ca="1" si="1416"/>
        <v>2.5189751902588361E-2</v>
      </c>
      <c r="L186" s="40">
        <f t="shared" ca="1" si="1417"/>
        <v>0.19338305926412305</v>
      </c>
      <c r="M186" s="42">
        <f t="shared" ca="1" si="1418"/>
        <v>1.7050559789234048</v>
      </c>
      <c r="N186" s="42">
        <f t="shared" ca="1" si="1419"/>
        <v>1.5116729196592817</v>
      </c>
      <c r="O186" s="42">
        <f t="shared" ca="1" si="1420"/>
        <v>0.9559080076799491</v>
      </c>
      <c r="P186" s="42">
        <f t="shared" ca="1" si="1421"/>
        <v>4.4091992320050857E-2</v>
      </c>
      <c r="Q186" s="42">
        <f t="shared" ca="1" si="1422"/>
        <v>0.93469145448347157</v>
      </c>
      <c r="R186" s="42">
        <f t="shared" ca="1" si="1423"/>
        <v>6.5308545516528385E-2</v>
      </c>
      <c r="S186" s="42">
        <f t="shared" ca="1" si="1424"/>
        <v>0.98162450344672281</v>
      </c>
      <c r="T186" s="42">
        <f t="shared" ca="1" si="1425"/>
        <v>73.621837758504213</v>
      </c>
      <c r="U186" s="42">
        <f t="shared" ca="1" si="1426"/>
        <v>0.98801719747153338</v>
      </c>
      <c r="V186" s="42">
        <f t="shared" ca="1" si="1427"/>
        <v>100.48134898285494</v>
      </c>
      <c r="W186" s="42">
        <f t="shared" ca="1" si="1428"/>
        <v>9.3242982420349979E-2</v>
      </c>
      <c r="X186" s="42">
        <f t="shared" ca="1" si="1429"/>
        <v>0.37771227460135037</v>
      </c>
      <c r="Y186" s="42">
        <f t="shared" ca="1" si="1430"/>
        <v>-4.3563646682993062E-2</v>
      </c>
      <c r="Z186" s="42">
        <f t="shared" ca="1" si="1431"/>
        <v>4.6842631095839402E-3</v>
      </c>
      <c r="AA186" s="42">
        <f t="shared" ca="1" si="1309"/>
        <v>-5.1416699291402419E-3</v>
      </c>
      <c r="AB186" s="42">
        <f t="shared" ca="1" si="1432"/>
        <v>6.3797211908684218E-2</v>
      </c>
      <c r="AC186" s="42">
        <f t="shared" ca="1" si="1433"/>
        <v>-2.2293427210221178E-2</v>
      </c>
      <c r="AD186" s="42">
        <f t="shared" ca="1" si="1434"/>
        <v>-1611.1438626993249</v>
      </c>
      <c r="AF186" s="36">
        <f t="shared" si="664"/>
        <v>80</v>
      </c>
      <c r="AG186" s="35">
        <f t="shared" si="1312"/>
        <v>0.28399999999999997</v>
      </c>
      <c r="AH186" s="197">
        <f t="shared" ca="1" si="1313"/>
        <v>169.23611111111677</v>
      </c>
      <c r="AI186" s="41">
        <f t="shared" ca="1" si="1314"/>
        <v>0.46366057838662128</v>
      </c>
      <c r="AJ186" s="40">
        <f t="shared" ca="1" si="1435"/>
        <v>0.24000066838063247</v>
      </c>
      <c r="AK186" s="40">
        <f t="shared" ca="1" si="1436"/>
        <v>2.5189751902588361E-2</v>
      </c>
      <c r="AL186" s="40">
        <f t="shared" ca="1" si="1437"/>
        <v>0.19338305926412305</v>
      </c>
      <c r="AM186" s="42">
        <f t="shared" ca="1" si="1438"/>
        <v>1.3713218794466535</v>
      </c>
      <c r="AN186" s="42">
        <f t="shared" ca="1" si="1439"/>
        <v>1.1779388201825305</v>
      </c>
      <c r="AO186" s="42">
        <f t="shared" ca="1" si="1440"/>
        <v>0.91486268095350975</v>
      </c>
      <c r="AP186" s="42">
        <f t="shared" ca="1" si="1441"/>
        <v>8.5137319046490217E-2</v>
      </c>
      <c r="AQ186" s="42">
        <f t="shared" ca="1" si="1442"/>
        <v>0.88058950131422709</v>
      </c>
      <c r="AR186" s="42">
        <f t="shared" ca="1" si="1443"/>
        <v>0.1194104986857729</v>
      </c>
      <c r="AS186" s="42">
        <f t="shared" ca="1" si="1444"/>
        <v>0.98162450344672281</v>
      </c>
      <c r="AT186" s="42">
        <f t="shared" ca="1" si="1445"/>
        <v>78.529960275737821</v>
      </c>
      <c r="AU186" s="42">
        <f t="shared" ca="1" si="1446"/>
        <v>0.98801719747153338</v>
      </c>
      <c r="AV186" s="42">
        <f t="shared" ca="1" si="1447"/>
        <v>100.48134898285494</v>
      </c>
      <c r="AW186" s="42">
        <f t="shared" ca="1" si="1448"/>
        <v>0.1557971588284803</v>
      </c>
      <c r="AX186" s="42">
        <f t="shared" ca="1" si="1449"/>
        <v>0.8225890517247425</v>
      </c>
      <c r="AY186" s="42">
        <f t="shared" ca="1" si="1450"/>
        <v>-8.4117135364553092E-2</v>
      </c>
      <c r="AZ186" s="42">
        <f t="shared" ca="1" si="1451"/>
        <v>7.8268076024020968E-3</v>
      </c>
      <c r="BA186" s="42">
        <f t="shared" ca="1" si="1332"/>
        <v>-8.5259042674478459E-3</v>
      </c>
      <c r="BB186" s="42">
        <f t="shared" ca="1" si="1452"/>
        <v>0.10659702315980663</v>
      </c>
      <c r="BC186" s="42">
        <f t="shared" ca="1" si="1453"/>
        <v>-4.3478851384127382E-2</v>
      </c>
      <c r="BD186" s="42">
        <f t="shared" ca="1" si="1454"/>
        <v>2413.7054741376287</v>
      </c>
      <c r="BE186" s="40"/>
      <c r="BF186" s="36">
        <f t="shared" si="687"/>
        <v>90</v>
      </c>
      <c r="BG186" s="35">
        <f t="shared" si="1335"/>
        <v>0.28399999999999997</v>
      </c>
      <c r="BH186" s="197">
        <f t="shared" ca="1" si="1336"/>
        <v>169.23611111111677</v>
      </c>
      <c r="BI186" s="41">
        <f t="shared" ca="1" si="1337"/>
        <v>0.46366057838662128</v>
      </c>
      <c r="BJ186" s="40">
        <f t="shared" ca="1" si="1455"/>
        <v>0.12221763272424911</v>
      </c>
      <c r="BK186" s="40">
        <f t="shared" ca="1" si="1456"/>
        <v>2.5189751902588361E-2</v>
      </c>
      <c r="BL186" s="40">
        <f t="shared" ca="1" si="1457"/>
        <v>0.19338305926412305</v>
      </c>
      <c r="BM186" s="42">
        <f t="shared" ca="1" si="1458"/>
        <v>0.7622559348671184</v>
      </c>
      <c r="BN186" s="42">
        <f t="shared" ca="1" si="1459"/>
        <v>0.56887287560299538</v>
      </c>
      <c r="BO186" s="42">
        <f t="shared" ca="1" si="1460"/>
        <v>0.77704636600950239</v>
      </c>
      <c r="BP186" s="42">
        <f t="shared" ca="1" si="1461"/>
        <v>0.22295363399049764</v>
      </c>
      <c r="BQ186" s="42">
        <f t="shared" ca="1" si="1462"/>
        <v>0.71527879293570384</v>
      </c>
      <c r="BR186" s="42">
        <f t="shared" ca="1" si="1463"/>
        <v>0.28472120706429616</v>
      </c>
      <c r="BS186" s="42">
        <f t="shared" ca="1" si="1464"/>
        <v>0.98162450344672281</v>
      </c>
      <c r="BT186" s="42">
        <f t="shared" ca="1" si="1465"/>
        <v>88.34620531020505</v>
      </c>
      <c r="BU186" s="42">
        <f t="shared" ca="1" si="1466"/>
        <v>0.98801719747153338</v>
      </c>
      <c r="BV186" s="42">
        <f t="shared" ca="1" si="1467"/>
        <v>100.48134898285494</v>
      </c>
      <c r="BW186" s="42">
        <f t="shared" ca="1" si="1468"/>
        <v>0.29835966570882066</v>
      </c>
      <c r="BX186" s="42">
        <f t="shared" ca="1" si="1469"/>
        <v>14.886499984126701</v>
      </c>
      <c r="BY186" s="42">
        <f t="shared" ca="1" si="1470"/>
        <v>0.76773517285014792</v>
      </c>
      <c r="BZ186" s="42">
        <f t="shared" ca="1" si="1471"/>
        <v>1.4988743808805978E-2</v>
      </c>
      <c r="CA186" s="42">
        <f t="shared" ca="1" si="1355"/>
        <v>-1.8491965233912035E-2</v>
      </c>
      <c r="CB186" s="42">
        <f t="shared" ca="1" si="1472"/>
        <v>0.20413884588568884</v>
      </c>
      <c r="CC186" s="42">
        <f t="shared" ca="1" si="1473"/>
        <v>0.29299716744648074</v>
      </c>
      <c r="CD186" s="42">
        <f t="shared" ca="1" si="1474"/>
        <v>-4043.24999206335</v>
      </c>
      <c r="CE186" s="40"/>
      <c r="CF186" s="36">
        <f t="shared" si="710"/>
        <v>95</v>
      </c>
      <c r="CG186" s="35">
        <f t="shared" si="1358"/>
        <v>0.28399999999999997</v>
      </c>
      <c r="CH186" s="197">
        <f t="shared" ca="1" si="1359"/>
        <v>169.23611111111677</v>
      </c>
      <c r="CI186" s="41">
        <f t="shared" ca="1" si="1360"/>
        <v>0.46366057838662128</v>
      </c>
      <c r="CJ186" s="40">
        <f t="shared" ca="1" si="1475"/>
        <v>6.8150411453973311E-2</v>
      </c>
      <c r="CK186" s="40">
        <f t="shared" ca="1" si="1476"/>
        <v>2.5189751902588361E-2</v>
      </c>
      <c r="CL186" s="40">
        <f t="shared" ca="1" si="1477"/>
        <v>0.19338305926412305</v>
      </c>
      <c r="CM186" s="42">
        <f t="shared" ca="1" si="1478"/>
        <v>0.48266980423077005</v>
      </c>
      <c r="CN186" s="42">
        <f t="shared" ca="1" si="1479"/>
        <v>0.28928674496664697</v>
      </c>
      <c r="CO186" s="42">
        <f t="shared" ca="1" si="1480"/>
        <v>0.6853348966615338</v>
      </c>
      <c r="CP186" s="42">
        <f t="shared" ca="1" si="1481"/>
        <v>0.31466510333846626</v>
      </c>
      <c r="CQ186" s="42">
        <f t="shared" ca="1" si="1482"/>
        <v>0.61381902256054754</v>
      </c>
      <c r="CR186" s="42">
        <f t="shared" ca="1" si="1483"/>
        <v>0.38618097743945246</v>
      </c>
      <c r="CS186" s="42">
        <f t="shared" ca="1" si="1484"/>
        <v>0.98162450344672281</v>
      </c>
      <c r="CT186" s="42">
        <f t="shared" ca="1" si="1485"/>
        <v>93.254327827438672</v>
      </c>
      <c r="CU186" s="42">
        <f t="shared" ca="1" si="1486"/>
        <v>0.98801719747153338</v>
      </c>
      <c r="CV186" s="42">
        <f t="shared" ca="1" si="1487"/>
        <v>100.48134898285494</v>
      </c>
      <c r="CW186" s="42">
        <f t="shared" ca="1" si="1488"/>
        <v>0.35507593777284391</v>
      </c>
      <c r="CX186" s="42">
        <f t="shared" ca="1" si="1489"/>
        <v>11.622094564997134</v>
      </c>
      <c r="CY186" s="42">
        <f t="shared" ca="1" si="1490"/>
        <v>0.67712266392897158</v>
      </c>
      <c r="CZ186" s="42">
        <f t="shared" ca="1" si="1491"/>
        <v>1.7838008536793137E-2</v>
      </c>
      <c r="DA186" s="42">
        <f t="shared" ca="1" si="1378"/>
        <v>-2.1752276007190232E-2</v>
      </c>
      <c r="DB186" s="42">
        <f t="shared" ca="1" si="1492"/>
        <v>0.2429443402362147</v>
      </c>
      <c r="DC186" s="42">
        <f t="shared" ca="1" si="1493"/>
        <v>0.26540525157722289</v>
      </c>
      <c r="DD186" s="42">
        <f t="shared" ca="1" si="1494"/>
        <v>3236.0472824985668</v>
      </c>
      <c r="DE186" s="40"/>
      <c r="DF186" s="36">
        <f t="shared" si="733"/>
        <v>200</v>
      </c>
      <c r="DG186" s="35">
        <f t="shared" si="1381"/>
        <v>0.28399999999999997</v>
      </c>
      <c r="DH186" s="197">
        <f t="shared" ca="1" si="1382"/>
        <v>169.23611111111677</v>
      </c>
      <c r="DI186" s="41">
        <f t="shared" ca="1" si="1383"/>
        <v>0.46366057838662128</v>
      </c>
      <c r="DJ186" s="40">
        <f t="shared" ca="1" si="1495"/>
        <v>-0.6762900634935225</v>
      </c>
      <c r="DK186" s="40">
        <f t="shared" ca="1" si="1496"/>
        <v>2.5189751902588361E-2</v>
      </c>
      <c r="DL186" s="40">
        <f t="shared" ca="1" si="1497"/>
        <v>0.19338305926412305</v>
      </c>
      <c r="DM186" s="42">
        <f t="shared" ca="1" si="1498"/>
        <v>-3.3668942567593771</v>
      </c>
      <c r="DN186" s="42">
        <f t="shared" ca="1" si="1499"/>
        <v>-3.5602773160235004</v>
      </c>
      <c r="DO186" s="42">
        <f t="shared" ca="1" si="1500"/>
        <v>3.8009915840862585E-4</v>
      </c>
      <c r="DP186" s="42">
        <f t="shared" ca="1" si="1501"/>
        <v>0.99961990084159136</v>
      </c>
      <c r="DQ186" s="42">
        <f t="shared" ca="1" si="1502"/>
        <v>1.8523167775146929E-4</v>
      </c>
      <c r="DR186" s="42">
        <f t="shared" ca="1" si="1503"/>
        <v>0.99981476832224858</v>
      </c>
      <c r="DS186" s="42">
        <f t="shared" ca="1" si="1504"/>
        <v>0.98162450344672281</v>
      </c>
      <c r="DT186" s="42">
        <f t="shared" ca="1" si="1505"/>
        <v>196.32490068934456</v>
      </c>
      <c r="DU186" s="42">
        <f t="shared" ca="1" si="1506"/>
        <v>0.98801719747153338</v>
      </c>
      <c r="DV186" s="42">
        <f t="shared" ca="1" si="1507"/>
        <v>100.48134898285494</v>
      </c>
      <c r="DW186" s="42">
        <f t="shared" ca="1" si="1508"/>
        <v>1.3782688810381779E-3</v>
      </c>
      <c r="DX186" s="42">
        <f t="shared" si="1509"/>
        <v>0</v>
      </c>
      <c r="DY186" s="92">
        <f t="shared" ca="1" si="1510"/>
        <v>0</v>
      </c>
      <c r="DZ186" s="42">
        <f t="shared" ca="1" si="1511"/>
        <v>0</v>
      </c>
      <c r="EA186" s="42">
        <f t="shared" ca="1" si="1401"/>
        <v>0</v>
      </c>
      <c r="EB186" s="42">
        <f t="shared" ca="1" si="1512"/>
        <v>0</v>
      </c>
      <c r="EC186" s="42">
        <f t="shared" ca="1" si="1513"/>
        <v>0</v>
      </c>
      <c r="ED186" s="42">
        <f t="shared" ca="1" si="1514"/>
        <v>0</v>
      </c>
      <c r="EE186" s="40"/>
      <c r="EF186" s="120">
        <f t="shared" ca="1" si="756"/>
        <v>101.69999999999999</v>
      </c>
      <c r="EG186" s="42">
        <f t="shared" ca="1" si="1404"/>
        <v>-4.6410981264793918</v>
      </c>
      <c r="EH186" s="36">
        <f t="shared" ca="1" si="1405"/>
        <v>-4.6410981264793918</v>
      </c>
      <c r="EI186" s="143">
        <f t="shared" ca="1" si="1406"/>
        <v>-4.641</v>
      </c>
      <c r="EJ186" s="143">
        <f t="shared" ca="1" si="1413"/>
        <v>-1.2509999999999999</v>
      </c>
      <c r="EK186" s="153">
        <f t="shared" ca="1" si="1407"/>
        <v>0</v>
      </c>
      <c r="EL186" s="143">
        <f t="shared" ca="1" si="1414"/>
        <v>0</v>
      </c>
    </row>
    <row r="187" spans="1:143" x14ac:dyDescent="0.3">
      <c r="A187" s="143">
        <f t="shared" ca="1" si="1408"/>
        <v>101.74999999999999</v>
      </c>
      <c r="B187" s="144">
        <f t="shared" ca="1" si="1409"/>
        <v>0.28399999999999997</v>
      </c>
      <c r="C187" s="145">
        <f t="shared" ca="1" si="1410"/>
        <v>45295.440972222219</v>
      </c>
      <c r="D187" s="144">
        <f t="shared" ca="1" si="1411"/>
        <v>2.5999999999999999E-2</v>
      </c>
      <c r="E187" s="144">
        <f t="shared" ca="1" si="1412"/>
        <v>0.04</v>
      </c>
      <c r="F187" s="36">
        <f t="shared" si="641"/>
        <v>75</v>
      </c>
      <c r="G187" s="35">
        <f t="shared" si="1289"/>
        <v>0.28399999999999997</v>
      </c>
      <c r="H187" s="197">
        <f t="shared" ca="1" si="1290"/>
        <v>169.23611111111677</v>
      </c>
      <c r="I187" s="41">
        <f t="shared" ca="1" si="1291"/>
        <v>0.46366057838662128</v>
      </c>
      <c r="J187" s="40">
        <f t="shared" ca="1" si="1415"/>
        <v>0.30503071078639377</v>
      </c>
      <c r="K187" s="40">
        <f t="shared" ca="1" si="1416"/>
        <v>2.5189751902588361E-2</v>
      </c>
      <c r="L187" s="40">
        <f t="shared" ca="1" si="1417"/>
        <v>0.19338305926412305</v>
      </c>
      <c r="M187" s="42">
        <f t="shared" ca="1" si="1418"/>
        <v>1.7075976765781031</v>
      </c>
      <c r="N187" s="42">
        <f t="shared" ca="1" si="1419"/>
        <v>1.5142146173139801</v>
      </c>
      <c r="O187" s="42">
        <f t="shared" ca="1" si="1420"/>
        <v>0.95614449009838898</v>
      </c>
      <c r="P187" s="42">
        <f t="shared" ca="1" si="1421"/>
        <v>4.3855509901610995E-2</v>
      </c>
      <c r="Q187" s="42">
        <f t="shared" ca="1" si="1422"/>
        <v>0.93501429223998389</v>
      </c>
      <c r="R187" s="42">
        <f t="shared" ca="1" si="1423"/>
        <v>6.4985707760016123E-2</v>
      </c>
      <c r="S187" s="42">
        <f t="shared" ca="1" si="1424"/>
        <v>0.98162450344672281</v>
      </c>
      <c r="T187" s="42">
        <f t="shared" ca="1" si="1425"/>
        <v>73.621837758504213</v>
      </c>
      <c r="U187" s="42">
        <f t="shared" ca="1" si="1426"/>
        <v>0.98801719747153338</v>
      </c>
      <c r="V187" s="42">
        <f t="shared" ca="1" si="1427"/>
        <v>100.53074984272851</v>
      </c>
      <c r="W187" s="42">
        <f t="shared" ca="1" si="1428"/>
        <v>9.2839466342708468E-2</v>
      </c>
      <c r="X187" s="42">
        <f t="shared" ca="1" si="1429"/>
        <v>0.37553993818531684</v>
      </c>
      <c r="Y187" s="42">
        <f t="shared" ca="1" si="1430"/>
        <v>-4.3329997986674806E-2</v>
      </c>
      <c r="Z187" s="42">
        <f t="shared" ca="1" si="1431"/>
        <v>4.6616997179723483E-3</v>
      </c>
      <c r="AA187" s="42">
        <f t="shared" ca="1" si="1309"/>
        <v>-5.1221911854151007E-3</v>
      </c>
      <c r="AB187" s="42">
        <f t="shared" ca="1" si="1432"/>
        <v>6.3552354294124633E-2</v>
      </c>
      <c r="AC187" s="42">
        <f t="shared" ca="1" si="1433"/>
        <v>-2.2183224786195437E-2</v>
      </c>
      <c r="AD187" s="42">
        <f t="shared" ca="1" si="1434"/>
        <v>-1612.2300309073416</v>
      </c>
      <c r="AF187" s="36">
        <f t="shared" si="664"/>
        <v>80</v>
      </c>
      <c r="AG187" s="35">
        <f t="shared" si="1312"/>
        <v>0.28399999999999997</v>
      </c>
      <c r="AH187" s="197">
        <f t="shared" ca="1" si="1313"/>
        <v>169.23611111111677</v>
      </c>
      <c r="AI187" s="41">
        <f t="shared" ca="1" si="1314"/>
        <v>0.46366057838662128</v>
      </c>
      <c r="AJ187" s="40">
        <f t="shared" ca="1" si="1435"/>
        <v>0.24049218964882266</v>
      </c>
      <c r="AK187" s="40">
        <f t="shared" ca="1" si="1436"/>
        <v>2.5189751902588361E-2</v>
      </c>
      <c r="AL187" s="40">
        <f t="shared" ca="1" si="1437"/>
        <v>0.19338305926412305</v>
      </c>
      <c r="AM187" s="42">
        <f t="shared" ca="1" si="1438"/>
        <v>1.3738635771013528</v>
      </c>
      <c r="AN187" s="42">
        <f t="shared" ca="1" si="1439"/>
        <v>1.1804805178372297</v>
      </c>
      <c r="AO187" s="42">
        <f t="shared" ca="1" si="1440"/>
        <v>0.91525798049509555</v>
      </c>
      <c r="AP187" s="42">
        <f t="shared" ca="1" si="1441"/>
        <v>8.4742019504904412E-2</v>
      </c>
      <c r="AQ187" s="42">
        <f t="shared" ca="1" si="1442"/>
        <v>0.88109542273126029</v>
      </c>
      <c r="AR187" s="42">
        <f t="shared" ca="1" si="1443"/>
        <v>0.11890457726873972</v>
      </c>
      <c r="AS187" s="42">
        <f t="shared" ca="1" si="1444"/>
        <v>0.98162450344672281</v>
      </c>
      <c r="AT187" s="42">
        <f t="shared" ca="1" si="1445"/>
        <v>78.529960275737821</v>
      </c>
      <c r="AU187" s="42">
        <f t="shared" ca="1" si="1446"/>
        <v>0.98801719747153338</v>
      </c>
      <c r="AV187" s="42">
        <f t="shared" ca="1" si="1447"/>
        <v>100.53074984272851</v>
      </c>
      <c r="AW187" s="42">
        <f t="shared" ca="1" si="1448"/>
        <v>0.15525457384431146</v>
      </c>
      <c r="AX187" s="42">
        <f t="shared" ca="1" si="1449"/>
        <v>0.81839296550236362</v>
      </c>
      <c r="AY187" s="42">
        <f t="shared" ca="1" si="1450"/>
        <v>-8.3726572619313711E-2</v>
      </c>
      <c r="AZ187" s="42">
        <f t="shared" ca="1" si="1451"/>
        <v>7.7957169683880514E-3</v>
      </c>
      <c r="BA187" s="42">
        <f t="shared" ca="1" si="1332"/>
        <v>-8.5009597525669903E-3</v>
      </c>
      <c r="BB187" s="42">
        <f t="shared" ca="1" si="1452"/>
        <v>0.10627800946544269</v>
      </c>
      <c r="BC187" s="42">
        <f t="shared" ca="1" si="1453"/>
        <v>-4.3294639088346611E-2</v>
      </c>
      <c r="BD187" s="42">
        <f t="shared" ca="1" si="1454"/>
        <v>2415.8035172488185</v>
      </c>
      <c r="BE187" s="40"/>
      <c r="BF187" s="36">
        <f t="shared" si="687"/>
        <v>90</v>
      </c>
      <c r="BG187" s="35">
        <f t="shared" si="1335"/>
        <v>0.28399999999999997</v>
      </c>
      <c r="BH187" s="197">
        <f t="shared" ca="1" si="1336"/>
        <v>169.23611111111677</v>
      </c>
      <c r="BI187" s="41">
        <f t="shared" ca="1" si="1337"/>
        <v>0.46366057838662128</v>
      </c>
      <c r="BJ187" s="40">
        <f t="shared" ca="1" si="1455"/>
        <v>0.12270915399243909</v>
      </c>
      <c r="BK187" s="40">
        <f t="shared" ca="1" si="1456"/>
        <v>2.5189751902588361E-2</v>
      </c>
      <c r="BL187" s="40">
        <f t="shared" ca="1" si="1457"/>
        <v>0.19338305926412305</v>
      </c>
      <c r="BM187" s="42">
        <f t="shared" ca="1" si="1458"/>
        <v>0.76479763252181665</v>
      </c>
      <c r="BN187" s="42">
        <f t="shared" ca="1" si="1459"/>
        <v>0.57141457325769363</v>
      </c>
      <c r="BO187" s="42">
        <f t="shared" ca="1" si="1460"/>
        <v>0.77780397111779376</v>
      </c>
      <c r="BP187" s="42">
        <f t="shared" ca="1" si="1461"/>
        <v>0.2221960288822063</v>
      </c>
      <c r="BQ187" s="42">
        <f t="shared" ca="1" si="1462"/>
        <v>0.71614067363104705</v>
      </c>
      <c r="BR187" s="42">
        <f t="shared" ca="1" si="1463"/>
        <v>0.28385932636895295</v>
      </c>
      <c r="BS187" s="42">
        <f t="shared" ca="1" si="1464"/>
        <v>0.98162450344672281</v>
      </c>
      <c r="BT187" s="42">
        <f t="shared" ca="1" si="1465"/>
        <v>88.34620531020505</v>
      </c>
      <c r="BU187" s="42">
        <f t="shared" ca="1" si="1466"/>
        <v>0.98801719747153338</v>
      </c>
      <c r="BV187" s="42">
        <f t="shared" ca="1" si="1467"/>
        <v>100.53074984272851</v>
      </c>
      <c r="BW187" s="42">
        <f t="shared" ca="1" si="1468"/>
        <v>0.29778121422858722</v>
      </c>
      <c r="BX187" s="42">
        <f t="shared" ca="1" si="1469"/>
        <v>14.924905463526727</v>
      </c>
      <c r="BY187" s="42">
        <f t="shared" ca="1" si="1470"/>
        <v>0.76848369972603203</v>
      </c>
      <c r="BZ187" s="42">
        <f t="shared" ca="1" si="1471"/>
        <v>1.4952332850154237E-2</v>
      </c>
      <c r="CA187" s="42">
        <f t="shared" ca="1" si="1355"/>
        <v>-1.846734649762935E-2</v>
      </c>
      <c r="CB187" s="42">
        <f t="shared" ca="1" si="1472"/>
        <v>0.2038432357951197</v>
      </c>
      <c r="CC187" s="42">
        <f t="shared" ca="1" si="1473"/>
        <v>0.29335021664199229</v>
      </c>
      <c r="CD187" s="42">
        <f t="shared" ca="1" si="1474"/>
        <v>-4062.4527317633633</v>
      </c>
      <c r="CE187" s="40"/>
      <c r="CF187" s="36">
        <f t="shared" si="710"/>
        <v>95</v>
      </c>
      <c r="CG187" s="35">
        <f t="shared" si="1358"/>
        <v>0.28399999999999997</v>
      </c>
      <c r="CH187" s="197">
        <f t="shared" ca="1" si="1359"/>
        <v>169.23611111111677</v>
      </c>
      <c r="CI187" s="41">
        <f t="shared" ca="1" si="1360"/>
        <v>0.46366057838662128</v>
      </c>
      <c r="CJ187" s="40">
        <f t="shared" ca="1" si="1475"/>
        <v>6.8641932722163429E-2</v>
      </c>
      <c r="CK187" s="40">
        <f t="shared" ca="1" si="1476"/>
        <v>2.5189751902588361E-2</v>
      </c>
      <c r="CL187" s="40">
        <f t="shared" ca="1" si="1477"/>
        <v>0.19338305926412305</v>
      </c>
      <c r="CM187" s="42">
        <f t="shared" ca="1" si="1478"/>
        <v>0.48521150188546891</v>
      </c>
      <c r="CN187" s="42">
        <f t="shared" ca="1" si="1479"/>
        <v>0.29182844262134588</v>
      </c>
      <c r="CO187" s="42">
        <f t="shared" ca="1" si="1480"/>
        <v>0.68623683800412794</v>
      </c>
      <c r="CP187" s="42">
        <f t="shared" ca="1" si="1481"/>
        <v>0.31376316199587212</v>
      </c>
      <c r="CQ187" s="42">
        <f t="shared" ca="1" si="1482"/>
        <v>0.61479110135695181</v>
      </c>
      <c r="CR187" s="42">
        <f t="shared" ca="1" si="1483"/>
        <v>0.38520889864304819</v>
      </c>
      <c r="CS187" s="42">
        <f t="shared" ca="1" si="1484"/>
        <v>0.98162450344672281</v>
      </c>
      <c r="CT187" s="42">
        <f t="shared" ca="1" si="1485"/>
        <v>93.254327827438672</v>
      </c>
      <c r="CU187" s="42">
        <f t="shared" ca="1" si="1486"/>
        <v>0.98801719747153338</v>
      </c>
      <c r="CV187" s="42">
        <f t="shared" ca="1" si="1487"/>
        <v>100.53074984272851</v>
      </c>
      <c r="CW187" s="42">
        <f t="shared" ca="1" si="1488"/>
        <v>0.35463945192547203</v>
      </c>
      <c r="CX187" s="42">
        <f t="shared" ca="1" si="1489"/>
        <v>11.655972982924737</v>
      </c>
      <c r="CY187" s="42">
        <f t="shared" ca="1" si="1490"/>
        <v>0.6780137974865651</v>
      </c>
      <c r="CZ187" s="42">
        <f t="shared" ca="1" si="1491"/>
        <v>1.7807325894357469E-2</v>
      </c>
      <c r="DA187" s="42">
        <f t="shared" ca="1" si="1378"/>
        <v>-2.1738291096695058E-2</v>
      </c>
      <c r="DB187" s="42">
        <f t="shared" ca="1" si="1492"/>
        <v>0.24276498975386349</v>
      </c>
      <c r="DC187" s="42">
        <f t="shared" ca="1" si="1493"/>
        <v>0.26582556246370592</v>
      </c>
      <c r="DD187" s="42">
        <f t="shared" ca="1" si="1494"/>
        <v>3252.9864914623686</v>
      </c>
      <c r="DE187" s="40"/>
      <c r="DF187" s="36">
        <f t="shared" si="733"/>
        <v>200</v>
      </c>
      <c r="DG187" s="35">
        <f t="shared" si="1381"/>
        <v>0.28399999999999997</v>
      </c>
      <c r="DH187" s="197">
        <f t="shared" ca="1" si="1382"/>
        <v>169.23611111111677</v>
      </c>
      <c r="DI187" s="41">
        <f t="shared" ca="1" si="1383"/>
        <v>0.46366057838662128</v>
      </c>
      <c r="DJ187" s="40">
        <f t="shared" ca="1" si="1495"/>
        <v>-0.67579854222533242</v>
      </c>
      <c r="DK187" s="40">
        <f t="shared" ca="1" si="1496"/>
        <v>2.5189751902588361E-2</v>
      </c>
      <c r="DL187" s="40">
        <f t="shared" ca="1" si="1497"/>
        <v>0.19338305926412305</v>
      </c>
      <c r="DM187" s="42">
        <f t="shared" ca="1" si="1498"/>
        <v>-3.3643525591046783</v>
      </c>
      <c r="DN187" s="42">
        <f t="shared" ca="1" si="1499"/>
        <v>-3.5577356183688016</v>
      </c>
      <c r="DO187" s="42">
        <f t="shared" ca="1" si="1500"/>
        <v>3.8361732953924382E-4</v>
      </c>
      <c r="DP187" s="42">
        <f t="shared" ca="1" si="1501"/>
        <v>0.99961638267046071</v>
      </c>
      <c r="DQ187" s="42">
        <f t="shared" ca="1" si="1502"/>
        <v>1.8703276155200864E-4</v>
      </c>
      <c r="DR187" s="42">
        <f t="shared" ca="1" si="1503"/>
        <v>0.99981296723844804</v>
      </c>
      <c r="DS187" s="42">
        <f t="shared" ca="1" si="1504"/>
        <v>0.98162450344672281</v>
      </c>
      <c r="DT187" s="42">
        <f t="shared" ca="1" si="1505"/>
        <v>196.32490068934456</v>
      </c>
      <c r="DU187" s="42">
        <f t="shared" ca="1" si="1506"/>
        <v>0.98801719747153338</v>
      </c>
      <c r="DV187" s="42">
        <f t="shared" ca="1" si="1507"/>
        <v>100.53074984272851</v>
      </c>
      <c r="DW187" s="42">
        <f t="shared" ca="1" si="1508"/>
        <v>1.3901097137739621E-3</v>
      </c>
      <c r="DX187" s="42">
        <f t="shared" si="1509"/>
        <v>0</v>
      </c>
      <c r="DY187" s="92">
        <f t="shared" ca="1" si="1510"/>
        <v>0</v>
      </c>
      <c r="DZ187" s="42">
        <f t="shared" ca="1" si="1511"/>
        <v>0</v>
      </c>
      <c r="EA187" s="42">
        <f t="shared" ca="1" si="1401"/>
        <v>0</v>
      </c>
      <c r="EB187" s="42">
        <f t="shared" ca="1" si="1512"/>
        <v>0</v>
      </c>
      <c r="EC187" s="42">
        <f t="shared" ca="1" si="1513"/>
        <v>0</v>
      </c>
      <c r="ED187" s="42">
        <f t="shared" ca="1" si="1514"/>
        <v>0</v>
      </c>
      <c r="EE187" s="40"/>
      <c r="EF187" s="120">
        <f t="shared" ca="1" si="756"/>
        <v>101.74999999999999</v>
      </c>
      <c r="EG187" s="42">
        <f t="shared" ca="1" si="1404"/>
        <v>-5.8927539595179041</v>
      </c>
      <c r="EH187" s="36">
        <f t="shared" ca="1" si="1405"/>
        <v>-5.8927539595179041</v>
      </c>
      <c r="EI187" s="143">
        <f t="shared" ca="1" si="1406"/>
        <v>-5.8929999999999998</v>
      </c>
      <c r="EJ187" s="143">
        <f t="shared" ca="1" si="1413"/>
        <v>-1.2519999999999998</v>
      </c>
      <c r="EK187" s="153">
        <f t="shared" ca="1" si="1407"/>
        <v>0</v>
      </c>
      <c r="EL187" s="143">
        <f t="shared" ca="1" si="1414"/>
        <v>0</v>
      </c>
    </row>
    <row r="188" spans="1:143" x14ac:dyDescent="0.3">
      <c r="A188" s="143">
        <f t="shared" ca="1" si="1408"/>
        <v>101.79999999999998</v>
      </c>
      <c r="B188" s="144">
        <f t="shared" ca="1" si="1409"/>
        <v>0.28399999999999997</v>
      </c>
      <c r="C188" s="145">
        <f t="shared" ca="1" si="1410"/>
        <v>45295.440972222219</v>
      </c>
      <c r="D188" s="144">
        <f t="shared" ca="1" si="1411"/>
        <v>2.5999999999999999E-2</v>
      </c>
      <c r="E188" s="144">
        <f t="shared" ca="1" si="1412"/>
        <v>0.04</v>
      </c>
      <c r="F188" s="36">
        <f t="shared" si="641"/>
        <v>75</v>
      </c>
      <c r="G188" s="35">
        <f t="shared" si="1289"/>
        <v>0.28399999999999997</v>
      </c>
      <c r="H188" s="197">
        <f t="shared" ca="1" si="1290"/>
        <v>169.23611111111677</v>
      </c>
      <c r="I188" s="41">
        <f t="shared" ca="1" si="1291"/>
        <v>0.46366057838662128</v>
      </c>
      <c r="J188" s="40">
        <f t="shared" ca="1" si="1415"/>
        <v>0.3055219905801117</v>
      </c>
      <c r="K188" s="40">
        <f t="shared" ca="1" si="1416"/>
        <v>2.5189751902588361E-2</v>
      </c>
      <c r="L188" s="40">
        <f t="shared" ca="1" si="1417"/>
        <v>0.19338305926412305</v>
      </c>
      <c r="M188" s="42">
        <f t="shared" ca="1" si="1418"/>
        <v>1.710138125548077</v>
      </c>
      <c r="N188" s="42">
        <f t="shared" ca="1" si="1419"/>
        <v>1.516755066283954</v>
      </c>
      <c r="O188" s="42">
        <f t="shared" ca="1" si="1420"/>
        <v>0.95637983293630391</v>
      </c>
      <c r="P188" s="42">
        <f t="shared" ca="1" si="1421"/>
        <v>4.3620167063696091E-2</v>
      </c>
      <c r="Q188" s="42">
        <f t="shared" ca="1" si="1422"/>
        <v>0.93533573219684285</v>
      </c>
      <c r="R188" s="42">
        <f t="shared" ca="1" si="1423"/>
        <v>6.4664267803157149E-2</v>
      </c>
      <c r="S188" s="42">
        <f t="shared" ca="1" si="1424"/>
        <v>0.98162450344672281</v>
      </c>
      <c r="T188" s="42">
        <f t="shared" ca="1" si="1425"/>
        <v>73.621837758504213</v>
      </c>
      <c r="U188" s="42">
        <f t="shared" ca="1" si="1426"/>
        <v>0.98801719747153338</v>
      </c>
      <c r="V188" s="42">
        <f t="shared" ca="1" si="1427"/>
        <v>100.58015070260208</v>
      </c>
      <c r="W188" s="42">
        <f t="shared" ca="1" si="1428"/>
        <v>9.243729673754679E-2</v>
      </c>
      <c r="X188" s="42">
        <f t="shared" ca="1" si="1429"/>
        <v>0.3733792560372704</v>
      </c>
      <c r="Y188" s="42">
        <f t="shared" ca="1" si="1430"/>
        <v>-4.3097475215513097E-2</v>
      </c>
      <c r="Z188" s="42">
        <f t="shared" ca="1" si="1431"/>
        <v>4.6392260673060572E-3</v>
      </c>
      <c r="AA188" s="42">
        <f t="shared" ca="1" si="1309"/>
        <v>-5.1027622618751494E-3</v>
      </c>
      <c r="AB188" s="42">
        <f t="shared" ca="1" si="1432"/>
        <v>6.3308147374900051E-2</v>
      </c>
      <c r="AC188" s="42">
        <f t="shared" ca="1" si="1433"/>
        <v>-2.2073499508683647E-2</v>
      </c>
      <c r="AD188" s="42">
        <f t="shared" ca="1" si="1434"/>
        <v>-1613.3103719813648</v>
      </c>
      <c r="AF188" s="36">
        <f t="shared" si="664"/>
        <v>80</v>
      </c>
      <c r="AG188" s="35">
        <f t="shared" si="1312"/>
        <v>0.28399999999999997</v>
      </c>
      <c r="AH188" s="197">
        <f t="shared" ca="1" si="1313"/>
        <v>169.23611111111677</v>
      </c>
      <c r="AI188" s="41">
        <f t="shared" ca="1" si="1314"/>
        <v>0.46366057838662128</v>
      </c>
      <c r="AJ188" s="40">
        <f t="shared" ca="1" si="1435"/>
        <v>0.24098346944254057</v>
      </c>
      <c r="AK188" s="40">
        <f t="shared" ca="1" si="1436"/>
        <v>2.5189751902588361E-2</v>
      </c>
      <c r="AL188" s="40">
        <f t="shared" ca="1" si="1437"/>
        <v>0.19338305926412305</v>
      </c>
      <c r="AM188" s="42">
        <f t="shared" ca="1" si="1438"/>
        <v>1.3764040260713266</v>
      </c>
      <c r="AN188" s="42">
        <f t="shared" ca="1" si="1439"/>
        <v>1.1830209668072036</v>
      </c>
      <c r="AO188" s="42">
        <f t="shared" ca="1" si="1440"/>
        <v>0.91565170889233682</v>
      </c>
      <c r="AP188" s="42">
        <f t="shared" ca="1" si="1441"/>
        <v>8.434829110766312E-2</v>
      </c>
      <c r="AQ188" s="42">
        <f t="shared" ca="1" si="1442"/>
        <v>0.88159958101265956</v>
      </c>
      <c r="AR188" s="42">
        <f t="shared" ca="1" si="1443"/>
        <v>0.11840041898734049</v>
      </c>
      <c r="AS188" s="42">
        <f t="shared" ca="1" si="1444"/>
        <v>0.98162450344672281</v>
      </c>
      <c r="AT188" s="42">
        <f t="shared" ca="1" si="1445"/>
        <v>78.529960275737821</v>
      </c>
      <c r="AU188" s="42">
        <f t="shared" ca="1" si="1446"/>
        <v>0.98801719747153338</v>
      </c>
      <c r="AV188" s="42">
        <f t="shared" ca="1" si="1447"/>
        <v>100.58015070260208</v>
      </c>
      <c r="AW188" s="42">
        <f t="shared" ca="1" si="1448"/>
        <v>0.15471314490781374</v>
      </c>
      <c r="AX188" s="42">
        <f t="shared" ca="1" si="1449"/>
        <v>0.81421636859085567</v>
      </c>
      <c r="AY188" s="42">
        <f t="shared" ca="1" si="1450"/>
        <v>-8.3337562191706432E-2</v>
      </c>
      <c r="AZ188" s="42">
        <f t="shared" ca="1" si="1451"/>
        <v>7.7647148947800077E-3</v>
      </c>
      <c r="BA188" s="42">
        <f t="shared" ca="1" si="1332"/>
        <v>-8.4760443429463261E-3</v>
      </c>
      <c r="BB188" s="42">
        <f t="shared" ca="1" si="1452"/>
        <v>0.10595942248795451</v>
      </c>
      <c r="BC188" s="42">
        <f t="shared" ca="1" si="1453"/>
        <v>-4.3111068772232974E-2</v>
      </c>
      <c r="BD188" s="42">
        <f t="shared" ca="1" si="1454"/>
        <v>2417.8918157045723</v>
      </c>
      <c r="BE188" s="40"/>
      <c r="BF188" s="36">
        <f t="shared" si="687"/>
        <v>90</v>
      </c>
      <c r="BG188" s="35">
        <f t="shared" si="1335"/>
        <v>0.28399999999999997</v>
      </c>
      <c r="BH188" s="197">
        <f t="shared" ca="1" si="1336"/>
        <v>169.23611111111677</v>
      </c>
      <c r="BI188" s="41">
        <f t="shared" ca="1" si="1337"/>
        <v>0.46366057838662128</v>
      </c>
      <c r="BJ188" s="40">
        <f t="shared" ca="1" si="1455"/>
        <v>0.12320043378615717</v>
      </c>
      <c r="BK188" s="40">
        <f t="shared" ca="1" si="1456"/>
        <v>2.5189751902588361E-2</v>
      </c>
      <c r="BL188" s="40">
        <f t="shared" ca="1" si="1457"/>
        <v>0.19338305926412305</v>
      </c>
      <c r="BM188" s="42">
        <f t="shared" ca="1" si="1458"/>
        <v>0.76733808149179106</v>
      </c>
      <c r="BN188" s="42">
        <f t="shared" ca="1" si="1459"/>
        <v>0.57395502222766803</v>
      </c>
      <c r="BO188" s="42">
        <f t="shared" ca="1" si="1460"/>
        <v>0.77855973384888211</v>
      </c>
      <c r="BP188" s="42">
        <f t="shared" ca="1" si="1461"/>
        <v>0.22144026615111789</v>
      </c>
      <c r="BQ188" s="42">
        <f t="shared" ca="1" si="1462"/>
        <v>0.71700088096959114</v>
      </c>
      <c r="BR188" s="42">
        <f t="shared" ca="1" si="1463"/>
        <v>0.28299911903040886</v>
      </c>
      <c r="BS188" s="42">
        <f t="shared" ca="1" si="1464"/>
        <v>0.98162450344672281</v>
      </c>
      <c r="BT188" s="42">
        <f t="shared" ca="1" si="1465"/>
        <v>88.34620531020505</v>
      </c>
      <c r="BU188" s="42">
        <f t="shared" ca="1" si="1466"/>
        <v>0.98801719747153338</v>
      </c>
      <c r="BV188" s="42">
        <f t="shared" ca="1" si="1467"/>
        <v>100.58015070260208</v>
      </c>
      <c r="BW188" s="42">
        <f t="shared" ca="1" si="1468"/>
        <v>0.29720224900415781</v>
      </c>
      <c r="BX188" s="42">
        <f t="shared" ca="1" si="1469"/>
        <v>14.96334832376094</v>
      </c>
      <c r="BY188" s="42">
        <f t="shared" ca="1" si="1470"/>
        <v>0.76923040630155548</v>
      </c>
      <c r="BZ188" s="42">
        <f t="shared" ca="1" si="1471"/>
        <v>1.4915931874953126E-2</v>
      </c>
      <c r="CA188" s="42">
        <f t="shared" ca="1" si="1355"/>
        <v>-1.8442657252347585E-2</v>
      </c>
      <c r="CB188" s="42">
        <f t="shared" ca="1" si="1472"/>
        <v>0.20354688469015378</v>
      </c>
      <c r="CC188" s="42">
        <f t="shared" ca="1" si="1473"/>
        <v>0.29370258038617048</v>
      </c>
      <c r="CD188" s="42">
        <f t="shared" ca="1" si="1474"/>
        <v>-4081.6741618804695</v>
      </c>
      <c r="CE188" s="40"/>
      <c r="CF188" s="36">
        <f t="shared" si="710"/>
        <v>95</v>
      </c>
      <c r="CG188" s="35">
        <f t="shared" si="1358"/>
        <v>0.28399999999999997</v>
      </c>
      <c r="CH188" s="197">
        <f t="shared" ca="1" si="1359"/>
        <v>169.23611111111677</v>
      </c>
      <c r="CI188" s="41">
        <f t="shared" ca="1" si="1360"/>
        <v>0.46366057838662128</v>
      </c>
      <c r="CJ188" s="40">
        <f t="shared" ca="1" si="1475"/>
        <v>6.9133212515881448E-2</v>
      </c>
      <c r="CK188" s="40">
        <f t="shared" ca="1" si="1476"/>
        <v>2.5189751902588361E-2</v>
      </c>
      <c r="CL188" s="40">
        <f t="shared" ca="1" si="1477"/>
        <v>0.19338305926412305</v>
      </c>
      <c r="CM188" s="42">
        <f t="shared" ca="1" si="1478"/>
        <v>0.48775195085544321</v>
      </c>
      <c r="CN188" s="42">
        <f t="shared" ca="1" si="1479"/>
        <v>0.29436889159132018</v>
      </c>
      <c r="CO188" s="42">
        <f t="shared" ca="1" si="1480"/>
        <v>0.68713722541812883</v>
      </c>
      <c r="CP188" s="42">
        <f t="shared" ca="1" si="1481"/>
        <v>0.31286277458187117</v>
      </c>
      <c r="CQ188" s="42">
        <f t="shared" ca="1" si="1482"/>
        <v>0.61576198236099755</v>
      </c>
      <c r="CR188" s="42">
        <f t="shared" ca="1" si="1483"/>
        <v>0.38423801763900245</v>
      </c>
      <c r="CS188" s="42">
        <f t="shared" ca="1" si="1484"/>
        <v>0.98162450344672281</v>
      </c>
      <c r="CT188" s="42">
        <f t="shared" ca="1" si="1485"/>
        <v>93.254327827438672</v>
      </c>
      <c r="CU188" s="42">
        <f t="shared" ca="1" si="1486"/>
        <v>0.98801719747153338</v>
      </c>
      <c r="CV188" s="42">
        <f t="shared" ca="1" si="1487"/>
        <v>100.58015070260208</v>
      </c>
      <c r="CW188" s="42">
        <f t="shared" ca="1" si="1488"/>
        <v>0.35420143013748501</v>
      </c>
      <c r="CX188" s="42">
        <f t="shared" ca="1" si="1489"/>
        <v>11.689895919157273</v>
      </c>
      <c r="CY188" s="42">
        <f t="shared" ca="1" si="1490"/>
        <v>0.6789033957359849</v>
      </c>
      <c r="CZ188" s="42">
        <f t="shared" ca="1" si="1491"/>
        <v>1.7776596306536642E-2</v>
      </c>
      <c r="DA188" s="42">
        <f t="shared" ca="1" si="1378"/>
        <v>-2.1724185827584896E-2</v>
      </c>
      <c r="DB188" s="42">
        <f t="shared" ca="1" si="1492"/>
        <v>0.24258429368841555</v>
      </c>
      <c r="DC188" s="42">
        <f t="shared" ca="1" si="1493"/>
        <v>0.26624535544446987</v>
      </c>
      <c r="DD188" s="42">
        <f t="shared" ca="1" si="1494"/>
        <v>3269.9479595786361</v>
      </c>
      <c r="DE188" s="40"/>
      <c r="DF188" s="36">
        <f t="shared" si="733"/>
        <v>200</v>
      </c>
      <c r="DG188" s="35">
        <f t="shared" si="1381"/>
        <v>0.28399999999999997</v>
      </c>
      <c r="DH188" s="197">
        <f t="shared" ca="1" si="1382"/>
        <v>169.23611111111677</v>
      </c>
      <c r="DI188" s="41">
        <f t="shared" ca="1" si="1383"/>
        <v>0.46366057838662128</v>
      </c>
      <c r="DJ188" s="40">
        <f t="shared" ca="1" si="1495"/>
        <v>-0.67530726243161454</v>
      </c>
      <c r="DK188" s="40">
        <f t="shared" ca="1" si="1496"/>
        <v>2.5189751902588361E-2</v>
      </c>
      <c r="DL188" s="40">
        <f t="shared" ca="1" si="1497"/>
        <v>0.19338305926412305</v>
      </c>
      <c r="DM188" s="42">
        <f t="shared" ca="1" si="1498"/>
        <v>-3.3618121101347049</v>
      </c>
      <c r="DN188" s="42">
        <f t="shared" ca="1" si="1499"/>
        <v>-3.5551951693988282</v>
      </c>
      <c r="DO188" s="42">
        <f t="shared" ca="1" si="1500"/>
        <v>3.8716396341224472E-4</v>
      </c>
      <c r="DP188" s="42">
        <f t="shared" ca="1" si="1501"/>
        <v>0.99961283603658779</v>
      </c>
      <c r="DQ188" s="42">
        <f t="shared" ca="1" si="1502"/>
        <v>1.8884930893020647E-4</v>
      </c>
      <c r="DR188" s="42">
        <f t="shared" ca="1" si="1503"/>
        <v>0.99981115069106974</v>
      </c>
      <c r="DS188" s="42">
        <f t="shared" ca="1" si="1504"/>
        <v>0.98162450344672281</v>
      </c>
      <c r="DT188" s="42">
        <f t="shared" ca="1" si="1505"/>
        <v>196.32490068934456</v>
      </c>
      <c r="DU188" s="42">
        <f t="shared" ca="1" si="1506"/>
        <v>0.98801719747153338</v>
      </c>
      <c r="DV188" s="42">
        <f t="shared" ca="1" si="1507"/>
        <v>100.58015070260208</v>
      </c>
      <c r="DW188" s="42">
        <f t="shared" ca="1" si="1508"/>
        <v>1.4020373290846704E-3</v>
      </c>
      <c r="DX188" s="42">
        <f t="shared" si="1509"/>
        <v>0</v>
      </c>
      <c r="DY188" s="92">
        <f t="shared" ca="1" si="1510"/>
        <v>0</v>
      </c>
      <c r="DZ188" s="42">
        <f t="shared" ca="1" si="1511"/>
        <v>0</v>
      </c>
      <c r="EA188" s="42">
        <f t="shared" ca="1" si="1401"/>
        <v>0</v>
      </c>
      <c r="EB188" s="42">
        <f t="shared" ca="1" si="1512"/>
        <v>0</v>
      </c>
      <c r="EC188" s="42">
        <f t="shared" ca="1" si="1513"/>
        <v>0</v>
      </c>
      <c r="ED188" s="42">
        <f t="shared" ca="1" si="1514"/>
        <v>0</v>
      </c>
      <c r="EE188" s="40"/>
      <c r="EF188" s="120">
        <f t="shared" ca="1" si="756"/>
        <v>101.79999999999998</v>
      </c>
      <c r="EG188" s="42">
        <f t="shared" ca="1" si="1404"/>
        <v>-7.1447585786258969</v>
      </c>
      <c r="EH188" s="36">
        <f t="shared" ca="1" si="1405"/>
        <v>-7.1447585786258969</v>
      </c>
      <c r="EI188" s="143">
        <f t="shared" ca="1" si="1406"/>
        <v>-7.1449999999999996</v>
      </c>
      <c r="EJ188" s="143">
        <f t="shared" ca="1" si="1413"/>
        <v>-1.2519999999999998</v>
      </c>
      <c r="EK188" s="153">
        <f t="shared" ca="1" si="1407"/>
        <v>0</v>
      </c>
      <c r="EL188" s="143">
        <f t="shared" ca="1" si="1414"/>
        <v>0</v>
      </c>
    </row>
    <row r="189" spans="1:143" x14ac:dyDescent="0.3">
      <c r="A189" s="143">
        <f t="shared" ca="1" si="1408"/>
        <v>101.84999999999998</v>
      </c>
      <c r="B189" s="144">
        <f t="shared" ca="1" si="1409"/>
        <v>0.28399999999999997</v>
      </c>
      <c r="C189" s="145">
        <f t="shared" ca="1" si="1410"/>
        <v>45295.440972222219</v>
      </c>
      <c r="D189" s="144">
        <f t="shared" ca="1" si="1411"/>
        <v>2.5999999999999999E-2</v>
      </c>
      <c r="E189" s="144">
        <f t="shared" ca="1" si="1412"/>
        <v>0.04</v>
      </c>
      <c r="F189" s="36">
        <f t="shared" si="641"/>
        <v>75</v>
      </c>
      <c r="G189" s="35">
        <f t="shared" si="1289"/>
        <v>0.28399999999999997</v>
      </c>
      <c r="H189" s="197">
        <f t="shared" ca="1" si="1290"/>
        <v>169.23611111111677</v>
      </c>
      <c r="I189" s="41">
        <f t="shared" ca="1" si="1291"/>
        <v>0.46366057838662128</v>
      </c>
      <c r="J189" s="40">
        <f t="shared" ca="1" si="1415"/>
        <v>0.30601302913650413</v>
      </c>
      <c r="K189" s="40">
        <f t="shared" ca="1" si="1416"/>
        <v>2.5189751902588361E-2</v>
      </c>
      <c r="L189" s="40">
        <f t="shared" ca="1" si="1417"/>
        <v>0.19338305926412305</v>
      </c>
      <c r="M189" s="42">
        <f t="shared" ca="1" si="1418"/>
        <v>1.7126773270596312</v>
      </c>
      <c r="N189" s="42">
        <f t="shared" ca="1" si="1419"/>
        <v>1.5192942677955081</v>
      </c>
      <c r="O189" s="42">
        <f t="shared" ca="1" si="1420"/>
        <v>0.9566140407296877</v>
      </c>
      <c r="P189" s="42">
        <f t="shared" ca="1" si="1421"/>
        <v>4.3385959270312323E-2</v>
      </c>
      <c r="Q189" s="42">
        <f t="shared" ca="1" si="1422"/>
        <v>0.93565577902318509</v>
      </c>
      <c r="R189" s="42">
        <f t="shared" ca="1" si="1423"/>
        <v>6.4344220976814873E-2</v>
      </c>
      <c r="S189" s="42">
        <f t="shared" ca="1" si="1424"/>
        <v>0.98162450344672281</v>
      </c>
      <c r="T189" s="42">
        <f t="shared" ca="1" si="1425"/>
        <v>73.621837758504213</v>
      </c>
      <c r="U189" s="42">
        <f t="shared" ca="1" si="1426"/>
        <v>0.98801719747153338</v>
      </c>
      <c r="V189" s="42">
        <f t="shared" ca="1" si="1427"/>
        <v>100.62955156247565</v>
      </c>
      <c r="W189" s="42">
        <f t="shared" ca="1" si="1428"/>
        <v>9.2036471925750554E-2</v>
      </c>
      <c r="X189" s="42">
        <f t="shared" ca="1" si="1429"/>
        <v>0.37123017197304531</v>
      </c>
      <c r="Y189" s="42">
        <f t="shared" ca="1" si="1430"/>
        <v>-4.2866073887868054E-2</v>
      </c>
      <c r="Z189" s="42">
        <f t="shared" ca="1" si="1431"/>
        <v>4.6168419411890113E-3</v>
      </c>
      <c r="AA189" s="42">
        <f t="shared" ca="1" si="1309"/>
        <v>-5.0833831931803453E-3</v>
      </c>
      <c r="AB189" s="42">
        <f t="shared" ca="1" si="1432"/>
        <v>6.306459135925245E-2</v>
      </c>
      <c r="AC189" s="42">
        <f t="shared" ca="1" si="1433"/>
        <v>-2.1964249783850653E-2</v>
      </c>
      <c r="AD189" s="42">
        <f t="shared" ca="1" si="1434"/>
        <v>-1614.3849140134773</v>
      </c>
      <c r="AF189" s="36">
        <f t="shared" si="664"/>
        <v>80</v>
      </c>
      <c r="AG189" s="35">
        <f t="shared" si="1312"/>
        <v>0.28399999999999997</v>
      </c>
      <c r="AH189" s="197">
        <f t="shared" ca="1" si="1313"/>
        <v>169.23611111111677</v>
      </c>
      <c r="AI189" s="41">
        <f t="shared" ca="1" si="1314"/>
        <v>0.46366057838662128</v>
      </c>
      <c r="AJ189" s="40">
        <f t="shared" ca="1" si="1435"/>
        <v>0.24147450799893308</v>
      </c>
      <c r="AK189" s="40">
        <f t="shared" ca="1" si="1436"/>
        <v>2.5189751902588361E-2</v>
      </c>
      <c r="AL189" s="40">
        <f t="shared" ca="1" si="1437"/>
        <v>0.19338305926412305</v>
      </c>
      <c r="AM189" s="42">
        <f t="shared" ca="1" si="1438"/>
        <v>1.3789432275828812</v>
      </c>
      <c r="AN189" s="42">
        <f t="shared" ca="1" si="1439"/>
        <v>1.1855601683187582</v>
      </c>
      <c r="AO189" s="42">
        <f t="shared" ca="1" si="1440"/>
        <v>0.91604387062658565</v>
      </c>
      <c r="AP189" s="42">
        <f t="shared" ca="1" si="1441"/>
        <v>8.3956129373414401E-2</v>
      </c>
      <c r="AQ189" s="42">
        <f t="shared" ca="1" si="1442"/>
        <v>0.88210197992277128</v>
      </c>
      <c r="AR189" s="42">
        <f t="shared" ca="1" si="1443"/>
        <v>0.11789802007722869</v>
      </c>
      <c r="AS189" s="42">
        <f t="shared" ca="1" si="1444"/>
        <v>0.98162450344672281</v>
      </c>
      <c r="AT189" s="42">
        <f t="shared" ca="1" si="1445"/>
        <v>78.529960275737821</v>
      </c>
      <c r="AU189" s="42">
        <f t="shared" ca="1" si="1446"/>
        <v>0.98801719747153338</v>
      </c>
      <c r="AV189" s="42">
        <f t="shared" ca="1" si="1447"/>
        <v>100.62955156247565</v>
      </c>
      <c r="AW189" s="42">
        <f t="shared" ca="1" si="1448"/>
        <v>0.1541728743193734</v>
      </c>
      <c r="AX189" s="42">
        <f t="shared" ca="1" si="1449"/>
        <v>0.81005918348502703</v>
      </c>
      <c r="AY189" s="42">
        <f t="shared" ca="1" si="1450"/>
        <v>-8.2950099654078319E-2</v>
      </c>
      <c r="AZ189" s="42">
        <f t="shared" ca="1" si="1451"/>
        <v>7.7338013665449491E-3</v>
      </c>
      <c r="BA189" s="42">
        <f t="shared" ca="1" si="1332"/>
        <v>-8.4511582855907423E-3</v>
      </c>
      <c r="BB189" s="42">
        <f t="shared" ca="1" si="1452"/>
        <v>0.10564126497022264</v>
      </c>
      <c r="BC189" s="42">
        <f t="shared" ca="1" si="1453"/>
        <v>-4.2928139065140966E-2</v>
      </c>
      <c r="BD189" s="42">
        <f t="shared" ca="1" si="1454"/>
        <v>2419.9704082574867</v>
      </c>
      <c r="BE189" s="40"/>
      <c r="BF189" s="36">
        <f t="shared" si="687"/>
        <v>90</v>
      </c>
      <c r="BG189" s="35">
        <f t="shared" si="1335"/>
        <v>0.28399999999999997</v>
      </c>
      <c r="BH189" s="197">
        <f t="shared" ca="1" si="1336"/>
        <v>169.23611111111677</v>
      </c>
      <c r="BI189" s="41">
        <f t="shared" ca="1" si="1337"/>
        <v>0.46366057838662128</v>
      </c>
      <c r="BJ189" s="40">
        <f t="shared" ca="1" si="1455"/>
        <v>0.1236914723425495</v>
      </c>
      <c r="BK189" s="40">
        <f t="shared" ca="1" si="1456"/>
        <v>2.5189751902588361E-2</v>
      </c>
      <c r="BL189" s="40">
        <f t="shared" ca="1" si="1457"/>
        <v>0.19338305926412305</v>
      </c>
      <c r="BM189" s="42">
        <f t="shared" ca="1" si="1458"/>
        <v>0.76987728300334479</v>
      </c>
      <c r="BN189" s="42">
        <f t="shared" ca="1" si="1459"/>
        <v>0.57649422373922177</v>
      </c>
      <c r="BO189" s="42">
        <f t="shared" ca="1" si="1460"/>
        <v>0.77931365472020653</v>
      </c>
      <c r="BP189" s="42">
        <f t="shared" ca="1" si="1461"/>
        <v>0.22068634527979344</v>
      </c>
      <c r="BQ189" s="42">
        <f t="shared" ca="1" si="1462"/>
        <v>0.71785941348015714</v>
      </c>
      <c r="BR189" s="42">
        <f t="shared" ca="1" si="1463"/>
        <v>0.28214058651984286</v>
      </c>
      <c r="BS189" s="42">
        <f t="shared" ca="1" si="1464"/>
        <v>0.98162450344672281</v>
      </c>
      <c r="BT189" s="42">
        <f t="shared" ca="1" si="1465"/>
        <v>88.34620531020505</v>
      </c>
      <c r="BU189" s="42">
        <f t="shared" ca="1" si="1466"/>
        <v>0.98801719747153338</v>
      </c>
      <c r="BV189" s="42">
        <f t="shared" ca="1" si="1467"/>
        <v>100.62955156247565</v>
      </c>
      <c r="BW189" s="42">
        <f t="shared" ca="1" si="1468"/>
        <v>0.29662277994199721</v>
      </c>
      <c r="BX189" s="42">
        <f t="shared" ca="1" si="1469"/>
        <v>15.00182847382704</v>
      </c>
      <c r="BY189" s="42">
        <f t="shared" ca="1" si="1470"/>
        <v>0.76997529308795665</v>
      </c>
      <c r="BZ189" s="42">
        <f t="shared" ca="1" si="1471"/>
        <v>1.4879541365439225E-2</v>
      </c>
      <c r="CA189" s="42">
        <f t="shared" ca="1" si="1355"/>
        <v>-1.8417898025623151E-2</v>
      </c>
      <c r="CB189" s="42">
        <f t="shared" ca="1" si="1472"/>
        <v>0.20324979884038477</v>
      </c>
      <c r="CC189" s="42">
        <f t="shared" ca="1" si="1473"/>
        <v>0.29405425807638147</v>
      </c>
      <c r="CD189" s="42">
        <f t="shared" ca="1" si="1474"/>
        <v>-4100.9142369135197</v>
      </c>
      <c r="CE189" s="40"/>
      <c r="CF189" s="36">
        <f t="shared" si="710"/>
        <v>95</v>
      </c>
      <c r="CG189" s="35">
        <f t="shared" si="1358"/>
        <v>0.28399999999999997</v>
      </c>
      <c r="CH189" s="197">
        <f t="shared" ca="1" si="1359"/>
        <v>169.23611111111677</v>
      </c>
      <c r="CI189" s="41">
        <f t="shared" ca="1" si="1360"/>
        <v>0.46366057838662128</v>
      </c>
      <c r="CJ189" s="40">
        <f t="shared" ca="1" si="1475"/>
        <v>6.9624251072273727E-2</v>
      </c>
      <c r="CK189" s="40">
        <f t="shared" ca="1" si="1476"/>
        <v>2.5189751902588361E-2</v>
      </c>
      <c r="CL189" s="40">
        <f t="shared" ca="1" si="1477"/>
        <v>0.19338305926412305</v>
      </c>
      <c r="CM189" s="42">
        <f t="shared" ca="1" si="1478"/>
        <v>0.49029115236699661</v>
      </c>
      <c r="CN189" s="42">
        <f t="shared" ca="1" si="1479"/>
        <v>0.29690809310287358</v>
      </c>
      <c r="CO189" s="42">
        <f t="shared" ca="1" si="1480"/>
        <v>0.68803605654246747</v>
      </c>
      <c r="CP189" s="42">
        <f t="shared" ca="1" si="1481"/>
        <v>0.31196394345753259</v>
      </c>
      <c r="CQ189" s="42">
        <f t="shared" ca="1" si="1482"/>
        <v>0.61673166137914504</v>
      </c>
      <c r="CR189" s="42">
        <f t="shared" ca="1" si="1483"/>
        <v>0.38326833862085496</v>
      </c>
      <c r="CS189" s="42">
        <f t="shared" ca="1" si="1484"/>
        <v>0.98162450344672281</v>
      </c>
      <c r="CT189" s="42">
        <f t="shared" ca="1" si="1485"/>
        <v>93.254327827438672</v>
      </c>
      <c r="CU189" s="42">
        <f t="shared" ca="1" si="1486"/>
        <v>0.98801719747153338</v>
      </c>
      <c r="CV189" s="42">
        <f t="shared" ca="1" si="1487"/>
        <v>100.62955156247565</v>
      </c>
      <c r="CW189" s="42">
        <f t="shared" ca="1" si="1488"/>
        <v>0.35376188258259145</v>
      </c>
      <c r="CX189" s="42">
        <f t="shared" ca="1" si="1489"/>
        <v>11.72386329687096</v>
      </c>
      <c r="CY189" s="42">
        <f t="shared" ca="1" si="1490"/>
        <v>0.67979145634445415</v>
      </c>
      <c r="CZ189" s="42">
        <f t="shared" ca="1" si="1491"/>
        <v>1.774582035281522E-2</v>
      </c>
      <c r="DA189" s="42">
        <f t="shared" ca="1" si="1378"/>
        <v>-2.1709960645202826E-2</v>
      </c>
      <c r="DB189" s="42">
        <f t="shared" ca="1" si="1492"/>
        <v>0.24240225746103364</v>
      </c>
      <c r="DC189" s="42">
        <f t="shared" ca="1" si="1493"/>
        <v>0.26666462870629709</v>
      </c>
      <c r="DD189" s="42">
        <f t="shared" ca="1" si="1494"/>
        <v>3286.9316484354795</v>
      </c>
      <c r="DE189" s="40"/>
      <c r="DF189" s="36">
        <f t="shared" si="733"/>
        <v>200</v>
      </c>
      <c r="DG189" s="35">
        <f t="shared" si="1381"/>
        <v>0.28399999999999997</v>
      </c>
      <c r="DH189" s="197">
        <f t="shared" ca="1" si="1382"/>
        <v>169.23611111111677</v>
      </c>
      <c r="DI189" s="41">
        <f t="shared" ca="1" si="1383"/>
        <v>0.46366057838662128</v>
      </c>
      <c r="DJ189" s="40">
        <f t="shared" ca="1" si="1495"/>
        <v>-0.67481622387522211</v>
      </c>
      <c r="DK189" s="40">
        <f t="shared" ca="1" si="1496"/>
        <v>2.5189751902588361E-2</v>
      </c>
      <c r="DL189" s="40">
        <f t="shared" ca="1" si="1497"/>
        <v>0.19338305926412305</v>
      </c>
      <c r="DM189" s="42">
        <f t="shared" ca="1" si="1498"/>
        <v>-3.3592729086231508</v>
      </c>
      <c r="DN189" s="42">
        <f t="shared" ca="1" si="1499"/>
        <v>-3.552655967887274</v>
      </c>
      <c r="DO189" s="42">
        <f t="shared" ca="1" si="1500"/>
        <v>3.9073925307867198E-4</v>
      </c>
      <c r="DP189" s="42">
        <f t="shared" ca="1" si="1501"/>
        <v>0.99960926074692136</v>
      </c>
      <c r="DQ189" s="42">
        <f t="shared" ca="1" si="1502"/>
        <v>1.9068143313732801E-4</v>
      </c>
      <c r="DR189" s="42">
        <f t="shared" ca="1" si="1503"/>
        <v>0.99980931856686273</v>
      </c>
      <c r="DS189" s="42">
        <f t="shared" ca="1" si="1504"/>
        <v>0.98162450344672281</v>
      </c>
      <c r="DT189" s="42">
        <f t="shared" ca="1" si="1505"/>
        <v>196.32490068934456</v>
      </c>
      <c r="DU189" s="42">
        <f t="shared" ca="1" si="1506"/>
        <v>0.98801719747153338</v>
      </c>
      <c r="DV189" s="42">
        <f t="shared" ca="1" si="1507"/>
        <v>100.62955156247565</v>
      </c>
      <c r="DW189" s="42">
        <f t="shared" ca="1" si="1508"/>
        <v>1.4140522355364944E-3</v>
      </c>
      <c r="DX189" s="42">
        <f t="shared" si="1509"/>
        <v>0</v>
      </c>
      <c r="DY189" s="92">
        <f t="shared" ca="1" si="1510"/>
        <v>0</v>
      </c>
      <c r="DZ189" s="42">
        <f t="shared" ca="1" si="1511"/>
        <v>0</v>
      </c>
      <c r="EA189" s="42">
        <f t="shared" ca="1" si="1401"/>
        <v>0</v>
      </c>
      <c r="EB189" s="42">
        <f t="shared" ca="1" si="1512"/>
        <v>0</v>
      </c>
      <c r="EC189" s="42">
        <f t="shared" ca="1" si="1513"/>
        <v>0</v>
      </c>
      <c r="ED189" s="42">
        <f t="shared" ca="1" si="1514"/>
        <v>0</v>
      </c>
      <c r="EE189" s="40"/>
      <c r="EF189" s="120">
        <f t="shared" ca="1" si="756"/>
        <v>101.84999999999998</v>
      </c>
      <c r="EG189" s="42">
        <f t="shared" ca="1" si="1404"/>
        <v>-8.3970942340311012</v>
      </c>
      <c r="EH189" s="36">
        <f t="shared" ca="1" si="1405"/>
        <v>-8.3970942340311012</v>
      </c>
      <c r="EI189" s="143">
        <f t="shared" ca="1" si="1406"/>
        <v>-8.3970000000000002</v>
      </c>
      <c r="EJ189" s="143">
        <f t="shared" ca="1" si="1413"/>
        <v>-1.2520000000000007</v>
      </c>
      <c r="EK189" s="153">
        <f t="shared" ca="1" si="1407"/>
        <v>0</v>
      </c>
      <c r="EL189" s="143">
        <f t="shared" ca="1" si="1414"/>
        <v>0</v>
      </c>
    </row>
    <row r="190" spans="1:143" x14ac:dyDescent="0.3">
      <c r="A190" s="143">
        <f t="shared" ca="1" si="1408"/>
        <v>101.89999999999998</v>
      </c>
      <c r="B190" s="144">
        <f t="shared" ca="1" si="1409"/>
        <v>0.28399999999999997</v>
      </c>
      <c r="C190" s="145">
        <f t="shared" ca="1" si="1410"/>
        <v>45295.440972222219</v>
      </c>
      <c r="D190" s="144">
        <f t="shared" ca="1" si="1411"/>
        <v>2.5999999999999999E-2</v>
      </c>
      <c r="E190" s="144">
        <f t="shared" ca="1" si="1412"/>
        <v>0.04</v>
      </c>
      <c r="F190" s="36">
        <f t="shared" si="641"/>
        <v>75</v>
      </c>
      <c r="G190" s="35">
        <f t="shared" si="1289"/>
        <v>0.28399999999999997</v>
      </c>
      <c r="H190" s="197">
        <f t="shared" ca="1" si="1290"/>
        <v>169.23611111111677</v>
      </c>
      <c r="I190" s="41">
        <f t="shared" ca="1" si="1291"/>
        <v>0.46366057838662128</v>
      </c>
      <c r="J190" s="40">
        <f t="shared" ca="1" si="1415"/>
        <v>0.30650382669236853</v>
      </c>
      <c r="K190" s="40">
        <f t="shared" ca="1" si="1416"/>
        <v>2.5189751902588361E-2</v>
      </c>
      <c r="L190" s="40">
        <f t="shared" ca="1" si="1417"/>
        <v>0.19338305926412305</v>
      </c>
      <c r="M190" s="42">
        <f t="shared" ca="1" si="1418"/>
        <v>1.7152152823372653</v>
      </c>
      <c r="N190" s="42">
        <f t="shared" ca="1" si="1419"/>
        <v>1.5218322230731423</v>
      </c>
      <c r="O190" s="42">
        <f t="shared" ca="1" si="1420"/>
        <v>0.95684711800356803</v>
      </c>
      <c r="P190" s="42">
        <f t="shared" ca="1" si="1421"/>
        <v>4.3152881996431955E-2</v>
      </c>
      <c r="Q190" s="42">
        <f t="shared" ca="1" si="1422"/>
        <v>0.93597443738228592</v>
      </c>
      <c r="R190" s="42">
        <f t="shared" ca="1" si="1423"/>
        <v>6.4025562617714124E-2</v>
      </c>
      <c r="S190" s="42">
        <f t="shared" ca="1" si="1424"/>
        <v>0.98162450344672281</v>
      </c>
      <c r="T190" s="42">
        <f t="shared" ca="1" si="1425"/>
        <v>73.621837758504213</v>
      </c>
      <c r="U190" s="42">
        <f t="shared" ca="1" si="1426"/>
        <v>0.98801719747153338</v>
      </c>
      <c r="V190" s="42">
        <f t="shared" ca="1" si="1427"/>
        <v>100.67895242234923</v>
      </c>
      <c r="W190" s="42">
        <f t="shared" ca="1" si="1428"/>
        <v>9.1636990207903168E-2</v>
      </c>
      <c r="X190" s="42">
        <f t="shared" ca="1" si="1429"/>
        <v>0.3690926300322781</v>
      </c>
      <c r="Y190" s="42">
        <f t="shared" ca="1" si="1430"/>
        <v>-4.2635789532934502E-2</v>
      </c>
      <c r="Z190" s="42">
        <f t="shared" ca="1" si="1431"/>
        <v>4.5945471226319558E-3</v>
      </c>
      <c r="AA190" s="42">
        <f t="shared" ca="1" si="1309"/>
        <v>-5.0640540126007513E-3</v>
      </c>
      <c r="AB190" s="42">
        <f t="shared" ca="1" si="1432"/>
        <v>6.2821686439246377E-2</v>
      </c>
      <c r="AC190" s="42">
        <f t="shared" ca="1" si="1433"/>
        <v>-2.1855474019862108E-2</v>
      </c>
      <c r="AD190" s="42">
        <f t="shared" ca="1" si="1434"/>
        <v>-1615.453684983861</v>
      </c>
      <c r="AF190" s="36">
        <f t="shared" si="664"/>
        <v>80</v>
      </c>
      <c r="AG190" s="35">
        <f t="shared" si="1312"/>
        <v>0.28399999999999997</v>
      </c>
      <c r="AH190" s="197">
        <f t="shared" ca="1" si="1313"/>
        <v>169.23611111111677</v>
      </c>
      <c r="AI190" s="41">
        <f t="shared" ca="1" si="1314"/>
        <v>0.46366057838662128</v>
      </c>
      <c r="AJ190" s="40">
        <f t="shared" ca="1" si="1435"/>
        <v>0.24196530555479728</v>
      </c>
      <c r="AK190" s="40">
        <f t="shared" ca="1" si="1436"/>
        <v>2.5189751902588361E-2</v>
      </c>
      <c r="AL190" s="40">
        <f t="shared" ca="1" si="1437"/>
        <v>0.19338305926412305</v>
      </c>
      <c r="AM190" s="42">
        <f t="shared" ca="1" si="1438"/>
        <v>1.3814811828605142</v>
      </c>
      <c r="AN190" s="42">
        <f t="shared" ca="1" si="1439"/>
        <v>1.1880981235963912</v>
      </c>
      <c r="AO190" s="42">
        <f t="shared" ca="1" si="1440"/>
        <v>0.91643447017838331</v>
      </c>
      <c r="AP190" s="42">
        <f t="shared" ca="1" si="1441"/>
        <v>8.3565529821616677E-2</v>
      </c>
      <c r="AQ190" s="42">
        <f t="shared" ca="1" si="1442"/>
        <v>0.88260262323336058</v>
      </c>
      <c r="AR190" s="42">
        <f t="shared" ca="1" si="1443"/>
        <v>0.1173973767666394</v>
      </c>
      <c r="AS190" s="42">
        <f t="shared" ca="1" si="1444"/>
        <v>0.98162450344672281</v>
      </c>
      <c r="AT190" s="42">
        <f t="shared" ca="1" si="1445"/>
        <v>78.529960275737821</v>
      </c>
      <c r="AU190" s="42">
        <f t="shared" ca="1" si="1446"/>
        <v>0.98801719747153338</v>
      </c>
      <c r="AV190" s="42">
        <f t="shared" ca="1" si="1447"/>
        <v>100.67895242234923</v>
      </c>
      <c r="AW190" s="42">
        <f t="shared" ca="1" si="1448"/>
        <v>0.1536337643400052</v>
      </c>
      <c r="AX190" s="42">
        <f t="shared" ca="1" si="1449"/>
        <v>0.80592133290106815</v>
      </c>
      <c r="AY190" s="42">
        <f t="shared" ca="1" si="1450"/>
        <v>-8.2564180579577567E-2</v>
      </c>
      <c r="AZ190" s="42">
        <f t="shared" ca="1" si="1451"/>
        <v>7.70297636670534E-3</v>
      </c>
      <c r="BA190" s="42">
        <f t="shared" ca="1" si="1332"/>
        <v>-8.4263018255066723E-3</v>
      </c>
      <c r="BB190" s="42">
        <f t="shared" ca="1" si="1452"/>
        <v>0.1053235396312317</v>
      </c>
      <c r="BC190" s="42">
        <f t="shared" ca="1" si="1453"/>
        <v>-4.2745848593723962E-2</v>
      </c>
      <c r="BD190" s="42">
        <f t="shared" ca="1" si="1454"/>
        <v>2422.0393335494659</v>
      </c>
      <c r="BE190" s="40"/>
      <c r="BF190" s="36">
        <f t="shared" si="687"/>
        <v>90</v>
      </c>
      <c r="BG190" s="35">
        <f t="shared" si="1335"/>
        <v>0.28399999999999997</v>
      </c>
      <c r="BH190" s="197">
        <f t="shared" ca="1" si="1336"/>
        <v>169.23611111111677</v>
      </c>
      <c r="BI190" s="41">
        <f t="shared" ca="1" si="1337"/>
        <v>0.46366057838662128</v>
      </c>
      <c r="BJ190" s="40">
        <f t="shared" ca="1" si="1455"/>
        <v>0.12418226989841388</v>
      </c>
      <c r="BK190" s="40">
        <f t="shared" ca="1" si="1456"/>
        <v>2.5189751902588361E-2</v>
      </c>
      <c r="BL190" s="40">
        <f t="shared" ca="1" si="1457"/>
        <v>0.19338305926412305</v>
      </c>
      <c r="BM190" s="42">
        <f t="shared" ca="1" si="1458"/>
        <v>0.77241523828097869</v>
      </c>
      <c r="BN190" s="42">
        <f t="shared" ca="1" si="1459"/>
        <v>0.57903217901685566</v>
      </c>
      <c r="BO190" s="42">
        <f t="shared" ca="1" si="1460"/>
        <v>0.78006573427354797</v>
      </c>
      <c r="BP190" s="42">
        <f t="shared" ca="1" si="1461"/>
        <v>0.219934265726452</v>
      </c>
      <c r="BQ190" s="42">
        <f t="shared" ca="1" si="1462"/>
        <v>0.71871626972016767</v>
      </c>
      <c r="BR190" s="42">
        <f t="shared" ca="1" si="1463"/>
        <v>0.28128373027983233</v>
      </c>
      <c r="BS190" s="42">
        <f t="shared" ca="1" si="1464"/>
        <v>0.98162450344672281</v>
      </c>
      <c r="BT190" s="42">
        <f t="shared" ca="1" si="1465"/>
        <v>88.34620531020505</v>
      </c>
      <c r="BU190" s="42">
        <f t="shared" ca="1" si="1466"/>
        <v>0.98801719747153338</v>
      </c>
      <c r="BV190" s="42">
        <f t="shared" ca="1" si="1467"/>
        <v>100.67895242234923</v>
      </c>
      <c r="BW190" s="42">
        <f t="shared" ca="1" si="1468"/>
        <v>0.29604281691803824</v>
      </c>
      <c r="BX190" s="42">
        <f t="shared" ca="1" si="1469"/>
        <v>15.040345822748804</v>
      </c>
      <c r="BY190" s="42">
        <f t="shared" ca="1" si="1470"/>
        <v>0.77071836062052468</v>
      </c>
      <c r="BZ190" s="42">
        <f t="shared" ca="1" si="1471"/>
        <v>1.4843161801371815E-2</v>
      </c>
      <c r="CA190" s="42">
        <f t="shared" ca="1" si="1355"/>
        <v>-1.839306934446967E-2</v>
      </c>
      <c r="CB190" s="42">
        <f t="shared" ca="1" si="1472"/>
        <v>0.2029519845078048</v>
      </c>
      <c r="CC190" s="42">
        <f t="shared" ca="1" si="1473"/>
        <v>0.29440524912170729</v>
      </c>
      <c r="CD190" s="42">
        <f t="shared" ca="1" si="1474"/>
        <v>-4120.1729113744022</v>
      </c>
      <c r="CE190" s="40"/>
      <c r="CF190" s="36">
        <f t="shared" si="710"/>
        <v>95</v>
      </c>
      <c r="CG190" s="35">
        <f t="shared" si="1358"/>
        <v>0.28399999999999997</v>
      </c>
      <c r="CH190" s="197">
        <f t="shared" ca="1" si="1359"/>
        <v>169.23611111111677</v>
      </c>
      <c r="CI190" s="41">
        <f t="shared" ca="1" si="1360"/>
        <v>0.46366057838662128</v>
      </c>
      <c r="CJ190" s="40">
        <f t="shared" ca="1" si="1475"/>
        <v>7.0115048628138055E-2</v>
      </c>
      <c r="CK190" s="40">
        <f t="shared" ca="1" si="1476"/>
        <v>2.5189751902588361E-2</v>
      </c>
      <c r="CL190" s="40">
        <f t="shared" ca="1" si="1477"/>
        <v>0.19338305926412305</v>
      </c>
      <c r="CM190" s="42">
        <f t="shared" ca="1" si="1478"/>
        <v>0.49282910764463028</v>
      </c>
      <c r="CN190" s="42">
        <f t="shared" ca="1" si="1479"/>
        <v>0.29944604838050726</v>
      </c>
      <c r="CO190" s="42">
        <f t="shared" ca="1" si="1480"/>
        <v>0.68893332904536797</v>
      </c>
      <c r="CP190" s="42">
        <f t="shared" ca="1" si="1481"/>
        <v>0.31106667095463203</v>
      </c>
      <c r="CQ190" s="42">
        <f t="shared" ca="1" si="1482"/>
        <v>0.61770013424572068</v>
      </c>
      <c r="CR190" s="42">
        <f t="shared" ca="1" si="1483"/>
        <v>0.38229986575427938</v>
      </c>
      <c r="CS190" s="42">
        <f t="shared" ca="1" si="1484"/>
        <v>0.98162450344672281</v>
      </c>
      <c r="CT190" s="42">
        <f t="shared" ca="1" si="1485"/>
        <v>93.254327827438672</v>
      </c>
      <c r="CU190" s="42">
        <f t="shared" ca="1" si="1486"/>
        <v>0.98801719747153338</v>
      </c>
      <c r="CV190" s="42">
        <f t="shared" ca="1" si="1487"/>
        <v>100.67895242234923</v>
      </c>
      <c r="CW190" s="42">
        <f t="shared" ca="1" si="1488"/>
        <v>0.35332081943116367</v>
      </c>
      <c r="CX190" s="42">
        <f t="shared" ca="1" si="1489"/>
        <v>11.757875039125956</v>
      </c>
      <c r="CY190" s="42">
        <f t="shared" ca="1" si="1490"/>
        <v>0.68067797700813826</v>
      </c>
      <c r="CZ190" s="42">
        <f t="shared" ca="1" si="1491"/>
        <v>1.7714998611373128E-2</v>
      </c>
      <c r="DA190" s="42">
        <f t="shared" ca="1" si="1378"/>
        <v>-2.1695615995956583E-2</v>
      </c>
      <c r="DB190" s="42">
        <f t="shared" ca="1" si="1492"/>
        <v>0.24221888650428261</v>
      </c>
      <c r="DC190" s="42">
        <f t="shared" ca="1" si="1493"/>
        <v>0.26708338044801894</v>
      </c>
      <c r="DD190" s="42">
        <f t="shared" ca="1" si="1494"/>
        <v>3303.9375195629777</v>
      </c>
      <c r="DE190" s="40"/>
      <c r="DF190" s="36">
        <f t="shared" si="733"/>
        <v>200</v>
      </c>
      <c r="DG190" s="35">
        <f t="shared" si="1381"/>
        <v>0.28399999999999997</v>
      </c>
      <c r="DH190" s="197">
        <f t="shared" ca="1" si="1382"/>
        <v>169.23611111111677</v>
      </c>
      <c r="DI190" s="41">
        <f t="shared" ca="1" si="1383"/>
        <v>0.46366057838662128</v>
      </c>
      <c r="DJ190" s="40">
        <f t="shared" ca="1" si="1495"/>
        <v>-0.67432542631935788</v>
      </c>
      <c r="DK190" s="40">
        <f t="shared" ca="1" si="1496"/>
        <v>2.5189751902588361E-2</v>
      </c>
      <c r="DL190" s="40">
        <f t="shared" ca="1" si="1497"/>
        <v>0.19338305926412305</v>
      </c>
      <c r="DM190" s="42">
        <f t="shared" ca="1" si="1498"/>
        <v>-3.3567349533455175</v>
      </c>
      <c r="DN190" s="42">
        <f t="shared" ca="1" si="1499"/>
        <v>-3.5501180126096408</v>
      </c>
      <c r="DO190" s="42">
        <f t="shared" ca="1" si="1500"/>
        <v>3.9434339259859964E-4</v>
      </c>
      <c r="DP190" s="42">
        <f t="shared" ca="1" si="1501"/>
        <v>0.99960565660740142</v>
      </c>
      <c r="DQ190" s="42">
        <f t="shared" ca="1" si="1502"/>
        <v>1.9252924808769336E-4</v>
      </c>
      <c r="DR190" s="42">
        <f t="shared" ca="1" si="1503"/>
        <v>0.99980747075191234</v>
      </c>
      <c r="DS190" s="42">
        <f t="shared" ca="1" si="1504"/>
        <v>0.98162450344672281</v>
      </c>
      <c r="DT190" s="42">
        <f t="shared" ca="1" si="1505"/>
        <v>196.32490068934456</v>
      </c>
      <c r="DU190" s="42">
        <f t="shared" ca="1" si="1506"/>
        <v>0.98801719747153338</v>
      </c>
      <c r="DV190" s="42">
        <f t="shared" ca="1" si="1507"/>
        <v>100.67895242234923</v>
      </c>
      <c r="DW190" s="42">
        <f t="shared" ca="1" si="1508"/>
        <v>1.4261549437158863E-3</v>
      </c>
      <c r="DX190" s="42">
        <f t="shared" si="1509"/>
        <v>0</v>
      </c>
      <c r="DY190" s="92">
        <f t="shared" ca="1" si="1510"/>
        <v>0</v>
      </c>
      <c r="DZ190" s="42">
        <f t="shared" ca="1" si="1511"/>
        <v>0</v>
      </c>
      <c r="EA190" s="42">
        <f t="shared" ca="1" si="1401"/>
        <v>0</v>
      </c>
      <c r="EB190" s="42">
        <f t="shared" ca="1" si="1512"/>
        <v>0</v>
      </c>
      <c r="EC190" s="42">
        <f t="shared" ca="1" si="1513"/>
        <v>0</v>
      </c>
      <c r="ED190" s="42">
        <f t="shared" ca="1" si="1514"/>
        <v>0</v>
      </c>
      <c r="EE190" s="40"/>
      <c r="EF190" s="120">
        <f t="shared" ca="1" si="756"/>
        <v>101.89999999999998</v>
      </c>
      <c r="EG190" s="42">
        <f t="shared" ca="1" si="1404"/>
        <v>-9.6497432458195362</v>
      </c>
      <c r="EH190" s="36">
        <f t="shared" ca="1" si="1405"/>
        <v>-9.6497432458195362</v>
      </c>
      <c r="EI190" s="143">
        <f t="shared" ca="1" si="1406"/>
        <v>-9.65</v>
      </c>
      <c r="EJ190" s="143">
        <f t="shared" ca="1" si="1413"/>
        <v>-1.2530000000000001</v>
      </c>
      <c r="EK190" s="153">
        <f t="shared" ca="1" si="1407"/>
        <v>0</v>
      </c>
      <c r="EL190" s="143">
        <f t="shared" ca="1" si="1414"/>
        <v>0</v>
      </c>
    </row>
    <row r="191" spans="1:143" x14ac:dyDescent="0.3">
      <c r="A191" s="143">
        <f t="shared" ca="1" si="1408"/>
        <v>101.94999999999997</v>
      </c>
      <c r="B191" s="144">
        <f t="shared" ca="1" si="1409"/>
        <v>0.28399999999999997</v>
      </c>
      <c r="C191" s="145">
        <f t="shared" ca="1" si="1410"/>
        <v>45295.440972222219</v>
      </c>
      <c r="D191" s="144">
        <f t="shared" ca="1" si="1411"/>
        <v>2.5999999999999999E-2</v>
      </c>
      <c r="E191" s="144">
        <f t="shared" ca="1" si="1412"/>
        <v>0.04</v>
      </c>
      <c r="F191" s="36">
        <f t="shared" si="641"/>
        <v>75</v>
      </c>
      <c r="G191" s="35">
        <f t="shared" si="1289"/>
        <v>0.28399999999999997</v>
      </c>
      <c r="H191" s="197">
        <f t="shared" ca="1" si="1290"/>
        <v>169.23611111111677</v>
      </c>
      <c r="I191" s="41">
        <f t="shared" ca="1" si="1291"/>
        <v>0.46366057838662128</v>
      </c>
      <c r="J191" s="40">
        <f t="shared" ca="1" si="1415"/>
        <v>0.30699438348415353</v>
      </c>
      <c r="K191" s="40">
        <f t="shared" ca="1" si="1416"/>
        <v>2.5189751902588361E-2</v>
      </c>
      <c r="L191" s="40">
        <f t="shared" ca="1" si="1417"/>
        <v>0.19338305926412305</v>
      </c>
      <c r="M191" s="42">
        <f t="shared" ca="1" si="1418"/>
        <v>1.7177519926036748</v>
      </c>
      <c r="N191" s="42">
        <f t="shared" ca="1" si="1419"/>
        <v>1.5243689333395518</v>
      </c>
      <c r="O191" s="42">
        <f t="shared" ca="1" si="1420"/>
        <v>0.95707906927197672</v>
      </c>
      <c r="P191" s="42">
        <f t="shared" ca="1" si="1421"/>
        <v>4.292093072802329E-2</v>
      </c>
      <c r="Q191" s="42">
        <f t="shared" ca="1" si="1422"/>
        <v>0.9362917119314883</v>
      </c>
      <c r="R191" s="42">
        <f t="shared" ca="1" si="1423"/>
        <v>6.3708288068511726E-2</v>
      </c>
      <c r="S191" s="42">
        <f t="shared" ca="1" si="1424"/>
        <v>0.98162450344672281</v>
      </c>
      <c r="T191" s="42">
        <f t="shared" ca="1" si="1425"/>
        <v>73.621837758504213</v>
      </c>
      <c r="U191" s="42">
        <f t="shared" ca="1" si="1426"/>
        <v>0.98801719747153338</v>
      </c>
      <c r="V191" s="42">
        <f t="shared" ca="1" si="1427"/>
        <v>100.7283532822228</v>
      </c>
      <c r="W191" s="42">
        <f t="shared" ca="1" si="1428"/>
        <v>9.1238849864488547E-2</v>
      </c>
      <c r="X191" s="42">
        <f t="shared" ca="1" si="1429"/>
        <v>0.36696657447787739</v>
      </c>
      <c r="Y191" s="42">
        <f t="shared" ca="1" si="1430"/>
        <v>-4.2406617690771378E-2</v>
      </c>
      <c r="Z191" s="42">
        <f t="shared" ca="1" si="1431"/>
        <v>4.572341394064045E-3</v>
      </c>
      <c r="AA191" s="42">
        <f t="shared" ca="1" si="1309"/>
        <v>-5.0447747520251844E-3</v>
      </c>
      <c r="AB191" s="42">
        <f t="shared" ca="1" si="1432"/>
        <v>6.2579432790873801E-2</v>
      </c>
      <c r="AC191" s="42">
        <f t="shared" ca="1" si="1433"/>
        <v>-2.1747170626908591E-2</v>
      </c>
      <c r="AD191" s="42">
        <f t="shared" ca="1" si="1434"/>
        <v>-1616.5167127610614</v>
      </c>
      <c r="AF191" s="36">
        <f t="shared" si="664"/>
        <v>80</v>
      </c>
      <c r="AG191" s="35">
        <f t="shared" si="1312"/>
        <v>0.28399999999999997</v>
      </c>
      <c r="AH191" s="197">
        <f t="shared" ca="1" si="1313"/>
        <v>169.23611111111677</v>
      </c>
      <c r="AI191" s="41">
        <f t="shared" ca="1" si="1314"/>
        <v>0.46366057838662128</v>
      </c>
      <c r="AJ191" s="40">
        <f t="shared" ca="1" si="1435"/>
        <v>0.24245586234658226</v>
      </c>
      <c r="AK191" s="40">
        <f t="shared" ca="1" si="1436"/>
        <v>2.5189751902588361E-2</v>
      </c>
      <c r="AL191" s="40">
        <f t="shared" ca="1" si="1437"/>
        <v>0.19338305926412305</v>
      </c>
      <c r="AM191" s="42">
        <f t="shared" ca="1" si="1438"/>
        <v>1.3840178931269236</v>
      </c>
      <c r="AN191" s="42">
        <f t="shared" ca="1" si="1439"/>
        <v>1.1906348338628006</v>
      </c>
      <c r="AO191" s="42">
        <f t="shared" ca="1" si="1440"/>
        <v>0.91682351202736367</v>
      </c>
      <c r="AP191" s="42">
        <f t="shared" ca="1" si="1441"/>
        <v>8.3176487972636312E-2</v>
      </c>
      <c r="AQ191" s="42">
        <f t="shared" ca="1" si="1442"/>
        <v>0.88310151472348408</v>
      </c>
      <c r="AR191" s="42">
        <f t="shared" ca="1" si="1443"/>
        <v>0.11689848527651593</v>
      </c>
      <c r="AS191" s="42">
        <f t="shared" ca="1" si="1444"/>
        <v>0.98162450344672281</v>
      </c>
      <c r="AT191" s="42">
        <f t="shared" ca="1" si="1445"/>
        <v>78.529960275737821</v>
      </c>
      <c r="AU191" s="42">
        <f t="shared" ca="1" si="1446"/>
        <v>0.98801719747153338</v>
      </c>
      <c r="AV191" s="42">
        <f t="shared" ca="1" si="1447"/>
        <v>100.7283532822228</v>
      </c>
      <c r="AW191" s="42">
        <f t="shared" ca="1" si="1448"/>
        <v>0.15309581719153698</v>
      </c>
      <c r="AX191" s="42">
        <f t="shared" ca="1" si="1449"/>
        <v>0.80180273977645378</v>
      </c>
      <c r="AY191" s="42">
        <f t="shared" ca="1" si="1450"/>
        <v>-8.217980054224884E-2</v>
      </c>
      <c r="AZ191" s="42">
        <f t="shared" ca="1" si="1451"/>
        <v>7.6722398763531385E-3</v>
      </c>
      <c r="BA191" s="42">
        <f t="shared" ca="1" si="1332"/>
        <v>-8.4014752057068112E-3</v>
      </c>
      <c r="BB191" s="42">
        <f t="shared" ca="1" si="1452"/>
        <v>0.10500624916613086</v>
      </c>
      <c r="BC191" s="42">
        <f t="shared" ca="1" si="1453"/>
        <v>-4.2564195981980309E-2</v>
      </c>
      <c r="BD191" s="42">
        <f t="shared" ca="1" si="1454"/>
        <v>2424.0986301117732</v>
      </c>
      <c r="BE191" s="40"/>
      <c r="BF191" s="36">
        <f t="shared" si="687"/>
        <v>90</v>
      </c>
      <c r="BG191" s="35">
        <f t="shared" si="1335"/>
        <v>0.28399999999999997</v>
      </c>
      <c r="BH191" s="197">
        <f t="shared" ca="1" si="1336"/>
        <v>169.23611111111677</v>
      </c>
      <c r="BI191" s="41">
        <f t="shared" ca="1" si="1337"/>
        <v>0.46366057838662128</v>
      </c>
      <c r="BJ191" s="40">
        <f t="shared" ca="1" si="1455"/>
        <v>0.12467282669019882</v>
      </c>
      <c r="BK191" s="40">
        <f t="shared" ca="1" si="1456"/>
        <v>2.5189751902588361E-2</v>
      </c>
      <c r="BL191" s="40">
        <f t="shared" ca="1" si="1457"/>
        <v>0.19338305926412305</v>
      </c>
      <c r="BM191" s="42">
        <f t="shared" ca="1" si="1458"/>
        <v>0.77495194854738803</v>
      </c>
      <c r="BN191" s="42">
        <f t="shared" ca="1" si="1459"/>
        <v>0.581568889283265</v>
      </c>
      <c r="BO191" s="42">
        <f t="shared" ca="1" si="1460"/>
        <v>0.78081597307490314</v>
      </c>
      <c r="BP191" s="42">
        <f t="shared" ca="1" si="1461"/>
        <v>0.21918402692509692</v>
      </c>
      <c r="BQ191" s="42">
        <f t="shared" ca="1" si="1462"/>
        <v>0.71957144827555652</v>
      </c>
      <c r="BR191" s="42">
        <f t="shared" ca="1" si="1463"/>
        <v>0.28042855172444348</v>
      </c>
      <c r="BS191" s="42">
        <f t="shared" ca="1" si="1464"/>
        <v>0.98162450344672281</v>
      </c>
      <c r="BT191" s="42">
        <f t="shared" ca="1" si="1465"/>
        <v>88.34620531020505</v>
      </c>
      <c r="BU191" s="42">
        <f t="shared" ca="1" si="1466"/>
        <v>0.98801719747153338</v>
      </c>
      <c r="BV191" s="42">
        <f t="shared" ca="1" si="1467"/>
        <v>100.7283532822228</v>
      </c>
      <c r="BW191" s="42">
        <f t="shared" ca="1" si="1468"/>
        <v>0.29546236977754708</v>
      </c>
      <c r="BX191" s="42">
        <f t="shared" ca="1" si="1469"/>
        <v>15.078900279577496</v>
      </c>
      <c r="BY191" s="42">
        <f t="shared" ca="1" si="1470"/>
        <v>0.77145960945847403</v>
      </c>
      <c r="BZ191" s="42">
        <f t="shared" ca="1" si="1471"/>
        <v>1.4806793660032166E-2</v>
      </c>
      <c r="CA191" s="42">
        <f t="shared" ca="1" si="1355"/>
        <v>-1.8368171735345541E-2</v>
      </c>
      <c r="CB191" s="42">
        <f t="shared" ca="1" si="1472"/>
        <v>0.2026534479466606</v>
      </c>
      <c r="CC191" s="42">
        <f t="shared" ca="1" si="1473"/>
        <v>0.29475555294290906</v>
      </c>
      <c r="CD191" s="42">
        <f t="shared" ca="1" si="1474"/>
        <v>-4139.4501397887479</v>
      </c>
      <c r="CE191" s="40"/>
      <c r="CF191" s="36">
        <f t="shared" si="710"/>
        <v>95</v>
      </c>
      <c r="CG191" s="35">
        <f t="shared" si="1358"/>
        <v>0.28399999999999997</v>
      </c>
      <c r="CH191" s="197">
        <f t="shared" ca="1" si="1359"/>
        <v>169.23611111111677</v>
      </c>
      <c r="CI191" s="41">
        <f t="shared" ca="1" si="1360"/>
        <v>0.46366057838662128</v>
      </c>
      <c r="CJ191" s="40">
        <f t="shared" ca="1" si="1475"/>
        <v>7.0605605419923126E-2</v>
      </c>
      <c r="CK191" s="40">
        <f t="shared" ca="1" si="1476"/>
        <v>2.5189751902588361E-2</v>
      </c>
      <c r="CL191" s="40">
        <f t="shared" ca="1" si="1477"/>
        <v>0.19338305926412305</v>
      </c>
      <c r="CM191" s="42">
        <f t="shared" ca="1" si="1478"/>
        <v>0.49536581791104028</v>
      </c>
      <c r="CN191" s="42">
        <f t="shared" ca="1" si="1479"/>
        <v>0.30198275864691726</v>
      </c>
      <c r="CO191" s="42">
        <f t="shared" ca="1" si="1480"/>
        <v>0.6898290406242803</v>
      </c>
      <c r="CP191" s="42">
        <f t="shared" ca="1" si="1481"/>
        <v>0.3101709593757197</v>
      </c>
      <c r="CQ191" s="42">
        <f t="shared" ca="1" si="1482"/>
        <v>0.61866739682290472</v>
      </c>
      <c r="CR191" s="42">
        <f t="shared" ca="1" si="1483"/>
        <v>0.38133260317709528</v>
      </c>
      <c r="CS191" s="42">
        <f t="shared" ca="1" si="1484"/>
        <v>0.98162450344672281</v>
      </c>
      <c r="CT191" s="42">
        <f t="shared" ca="1" si="1485"/>
        <v>93.254327827438672</v>
      </c>
      <c r="CU191" s="42">
        <f t="shared" ca="1" si="1486"/>
        <v>0.98801719747153338</v>
      </c>
      <c r="CV191" s="42">
        <f t="shared" ca="1" si="1487"/>
        <v>100.7283532822228</v>
      </c>
      <c r="CW191" s="42">
        <f t="shared" ca="1" si="1488"/>
        <v>0.3528782508499661</v>
      </c>
      <c r="CX191" s="42">
        <f t="shared" ca="1" si="1489"/>
        <v>11.791931068868074</v>
      </c>
      <c r="CY191" s="42">
        <f t="shared" ca="1" si="1490"/>
        <v>0.68156295545207801</v>
      </c>
      <c r="CZ191" s="42">
        <f t="shared" ca="1" si="1491"/>
        <v>1.7684131659075251E-2</v>
      </c>
      <c r="DA191" s="42">
        <f t="shared" ca="1" si="1378"/>
        <v>-2.1681152327302267E-2</v>
      </c>
      <c r="DB191" s="42">
        <f t="shared" ca="1" si="1492"/>
        <v>0.24203418626193732</v>
      </c>
      <c r="DC191" s="42">
        <f t="shared" ca="1" si="1493"/>
        <v>0.26750160888051011</v>
      </c>
      <c r="DD191" s="42">
        <f t="shared" ca="1" si="1494"/>
        <v>3320.9655344340367</v>
      </c>
      <c r="DE191" s="40"/>
      <c r="DF191" s="36">
        <f t="shared" si="733"/>
        <v>200</v>
      </c>
      <c r="DG191" s="35">
        <f t="shared" si="1381"/>
        <v>0.28399999999999997</v>
      </c>
      <c r="DH191" s="197">
        <f t="shared" ca="1" si="1382"/>
        <v>169.23611111111677</v>
      </c>
      <c r="DI191" s="41">
        <f t="shared" ca="1" si="1383"/>
        <v>0.46366057838662128</v>
      </c>
      <c r="DJ191" s="40">
        <f t="shared" ca="1" si="1495"/>
        <v>-0.67383486952757266</v>
      </c>
      <c r="DK191" s="40">
        <f t="shared" ca="1" si="1496"/>
        <v>2.5189751902588361E-2</v>
      </c>
      <c r="DL191" s="40">
        <f t="shared" ca="1" si="1497"/>
        <v>0.19338305926412305</v>
      </c>
      <c r="DM191" s="42">
        <f t="shared" ca="1" si="1498"/>
        <v>-3.3541982430791069</v>
      </c>
      <c r="DN191" s="42">
        <f t="shared" ca="1" si="1499"/>
        <v>-3.5475813023432301</v>
      </c>
      <c r="DO191" s="42">
        <f t="shared" ca="1" si="1500"/>
        <v>3.979765770442877E-4</v>
      </c>
      <c r="DP191" s="42">
        <f t="shared" ca="1" si="1501"/>
        <v>0.99960202342295568</v>
      </c>
      <c r="DQ191" s="42">
        <f t="shared" ca="1" si="1502"/>
        <v>1.943928683613082E-4</v>
      </c>
      <c r="DR191" s="42">
        <f t="shared" ca="1" si="1503"/>
        <v>0.99980560713163869</v>
      </c>
      <c r="DS191" s="42">
        <f t="shared" ca="1" si="1504"/>
        <v>0.98162450344672281</v>
      </c>
      <c r="DT191" s="42">
        <f t="shared" ca="1" si="1505"/>
        <v>196.32490068934456</v>
      </c>
      <c r="DU191" s="42">
        <f t="shared" ca="1" si="1506"/>
        <v>0.98801719747153338</v>
      </c>
      <c r="DV191" s="42">
        <f t="shared" ca="1" si="1507"/>
        <v>100.7283532822228</v>
      </c>
      <c r="DW191" s="42">
        <f t="shared" ca="1" si="1508"/>
        <v>1.4383459662312094E-3</v>
      </c>
      <c r="DX191" s="42">
        <f t="shared" si="1509"/>
        <v>0</v>
      </c>
      <c r="DY191" s="92">
        <f t="shared" ca="1" si="1510"/>
        <v>0</v>
      </c>
      <c r="DZ191" s="42">
        <f t="shared" ca="1" si="1511"/>
        <v>0</v>
      </c>
      <c r="EA191" s="42">
        <f t="shared" ca="1" si="1401"/>
        <v>0</v>
      </c>
      <c r="EB191" s="42">
        <f t="shared" ca="1" si="1512"/>
        <v>0</v>
      </c>
      <c r="EC191" s="42">
        <f t="shared" ca="1" si="1513"/>
        <v>0</v>
      </c>
      <c r="ED191" s="42">
        <f t="shared" ca="1" si="1514"/>
        <v>0</v>
      </c>
      <c r="EE191" s="40"/>
      <c r="EF191" s="120">
        <f t="shared" ca="1" si="756"/>
        <v>101.94999999999997</v>
      </c>
      <c r="EG191" s="42">
        <f t="shared" ca="1" si="1404"/>
        <v>-10.902688003999629</v>
      </c>
      <c r="EH191" s="36">
        <f t="shared" ca="1" si="1405"/>
        <v>-10.902688003999629</v>
      </c>
      <c r="EI191" s="143">
        <f t="shared" ca="1" si="1406"/>
        <v>-10.903</v>
      </c>
      <c r="EJ191" s="143">
        <f t="shared" ca="1" si="1413"/>
        <v>-1.2530000000000001</v>
      </c>
      <c r="EK191" s="153">
        <f t="shared" ca="1" si="1407"/>
        <v>0</v>
      </c>
      <c r="EL191" s="143">
        <f t="shared" ca="1" si="1414"/>
        <v>0</v>
      </c>
    </row>
    <row r="192" spans="1:143" x14ac:dyDescent="0.3">
      <c r="A192" s="143">
        <f t="shared" ca="1" si="1408"/>
        <v>101.99999999999997</v>
      </c>
      <c r="B192" s="144">
        <f t="shared" ca="1" si="1409"/>
        <v>0.28399999999999997</v>
      </c>
      <c r="C192" s="145">
        <f t="shared" ca="1" si="1410"/>
        <v>45295.440972222219</v>
      </c>
      <c r="D192" s="144">
        <f t="shared" ca="1" si="1411"/>
        <v>2.5999999999999999E-2</v>
      </c>
      <c r="E192" s="144">
        <f t="shared" ca="1" si="1412"/>
        <v>0.04</v>
      </c>
      <c r="F192" s="36">
        <f t="shared" si="641"/>
        <v>75</v>
      </c>
      <c r="G192" s="35">
        <f t="shared" si="1289"/>
        <v>0.28399999999999997</v>
      </c>
      <c r="H192" s="197">
        <f t="shared" ca="1" si="1290"/>
        <v>169.23611111111677</v>
      </c>
      <c r="I192" s="41">
        <f t="shared" ca="1" si="1291"/>
        <v>0.46366057838662128</v>
      </c>
      <c r="J192" s="40">
        <f t="shared" ca="1" si="1415"/>
        <v>0.30748469974796039</v>
      </c>
      <c r="K192" s="40">
        <f t="shared" ca="1" si="1416"/>
        <v>2.5189751902588361E-2</v>
      </c>
      <c r="L192" s="40">
        <f t="shared" ca="1" si="1417"/>
        <v>0.19338305926412305</v>
      </c>
      <c r="M192" s="42">
        <f t="shared" ca="1" si="1418"/>
        <v>1.7202874590797594</v>
      </c>
      <c r="N192" s="42">
        <f t="shared" ca="1" si="1419"/>
        <v>1.5269043998156364</v>
      </c>
      <c r="O192" s="42">
        <f t="shared" ca="1" si="1420"/>
        <v>0.95730989903792074</v>
      </c>
      <c r="P192" s="42">
        <f t="shared" ca="1" si="1421"/>
        <v>4.2690100962079251E-2</v>
      </c>
      <c r="Q192" s="42">
        <f t="shared" ca="1" si="1422"/>
        <v>0.93660760732213488</v>
      </c>
      <c r="R192" s="42">
        <f t="shared" ca="1" si="1423"/>
        <v>6.3392392677865117E-2</v>
      </c>
      <c r="S192" s="42">
        <f t="shared" ca="1" si="1424"/>
        <v>0.98162450344672281</v>
      </c>
      <c r="T192" s="42">
        <f t="shared" ca="1" si="1425"/>
        <v>73.621837758504213</v>
      </c>
      <c r="U192" s="42">
        <f t="shared" ca="1" si="1426"/>
        <v>0.98801719747153338</v>
      </c>
      <c r="V192" s="42">
        <f t="shared" ca="1" si="1427"/>
        <v>100.77775414209637</v>
      </c>
      <c r="W192" s="42">
        <f t="shared" ca="1" si="1428"/>
        <v>9.0842049156091773E-2</v>
      </c>
      <c r="X192" s="42">
        <f t="shared" ca="1" si="1429"/>
        <v>0.36485194979548119</v>
      </c>
      <c r="Y192" s="42">
        <f t="shared" ca="1" si="1430"/>
        <v>-4.2178553912330358E-2</v>
      </c>
      <c r="Z192" s="42">
        <f t="shared" ca="1" si="1431"/>
        <v>4.5502245373443247E-3</v>
      </c>
      <c r="AA192" s="42">
        <f t="shared" ca="1" si="1309"/>
        <v>-5.0255454419697752E-3</v>
      </c>
      <c r="AB192" s="42">
        <f t="shared" ca="1" si="1432"/>
        <v>6.2337830574157961E-2</v>
      </c>
      <c r="AC192" s="42">
        <f t="shared" ca="1" si="1433"/>
        <v>-2.1639338017229014E-2</v>
      </c>
      <c r="AD192" s="42">
        <f t="shared" ca="1" si="1434"/>
        <v>-1617.5740251022594</v>
      </c>
      <c r="AF192" s="36">
        <f t="shared" si="664"/>
        <v>80</v>
      </c>
      <c r="AG192" s="35">
        <f t="shared" si="1312"/>
        <v>0.28399999999999997</v>
      </c>
      <c r="AH192" s="197">
        <f t="shared" ca="1" si="1313"/>
        <v>169.23611111111677</v>
      </c>
      <c r="AI192" s="41">
        <f t="shared" ca="1" si="1314"/>
        <v>0.46366057838662128</v>
      </c>
      <c r="AJ192" s="40">
        <f t="shared" ca="1" si="1435"/>
        <v>0.24294617861038922</v>
      </c>
      <c r="AK192" s="40">
        <f t="shared" ca="1" si="1436"/>
        <v>2.5189751902588361E-2</v>
      </c>
      <c r="AL192" s="40">
        <f t="shared" ca="1" si="1437"/>
        <v>0.19338305926412305</v>
      </c>
      <c r="AM192" s="42">
        <f t="shared" ca="1" si="1438"/>
        <v>1.3865533596030089</v>
      </c>
      <c r="AN192" s="42">
        <f t="shared" ca="1" si="1439"/>
        <v>1.1931703003388858</v>
      </c>
      <c r="AO192" s="42">
        <f t="shared" ca="1" si="1440"/>
        <v>0.91721100065215522</v>
      </c>
      <c r="AP192" s="42">
        <f t="shared" ca="1" si="1441"/>
        <v>8.2788999347844769E-2</v>
      </c>
      <c r="AQ192" s="42">
        <f t="shared" ca="1" si="1442"/>
        <v>0.88359865817936245</v>
      </c>
      <c r="AR192" s="42">
        <f t="shared" ca="1" si="1443"/>
        <v>0.11640134182063751</v>
      </c>
      <c r="AS192" s="42">
        <f t="shared" ca="1" si="1444"/>
        <v>0.98162450344672281</v>
      </c>
      <c r="AT192" s="42">
        <f t="shared" ca="1" si="1445"/>
        <v>78.529960275737821</v>
      </c>
      <c r="AU192" s="42">
        <f t="shared" ca="1" si="1446"/>
        <v>0.98801719747153338</v>
      </c>
      <c r="AV192" s="42">
        <f t="shared" ca="1" si="1447"/>
        <v>100.77775414209637</v>
      </c>
      <c r="AW192" s="42">
        <f t="shared" ca="1" si="1448"/>
        <v>0.15255903505679602</v>
      </c>
      <c r="AX192" s="42">
        <f t="shared" ca="1" si="1449"/>
        <v>0.79770332726996607</v>
      </c>
      <c r="AY192" s="42">
        <f t="shared" ca="1" si="1450"/>
        <v>-8.1796955117130213E-2</v>
      </c>
      <c r="AZ192" s="42">
        <f t="shared" ca="1" si="1451"/>
        <v>7.6415918746638644E-3</v>
      </c>
      <c r="BA192" s="42">
        <f t="shared" ca="1" si="1332"/>
        <v>-8.3766786672149155E-3</v>
      </c>
      <c r="BB192" s="42">
        <f t="shared" ca="1" si="1452"/>
        <v>0.10468939624629585</v>
      </c>
      <c r="BC192" s="42">
        <f t="shared" ca="1" si="1453"/>
        <v>-4.2383179851299781E-2</v>
      </c>
      <c r="BD192" s="42">
        <f t="shared" ca="1" si="1454"/>
        <v>2426.1483363650173</v>
      </c>
      <c r="BE192" s="40"/>
      <c r="BF192" s="36">
        <f t="shared" si="687"/>
        <v>90</v>
      </c>
      <c r="BG192" s="35">
        <f t="shared" si="1335"/>
        <v>0.28399999999999997</v>
      </c>
      <c r="BH192" s="197">
        <f t="shared" ca="1" si="1336"/>
        <v>169.23611111111677</v>
      </c>
      <c r="BI192" s="41">
        <f t="shared" ca="1" si="1337"/>
        <v>0.46366057838662128</v>
      </c>
      <c r="BJ192" s="40">
        <f t="shared" ca="1" si="1455"/>
        <v>0.1251631429540058</v>
      </c>
      <c r="BK192" s="40">
        <f t="shared" ca="1" si="1456"/>
        <v>2.5189751902588361E-2</v>
      </c>
      <c r="BL192" s="40">
        <f t="shared" ca="1" si="1457"/>
        <v>0.19338305926412305</v>
      </c>
      <c r="BM192" s="42">
        <f t="shared" ca="1" si="1458"/>
        <v>0.77748741502347318</v>
      </c>
      <c r="BN192" s="42">
        <f t="shared" ca="1" si="1459"/>
        <v>0.58410435575935016</v>
      </c>
      <c r="BO192" s="42">
        <f t="shared" ca="1" si="1460"/>
        <v>0.78156437171435977</v>
      </c>
      <c r="BP192" s="42">
        <f t="shared" ca="1" si="1461"/>
        <v>0.21843562828564023</v>
      </c>
      <c r="BQ192" s="42">
        <f t="shared" ca="1" si="1462"/>
        <v>0.72042494776068222</v>
      </c>
      <c r="BR192" s="42">
        <f t="shared" ca="1" si="1463"/>
        <v>0.27957505223931778</v>
      </c>
      <c r="BS192" s="42">
        <f t="shared" ca="1" si="1464"/>
        <v>0.98162450344672281</v>
      </c>
      <c r="BT192" s="42">
        <f t="shared" ca="1" si="1465"/>
        <v>88.34620531020505</v>
      </c>
      <c r="BU192" s="42">
        <f t="shared" ca="1" si="1466"/>
        <v>0.98801719747153338</v>
      </c>
      <c r="BV192" s="42">
        <f t="shared" ca="1" si="1467"/>
        <v>100.77775414209637</v>
      </c>
      <c r="BW192" s="42">
        <f t="shared" ca="1" si="1468"/>
        <v>0.29488144833498825</v>
      </c>
      <c r="BX192" s="42">
        <f t="shared" ca="1" si="1469"/>
        <v>15.117491753392791</v>
      </c>
      <c r="BY192" s="42">
        <f t="shared" ca="1" si="1470"/>
        <v>0.77219904018482155</v>
      </c>
      <c r="BZ192" s="42">
        <f t="shared" ca="1" si="1471"/>
        <v>1.4770437416222883E-2</v>
      </c>
      <c r="CA192" s="42">
        <f t="shared" ca="1" si="1355"/>
        <v>-1.834320572414146E-2</v>
      </c>
      <c r="CB192" s="42">
        <f t="shared" ca="1" si="1472"/>
        <v>0.20235419540330921</v>
      </c>
      <c r="CC192" s="42">
        <f t="shared" ca="1" si="1473"/>
        <v>0.29510516897239103</v>
      </c>
      <c r="CD192" s="42">
        <f t="shared" ca="1" si="1474"/>
        <v>-4158.7458766963955</v>
      </c>
      <c r="CE192" s="40"/>
      <c r="CF192" s="36">
        <f t="shared" si="710"/>
        <v>95</v>
      </c>
      <c r="CG192" s="35">
        <f t="shared" si="1358"/>
        <v>0.28399999999999997</v>
      </c>
      <c r="CH192" s="197">
        <f t="shared" ca="1" si="1359"/>
        <v>169.23611111111677</v>
      </c>
      <c r="CI192" s="41">
        <f t="shared" ca="1" si="1360"/>
        <v>0.46366057838662128</v>
      </c>
      <c r="CJ192" s="40">
        <f t="shared" ca="1" si="1475"/>
        <v>7.1095921683730051E-2</v>
      </c>
      <c r="CK192" s="40">
        <f t="shared" ca="1" si="1476"/>
        <v>2.5189751902588361E-2</v>
      </c>
      <c r="CL192" s="40">
        <f t="shared" ca="1" si="1477"/>
        <v>0.19338305926412305</v>
      </c>
      <c r="CM192" s="42">
        <f t="shared" ca="1" si="1478"/>
        <v>0.49790128438712516</v>
      </c>
      <c r="CN192" s="42">
        <f t="shared" ca="1" si="1479"/>
        <v>0.30451822512300208</v>
      </c>
      <c r="CO192" s="42">
        <f t="shared" ca="1" si="1480"/>
        <v>0.69072318900581409</v>
      </c>
      <c r="CP192" s="42">
        <f t="shared" ca="1" si="1481"/>
        <v>0.30927681099418591</v>
      </c>
      <c r="CQ192" s="42">
        <f t="shared" ca="1" si="1482"/>
        <v>0.61963344500072326</v>
      </c>
      <c r="CR192" s="42">
        <f t="shared" ca="1" si="1483"/>
        <v>0.38036655499927674</v>
      </c>
      <c r="CS192" s="42">
        <f t="shared" ca="1" si="1484"/>
        <v>0.98162450344672281</v>
      </c>
      <c r="CT192" s="42">
        <f t="shared" ca="1" si="1485"/>
        <v>93.254327827438672</v>
      </c>
      <c r="CU192" s="42">
        <f t="shared" ca="1" si="1486"/>
        <v>0.98801719747153338</v>
      </c>
      <c r="CV192" s="42">
        <f t="shared" ca="1" si="1487"/>
        <v>100.77775414209637</v>
      </c>
      <c r="CW192" s="42">
        <f t="shared" ca="1" si="1488"/>
        <v>0.35243418700188289</v>
      </c>
      <c r="CX192" s="42">
        <f t="shared" ca="1" si="1489"/>
        <v>11.826031308930062</v>
      </c>
      <c r="CY192" s="42">
        <f t="shared" ca="1" si="1490"/>
        <v>0.6824463894301247</v>
      </c>
      <c r="CZ192" s="42">
        <f t="shared" ca="1" si="1491"/>
        <v>1.7653220071460998E-2</v>
      </c>
      <c r="DA192" s="42">
        <f t="shared" ca="1" si="1378"/>
        <v>-2.1666570087728002E-2</v>
      </c>
      <c r="DB192" s="42">
        <f t="shared" ca="1" si="1492"/>
        <v>0.24184816218878966</v>
      </c>
      <c r="DC192" s="42">
        <f t="shared" ca="1" si="1493"/>
        <v>0.26791931222668547</v>
      </c>
      <c r="DD192" s="42">
        <f t="shared" ca="1" si="1494"/>
        <v>3338.0156544650308</v>
      </c>
      <c r="DE192" s="40"/>
      <c r="DF192" s="36">
        <f t="shared" si="733"/>
        <v>200</v>
      </c>
      <c r="DG192" s="35">
        <f t="shared" si="1381"/>
        <v>0.28399999999999997</v>
      </c>
      <c r="DH192" s="197">
        <f t="shared" ca="1" si="1382"/>
        <v>169.23611111111677</v>
      </c>
      <c r="DI192" s="41">
        <f t="shared" ca="1" si="1383"/>
        <v>0.46366057838662128</v>
      </c>
      <c r="DJ192" s="40">
        <f t="shared" ca="1" si="1495"/>
        <v>-0.67334455326376574</v>
      </c>
      <c r="DK192" s="40">
        <f t="shared" ca="1" si="1496"/>
        <v>2.5189751902588361E-2</v>
      </c>
      <c r="DL192" s="40">
        <f t="shared" ca="1" si="1497"/>
        <v>0.19338305926412305</v>
      </c>
      <c r="DM192" s="42">
        <f t="shared" ca="1" si="1498"/>
        <v>-3.351662776603022</v>
      </c>
      <c r="DN192" s="42">
        <f t="shared" ca="1" si="1499"/>
        <v>-3.5450458358671453</v>
      </c>
      <c r="DO192" s="42">
        <f t="shared" ca="1" si="1500"/>
        <v>4.0163900250331512E-4</v>
      </c>
      <c r="DP192" s="42">
        <f t="shared" ca="1" si="1501"/>
        <v>0.99959836099749666</v>
      </c>
      <c r="DQ192" s="42">
        <f t="shared" ca="1" si="1502"/>
        <v>1.9627240920649385E-4</v>
      </c>
      <c r="DR192" s="42">
        <f t="shared" ca="1" si="1503"/>
        <v>0.9998037275907935</v>
      </c>
      <c r="DS192" s="42">
        <f t="shared" ca="1" si="1504"/>
        <v>0.98162450344672281</v>
      </c>
      <c r="DT192" s="42">
        <f t="shared" ca="1" si="1505"/>
        <v>196.32490068934456</v>
      </c>
      <c r="DU192" s="42">
        <f t="shared" ca="1" si="1506"/>
        <v>0.98801719747153338</v>
      </c>
      <c r="DV192" s="42">
        <f t="shared" ca="1" si="1507"/>
        <v>100.77775414209637</v>
      </c>
      <c r="DW192" s="42">
        <f t="shared" ca="1" si="1508"/>
        <v>1.4506258177142946E-3</v>
      </c>
      <c r="DX192" s="42">
        <f t="shared" si="1509"/>
        <v>0</v>
      </c>
      <c r="DY192" s="92">
        <f t="shared" ca="1" si="1510"/>
        <v>0</v>
      </c>
      <c r="DZ192" s="42">
        <f t="shared" ca="1" si="1511"/>
        <v>0</v>
      </c>
      <c r="EA192" s="42">
        <f t="shared" ca="1" si="1401"/>
        <v>0</v>
      </c>
      <c r="EB192" s="42">
        <f t="shared" ca="1" si="1512"/>
        <v>0</v>
      </c>
      <c r="EC192" s="42">
        <f t="shared" ca="1" si="1513"/>
        <v>0</v>
      </c>
      <c r="ED192" s="42">
        <f t="shared" ca="1" si="1514"/>
        <v>0</v>
      </c>
      <c r="EE192" s="40"/>
      <c r="EF192" s="120">
        <f t="shared" ca="1" si="756"/>
        <v>101.99999999999997</v>
      </c>
      <c r="EG192" s="42">
        <f t="shared" ca="1" si="1404"/>
        <v>-12.155910968606804</v>
      </c>
      <c r="EH192" s="36">
        <f t="shared" ca="1" si="1405"/>
        <v>-12.155910968606804</v>
      </c>
      <c r="EI192" s="143">
        <f t="shared" ca="1" si="1406"/>
        <v>-12.156000000000001</v>
      </c>
      <c r="EJ192" s="143">
        <f t="shared" ca="1" si="1413"/>
        <v>-1.2530000000000001</v>
      </c>
      <c r="EK192" s="153">
        <f t="shared" ca="1" si="1407"/>
        <v>0</v>
      </c>
      <c r="EL192" s="143">
        <f t="shared" ca="1" si="1414"/>
        <v>0</v>
      </c>
    </row>
    <row r="193" spans="1:142" x14ac:dyDescent="0.3">
      <c r="A193" s="143">
        <f t="shared" ca="1" si="1408"/>
        <v>102.04999999999997</v>
      </c>
      <c r="B193" s="144">
        <f t="shared" ca="1" si="1409"/>
        <v>0.28399999999999997</v>
      </c>
      <c r="C193" s="145">
        <f t="shared" ca="1" si="1410"/>
        <v>45295.440972222219</v>
      </c>
      <c r="D193" s="144">
        <f t="shared" ca="1" si="1411"/>
        <v>2.5999999999999999E-2</v>
      </c>
      <c r="E193" s="144">
        <f t="shared" ca="1" si="1412"/>
        <v>0.04</v>
      </c>
      <c r="F193" s="36">
        <f t="shared" si="641"/>
        <v>75</v>
      </c>
      <c r="G193" s="35">
        <f t="shared" si="1289"/>
        <v>0.28399999999999997</v>
      </c>
      <c r="H193" s="197">
        <f t="shared" ca="1" si="1290"/>
        <v>169.23611111111677</v>
      </c>
      <c r="I193" s="41">
        <f t="shared" ca="1" si="1291"/>
        <v>0.46366057838662128</v>
      </c>
      <c r="J193" s="40">
        <f t="shared" ca="1" si="1415"/>
        <v>0.30797477571954307</v>
      </c>
      <c r="K193" s="40">
        <f t="shared" ca="1" si="1416"/>
        <v>2.5189751902588361E-2</v>
      </c>
      <c r="L193" s="40">
        <f t="shared" ca="1" si="1417"/>
        <v>0.19338305926412305</v>
      </c>
      <c r="M193" s="42">
        <f t="shared" ca="1" si="1418"/>
        <v>1.7228216829846223</v>
      </c>
      <c r="N193" s="42">
        <f t="shared" ca="1" si="1419"/>
        <v>1.5294386237204993</v>
      </c>
      <c r="O193" s="42">
        <f t="shared" ca="1" si="1420"/>
        <v>0.95753961179335345</v>
      </c>
      <c r="P193" s="42">
        <f t="shared" ca="1" si="1421"/>
        <v>4.2460388206646493E-2</v>
      </c>
      <c r="Q193" s="42">
        <f t="shared" ca="1" si="1422"/>
        <v>0.93692212819949838</v>
      </c>
      <c r="R193" s="42">
        <f t="shared" ca="1" si="1423"/>
        <v>6.3077871800501589E-2</v>
      </c>
      <c r="S193" s="42">
        <f t="shared" ca="1" si="1424"/>
        <v>0.98162450344672281</v>
      </c>
      <c r="T193" s="42">
        <f t="shared" ca="1" si="1425"/>
        <v>73.621837758504213</v>
      </c>
      <c r="U193" s="42">
        <f t="shared" ca="1" si="1426"/>
        <v>0.98801719747153338</v>
      </c>
      <c r="V193" s="42">
        <f t="shared" ca="1" si="1427"/>
        <v>100.82715500196996</v>
      </c>
      <c r="W193" s="42">
        <f t="shared" ca="1" si="1428"/>
        <v>9.0446586323600212E-2</v>
      </c>
      <c r="X193" s="42">
        <f t="shared" ca="1" si="1429"/>
        <v>0.36274870069289289</v>
      </c>
      <c r="Y193" s="42">
        <f t="shared" ca="1" si="1430"/>
        <v>-4.1951593759484269E-2</v>
      </c>
      <c r="Z193" s="42">
        <f t="shared" ca="1" si="1431"/>
        <v>4.5281963337731957E-3</v>
      </c>
      <c r="AA193" s="42">
        <f t="shared" ca="1" si="1309"/>
        <v>-5.0063661115865915E-3</v>
      </c>
      <c r="AB193" s="42">
        <f t="shared" ca="1" si="1432"/>
        <v>6.2096879933258096E-2</v>
      </c>
      <c r="AC193" s="42">
        <f t="shared" ca="1" si="1433"/>
        <v>-2.1531974605134282E-2</v>
      </c>
      <c r="AD193" s="42">
        <f t="shared" ca="1" si="1434"/>
        <v>-1618.6256496535536</v>
      </c>
      <c r="AF193" s="36">
        <f t="shared" si="664"/>
        <v>80</v>
      </c>
      <c r="AG193" s="35">
        <f t="shared" si="1312"/>
        <v>0.28399999999999997</v>
      </c>
      <c r="AH193" s="197">
        <f t="shared" ca="1" si="1313"/>
        <v>169.23611111111677</v>
      </c>
      <c r="AI193" s="41">
        <f t="shared" ca="1" si="1314"/>
        <v>0.46366057838662128</v>
      </c>
      <c r="AJ193" s="40">
        <f t="shared" ca="1" si="1435"/>
        <v>0.24343625458197185</v>
      </c>
      <c r="AK193" s="40">
        <f t="shared" ca="1" si="1436"/>
        <v>2.5189751902588361E-2</v>
      </c>
      <c r="AL193" s="40">
        <f t="shared" ca="1" si="1437"/>
        <v>0.19338305926412305</v>
      </c>
      <c r="AM193" s="42">
        <f t="shared" ca="1" si="1438"/>
        <v>1.3890875835078715</v>
      </c>
      <c r="AN193" s="42">
        <f t="shared" ca="1" si="1439"/>
        <v>1.1957045242437485</v>
      </c>
      <c r="AO193" s="42">
        <f t="shared" ca="1" si="1440"/>
        <v>0.91759694053028373</v>
      </c>
      <c r="AP193" s="42">
        <f t="shared" ca="1" si="1441"/>
        <v>8.2403059469716225E-2</v>
      </c>
      <c r="AQ193" s="42">
        <f t="shared" ca="1" si="1442"/>
        <v>0.8840940573942534</v>
      </c>
      <c r="AR193" s="42">
        <f t="shared" ca="1" si="1443"/>
        <v>0.1159059426057466</v>
      </c>
      <c r="AS193" s="42">
        <f t="shared" ca="1" si="1444"/>
        <v>0.98162450344672281</v>
      </c>
      <c r="AT193" s="42">
        <f t="shared" ca="1" si="1445"/>
        <v>78.529960275737821</v>
      </c>
      <c r="AU193" s="42">
        <f t="shared" ca="1" si="1446"/>
        <v>0.98801719747153338</v>
      </c>
      <c r="AV193" s="42">
        <f t="shared" ca="1" si="1447"/>
        <v>100.82715500196996</v>
      </c>
      <c r="AW193" s="42">
        <f t="shared" ca="1" si="1448"/>
        <v>0.15202342007979594</v>
      </c>
      <c r="AX193" s="42">
        <f t="shared" ca="1" si="1449"/>
        <v>0.79362301876160224</v>
      </c>
      <c r="AY193" s="42">
        <f t="shared" ca="1" si="1450"/>
        <v>-8.1415639880349167E-2</v>
      </c>
      <c r="AZ193" s="42">
        <f t="shared" ca="1" si="1451"/>
        <v>7.6110323389106437E-3</v>
      </c>
      <c r="BA193" s="42">
        <f t="shared" ca="1" si="1332"/>
        <v>-8.3519124490706899E-3</v>
      </c>
      <c r="BB193" s="42">
        <f t="shared" ca="1" si="1452"/>
        <v>0.10437298351939152</v>
      </c>
      <c r="BC193" s="42">
        <f t="shared" ca="1" si="1453"/>
        <v>-4.2202798820510055E-2</v>
      </c>
      <c r="BD193" s="42">
        <f t="shared" ca="1" si="1454"/>
        <v>2428.188490619199</v>
      </c>
      <c r="BE193" s="40"/>
      <c r="BF193" s="36">
        <f t="shared" si="687"/>
        <v>90</v>
      </c>
      <c r="BG193" s="35">
        <f t="shared" si="1335"/>
        <v>0.28399999999999997</v>
      </c>
      <c r="BH193" s="197">
        <f t="shared" ca="1" si="1336"/>
        <v>169.23611111111677</v>
      </c>
      <c r="BI193" s="41">
        <f t="shared" ca="1" si="1337"/>
        <v>0.46366057838662128</v>
      </c>
      <c r="BJ193" s="40">
        <f t="shared" ca="1" si="1455"/>
        <v>0.12565321892558839</v>
      </c>
      <c r="BK193" s="40">
        <f t="shared" ca="1" si="1456"/>
        <v>2.5189751902588361E-2</v>
      </c>
      <c r="BL193" s="40">
        <f t="shared" ca="1" si="1457"/>
        <v>0.19338305926412305</v>
      </c>
      <c r="BM193" s="42">
        <f t="shared" ca="1" si="1458"/>
        <v>0.78002163892833587</v>
      </c>
      <c r="BN193" s="42">
        <f t="shared" ca="1" si="1459"/>
        <v>0.58663857966421284</v>
      </c>
      <c r="BO193" s="42">
        <f t="shared" ca="1" si="1460"/>
        <v>0.78231093080597058</v>
      </c>
      <c r="BP193" s="42">
        <f t="shared" ca="1" si="1461"/>
        <v>0.21768906919402936</v>
      </c>
      <c r="BQ193" s="42">
        <f t="shared" ca="1" si="1462"/>
        <v>0.72127676681823616</v>
      </c>
      <c r="BR193" s="42">
        <f t="shared" ca="1" si="1463"/>
        <v>0.27872323318176384</v>
      </c>
      <c r="BS193" s="42">
        <f t="shared" ca="1" si="1464"/>
        <v>0.98162450344672281</v>
      </c>
      <c r="BT193" s="42">
        <f t="shared" ca="1" si="1465"/>
        <v>88.34620531020505</v>
      </c>
      <c r="BU193" s="42">
        <f t="shared" ca="1" si="1466"/>
        <v>0.98801719747153338</v>
      </c>
      <c r="BV193" s="42">
        <f t="shared" ca="1" si="1467"/>
        <v>100.82715500196996</v>
      </c>
      <c r="BW193" s="42">
        <f t="shared" ca="1" si="1468"/>
        <v>0.29430006237389378</v>
      </c>
      <c r="BX193" s="42">
        <f t="shared" ca="1" si="1469"/>
        <v>15.156120153304194</v>
      </c>
      <c r="BY193" s="42">
        <f t="shared" ca="1" si="1470"/>
        <v>0.77293665340626172</v>
      </c>
      <c r="BZ193" s="42">
        <f t="shared" ca="1" si="1471"/>
        <v>1.4734093542267398E-2</v>
      </c>
      <c r="CA193" s="42">
        <f t="shared" ca="1" si="1355"/>
        <v>-1.8318171836168146E-2</v>
      </c>
      <c r="CB193" s="42">
        <f t="shared" ca="1" si="1472"/>
        <v>0.20205423311607645</v>
      </c>
      <c r="CC193" s="42">
        <f t="shared" ca="1" si="1473"/>
        <v>0.29545409665416372</v>
      </c>
      <c r="CD193" s="42">
        <f t="shared" ca="1" si="1474"/>
        <v>-4178.0600766520965</v>
      </c>
      <c r="CE193" s="40"/>
      <c r="CF193" s="36">
        <f t="shared" si="710"/>
        <v>95</v>
      </c>
      <c r="CG193" s="35">
        <f t="shared" si="1358"/>
        <v>0.28399999999999997</v>
      </c>
      <c r="CH193" s="197">
        <f t="shared" ca="1" si="1359"/>
        <v>169.23611111111677</v>
      </c>
      <c r="CI193" s="41">
        <f t="shared" ca="1" si="1360"/>
        <v>0.46366057838662128</v>
      </c>
      <c r="CJ193" s="40">
        <f t="shared" ca="1" si="1475"/>
        <v>7.158599765531258E-2</v>
      </c>
      <c r="CK193" s="40">
        <f t="shared" ca="1" si="1476"/>
        <v>2.5189751902588361E-2</v>
      </c>
      <c r="CL193" s="40">
        <f t="shared" ca="1" si="1477"/>
        <v>0.19338305926412305</v>
      </c>
      <c r="CM193" s="42">
        <f t="shared" ca="1" si="1478"/>
        <v>0.50043550829198735</v>
      </c>
      <c r="CN193" s="42">
        <f t="shared" ca="1" si="1479"/>
        <v>0.30705244902786433</v>
      </c>
      <c r="CO193" s="42">
        <f t="shared" ca="1" si="1480"/>
        <v>0.69161577194567059</v>
      </c>
      <c r="CP193" s="42">
        <f t="shared" ca="1" si="1481"/>
        <v>0.30838422805432936</v>
      </c>
      <c r="CQ193" s="42">
        <f t="shared" ca="1" si="1482"/>
        <v>0.62059827469703577</v>
      </c>
      <c r="CR193" s="42">
        <f t="shared" ca="1" si="1483"/>
        <v>0.37940172530296423</v>
      </c>
      <c r="CS193" s="42">
        <f t="shared" ca="1" si="1484"/>
        <v>0.98162450344672281</v>
      </c>
      <c r="CT193" s="42">
        <f t="shared" ca="1" si="1485"/>
        <v>93.254327827438672</v>
      </c>
      <c r="CU193" s="42">
        <f t="shared" ca="1" si="1486"/>
        <v>0.98801719747153338</v>
      </c>
      <c r="CV193" s="42">
        <f t="shared" ca="1" si="1487"/>
        <v>100.82715500196996</v>
      </c>
      <c r="CW193" s="42">
        <f t="shared" ca="1" si="1488"/>
        <v>0.35198863804564851</v>
      </c>
      <c r="CX193" s="42">
        <f t="shared" ca="1" si="1489"/>
        <v>11.860175682033017</v>
      </c>
      <c r="CY193" s="42">
        <f t="shared" ca="1" si="1490"/>
        <v>0.68332827672487262</v>
      </c>
      <c r="CZ193" s="42">
        <f t="shared" ca="1" si="1491"/>
        <v>1.7622264422734065E-2</v>
      </c>
      <c r="DA193" s="42">
        <f t="shared" ca="1" si="1378"/>
        <v>-2.1651869726737785E-2</v>
      </c>
      <c r="DB193" s="42">
        <f t="shared" ca="1" si="1492"/>
        <v>0.24166081975045678</v>
      </c>
      <c r="DC193" s="42">
        <f t="shared" ca="1" si="1493"/>
        <v>0.26833648872149468</v>
      </c>
      <c r="DD193" s="42">
        <f t="shared" ca="1" si="1494"/>
        <v>3355.0878410165083</v>
      </c>
      <c r="DE193" s="40"/>
      <c r="DF193" s="36">
        <f t="shared" si="733"/>
        <v>200</v>
      </c>
      <c r="DG193" s="35">
        <f t="shared" si="1381"/>
        <v>0.28399999999999997</v>
      </c>
      <c r="DH193" s="197">
        <f t="shared" ca="1" si="1382"/>
        <v>169.23611111111677</v>
      </c>
      <c r="DI193" s="41">
        <f t="shared" ca="1" si="1383"/>
        <v>0.46366057838662128</v>
      </c>
      <c r="DJ193" s="40">
        <f t="shared" ca="1" si="1495"/>
        <v>-0.67285447729218317</v>
      </c>
      <c r="DK193" s="40">
        <f t="shared" ca="1" si="1496"/>
        <v>2.5189751902588361E-2</v>
      </c>
      <c r="DL193" s="40">
        <f t="shared" ca="1" si="1497"/>
        <v>0.19338305926412305</v>
      </c>
      <c r="DM193" s="42">
        <f t="shared" ca="1" si="1498"/>
        <v>-3.3491285526981596</v>
      </c>
      <c r="DN193" s="42">
        <f t="shared" ca="1" si="1499"/>
        <v>-3.5425116119622828</v>
      </c>
      <c r="DO193" s="42">
        <f t="shared" ca="1" si="1500"/>
        <v>4.0533086608172633E-4</v>
      </c>
      <c r="DP193" s="42">
        <f t="shared" ca="1" si="1501"/>
        <v>0.99959466913391826</v>
      </c>
      <c r="DQ193" s="42">
        <f t="shared" ca="1" si="1502"/>
        <v>1.9816798654252423E-4</v>
      </c>
      <c r="DR193" s="42">
        <f t="shared" ca="1" si="1503"/>
        <v>0.99980183201345751</v>
      </c>
      <c r="DS193" s="42">
        <f t="shared" ca="1" si="1504"/>
        <v>0.98162450344672281</v>
      </c>
      <c r="DT193" s="42">
        <f t="shared" ca="1" si="1505"/>
        <v>196.32490068934456</v>
      </c>
      <c r="DU193" s="42">
        <f t="shared" ca="1" si="1506"/>
        <v>0.98801719747153338</v>
      </c>
      <c r="DV193" s="42">
        <f t="shared" ca="1" si="1507"/>
        <v>100.82715500196996</v>
      </c>
      <c r="DW193" s="42">
        <f t="shared" ca="1" si="1508"/>
        <v>1.4629950148220116E-3</v>
      </c>
      <c r="DX193" s="42">
        <f t="shared" si="1509"/>
        <v>0</v>
      </c>
      <c r="DY193" s="92">
        <f t="shared" ca="1" si="1510"/>
        <v>0</v>
      </c>
      <c r="DZ193" s="42">
        <f t="shared" ca="1" si="1511"/>
        <v>0</v>
      </c>
      <c r="EA193" s="42">
        <f t="shared" ca="1" si="1401"/>
        <v>0</v>
      </c>
      <c r="EB193" s="42">
        <f t="shared" ca="1" si="1512"/>
        <v>0</v>
      </c>
      <c r="EC193" s="42">
        <f t="shared" ca="1" si="1513"/>
        <v>0</v>
      </c>
      <c r="ED193" s="42">
        <f t="shared" ca="1" si="1514"/>
        <v>0</v>
      </c>
      <c r="EE193" s="40"/>
      <c r="EF193" s="120">
        <f t="shared" ca="1" si="756"/>
        <v>102.04999999999997</v>
      </c>
      <c r="EG193" s="42">
        <f t="shared" ca="1" si="1404"/>
        <v>-13.409394669942685</v>
      </c>
      <c r="EH193" s="36">
        <f t="shared" ca="1" si="1405"/>
        <v>-13.409394669942685</v>
      </c>
      <c r="EI193" s="143">
        <f t="shared" ca="1" si="1406"/>
        <v>-13.409000000000001</v>
      </c>
      <c r="EJ193" s="143">
        <f t="shared" ca="1" si="1413"/>
        <v>-1.2530000000000001</v>
      </c>
      <c r="EK193" s="153">
        <f t="shared" ca="1" si="1407"/>
        <v>0</v>
      </c>
      <c r="EL193" s="143">
        <f t="shared" ca="1" si="1414"/>
        <v>0</v>
      </c>
    </row>
    <row r="194" spans="1:142" x14ac:dyDescent="0.3">
      <c r="A194" s="152">
        <v>4</v>
      </c>
      <c r="B194" s="149" t="e">
        <f ca="1">MATCH($A194,$EN$53:$EN$149,0)</f>
        <v>#N/A</v>
      </c>
      <c r="C194" s="150" t="str">
        <f ca="1">IF(ISNUMBER($B194),INDEX($EL$53:$EL$149,$B194),"")</f>
        <v/>
      </c>
      <c r="D194" s="163" t="str">
        <f ca="1">IF($C194="","",LEFT($C194,3))</f>
        <v/>
      </c>
      <c r="E194" s="150" t="str">
        <f ca="1">IF($C194="","",MID($C194,5,3))</f>
        <v/>
      </c>
      <c r="F194" s="150" t="str">
        <f ca="1">IF(ISNUMBER($B194),IF($E194="BEG",INDEX($EF$51:$EF$147,$B194),INDEX($EF$52:$EF$148,$B194)),"")</f>
        <v/>
      </c>
      <c r="G194" s="150" t="str">
        <f ca="1">IF($D194="MAX",MAX($EI195:$EI207),IF($D194="MIN",MIN($EI195:$EI207),""))</f>
        <v/>
      </c>
      <c r="H194" s="150" t="str">
        <f ca="1">IF($D194="B/E",MAX($EL196:$EL207),IF($G194="","",SUM($EK195:$EK207)))</f>
        <v/>
      </c>
      <c r="I194" s="150" t="str">
        <f ca="1">IF($D194="B/E",MATCH($H194,$EL196:$EL207,0)+1,IF($E194="END",$H194,IF($E194="BEG",14-$H194,IF($E194="MID",MATCH(1,$EK195:$EK207,0),""))))</f>
        <v/>
      </c>
      <c r="J194" s="150" t="str">
        <f ca="1">IF($I194="","",INDEX($EF195:$EF207,$I194))</f>
        <v/>
      </c>
      <c r="K194" s="150" t="str">
        <f ca="1">IF($D194="B/E",INDEX($EI195:$EI207,$I194-1),"")</f>
        <v/>
      </c>
      <c r="L194" s="150" t="str">
        <f ca="1">IF($D194="B/E",INDEX($EI195:$EI207,$I194),"")</f>
        <v/>
      </c>
      <c r="M194" s="150" t="str">
        <f ca="1">IF($E194="BEG",INDEX($EJ195:$EJ207,$I194-1),"")</f>
        <v/>
      </c>
      <c r="N194" s="150" t="str">
        <f ca="1">IF(OR($E194="BEG",$E194="MID"),INDEX($EJ195:$EJ207,$I194),"")</f>
        <v/>
      </c>
      <c r="O194" s="150" t="str">
        <f ca="1">IF(OR($E194="MID",$E194="END"),INDEX($EJ195:$EJ207,$I194+1),"")</f>
        <v/>
      </c>
      <c r="P194" s="150" t="str">
        <f ca="1">IF($E194="END",INDEX($EJ195:$EJ207,$I194+2),"")</f>
        <v/>
      </c>
      <c r="Q194" s="150" t="str">
        <f ca="1">IF($D194="B/E",IF($H194=1,$J194,IF($H194=2,$J194+$EF$48*(ABS($K194/($L194-$K194))-1),$J194)),"")</f>
        <v/>
      </c>
      <c r="R194" s="150" t="str">
        <f ca="1">IF($E194="BEG",$J194-IF(AND(ISNUMBER($M194),$M194&lt;&gt;0),$EF$48*(1-$N194/$M194),0),"")</f>
        <v/>
      </c>
      <c r="S194" s="150" t="str">
        <f ca="1">IF($E194="MID",$J194+$EF$48*(ABS($N194)-ABS($O194))/MAX(ABS($N194),ABS($O194))/2,"")</f>
        <v/>
      </c>
      <c r="T194" s="150" t="str">
        <f ca="1">IF($E194="END",$J194+IF(AND(ISNUMBER($P194),$P194&lt;&gt;0),$EF$48*(1-$O194/$P194),0),"")</f>
        <v/>
      </c>
      <c r="U194" s="150" t="str">
        <f ca="1">IF($D194="B/E",$Q194,IF($E194="BEG",$R194,IF($E194="MID",$S194,IF($E194="END",$T194,""))))</f>
        <v/>
      </c>
      <c r="V194" s="163" t="str">
        <f ca="1">IF(ISNUMBER($U194),$U194,IF($D194="","",$F194))</f>
        <v/>
      </c>
      <c r="W194" s="163" t="str">
        <f ca="1">IF(AND(ISNUMBER($V194),ISNUMBER($EI$240)),$EI$240,"")</f>
        <v/>
      </c>
      <c r="AH194" s="201"/>
      <c r="BH194" s="201"/>
      <c r="CH194" s="201"/>
      <c r="DH194" s="201"/>
      <c r="EF194" s="120"/>
      <c r="EG194" s="42"/>
      <c r="EH194" s="36"/>
      <c r="EI194" s="155" t="s">
        <v>109</v>
      </c>
      <c r="EJ194" s="155" t="s">
        <v>110</v>
      </c>
      <c r="EK194" s="155" t="s">
        <v>112</v>
      </c>
      <c r="EL194" s="155" t="s">
        <v>116</v>
      </c>
    </row>
    <row r="195" spans="1:142" x14ac:dyDescent="0.3">
      <c r="A195" s="146">
        <f ca="1">IF(AND($M$22=1,ISNUMBER($B$194)),$F$194-$EF$48,A$48)</f>
        <v>85.4</v>
      </c>
      <c r="B195" s="147">
        <f ca="1">IF(AND($M$22=2,ISNUMBER($B$194)),$F$194-$EF$48,B$48)</f>
        <v>0.28399999999999997</v>
      </c>
      <c r="C195" s="148">
        <f ca="1">IF(AND($M$22=3,ISNUMBER($B$194)),$F$194-$EF$48,C$48)</f>
        <v>45295.440972222219</v>
      </c>
      <c r="D195" s="147">
        <f ca="1">IF(AND($M$22=4,ISNUMBER($B$194)),$F$194-$EF$48,D$48)</f>
        <v>2.5999999999999999E-2</v>
      </c>
      <c r="E195" s="147">
        <f ca="1">IF(AND($M$22=5,ISNUMBER($B$194)),$F$194-$EF$48,E$48)</f>
        <v>0.04</v>
      </c>
      <c r="F195" s="36">
        <f t="shared" si="641"/>
        <v>75</v>
      </c>
      <c r="G195" s="35">
        <f t="shared" ref="G195:G207" si="1515">IF($M$22=2,$B195,G$48)</f>
        <v>0.28399999999999997</v>
      </c>
      <c r="H195" s="197">
        <f t="shared" ca="1" si="1290"/>
        <v>169.23611111111677</v>
      </c>
      <c r="I195" s="41">
        <f t="shared" ref="I195:I207" ca="1" si="1516">H195/365</f>
        <v>0.46366057838662128</v>
      </c>
      <c r="J195" s="40">
        <f t="shared" ref="J195:J197" ca="1" si="1517">LN($A195/F195)</f>
        <v>0.12985798725821379</v>
      </c>
      <c r="K195" s="40">
        <f t="shared" ref="K195:K197" ca="1" si="1518">($E195-$D195+POWER(G195,2)/2)*I195</f>
        <v>2.5189751902588361E-2</v>
      </c>
      <c r="L195" s="40">
        <f t="shared" ref="L195:L197" ca="1" si="1519">MAX(0,0.000000000001,G195*SQRT(I195))</f>
        <v>0.19338305926412305</v>
      </c>
      <c r="M195" s="42">
        <f t="shared" ref="M195:M197" ca="1" si="1520">(J195+K195)/L195</f>
        <v>0.80176484822818728</v>
      </c>
      <c r="N195" s="42">
        <f t="shared" ref="N195:N197" ca="1" si="1521">M195-L195</f>
        <v>0.60838178896406425</v>
      </c>
      <c r="O195" s="42">
        <f t="shared" ref="O195:O197" ca="1" si="1522">_xlfn.NORM.DIST(M195,0,1,TRUE)</f>
        <v>0.78865550202522283</v>
      </c>
      <c r="P195" s="42">
        <f t="shared" ref="P195:P197" ca="1" si="1523">_xlfn.NORM.DIST(-M195,0,1,TRUE)</f>
        <v>0.21134449797477717</v>
      </c>
      <c r="Q195" s="42">
        <f t="shared" ref="Q195:Q197" ca="1" si="1524">_xlfn.NORM.DIST(N195,0,1,TRUE)</f>
        <v>0.72853285658034883</v>
      </c>
      <c r="R195" s="42">
        <f t="shared" ref="R195:R197" ca="1" si="1525">_xlfn.NORM.DIST(-N195,0,1,TRUE)</f>
        <v>0.27146714341965111</v>
      </c>
      <c r="S195" s="42">
        <f t="shared" ref="S195:S197" ca="1" si="1526">EXP(-$E195*I195)</f>
        <v>0.98162450344672281</v>
      </c>
      <c r="T195" s="42">
        <f t="shared" ref="T195:T197" ca="1" si="1527">F195*S195</f>
        <v>73.621837758504213</v>
      </c>
      <c r="U195" s="42">
        <f t="shared" ref="U195:U197" ca="1" si="1528">EXP(-$D195*I195)</f>
        <v>0.98801719747153338</v>
      </c>
      <c r="V195" s="42">
        <f t="shared" ref="V195:V197" ca="1" si="1529">$A195*U195</f>
        <v>84.376668664068958</v>
      </c>
      <c r="W195" s="42">
        <f t="shared" ref="W195:W197" ca="1" si="1530">EXP(-1*POWER(M195,2)/2)/SQRT(2*PI())</f>
        <v>0.28928238154977365</v>
      </c>
      <c r="X195" s="42">
        <f t="shared" ref="X195:X197" ca="1" si="1531">IF($F$8=1,0,IF($F$8=2,$A195,IF($F$8=3,V195*O195-T195*Q195,T195*R195-V195*P195)))</f>
        <v>2.153365310014383</v>
      </c>
      <c r="Y195" s="42">
        <f t="shared" ref="Y195:Y197" ca="1" si="1532">IF($F$8=2,1,IF(OR($F$8=1,I195&lt;=0),0,IF($F$8=3,O195*U195,(O195-1)*U195)))</f>
        <v>-0.20881199859006749</v>
      </c>
      <c r="Z195" s="42">
        <f t="shared" ref="Z195:Z197" ca="1" si="1533">IF(OR($F$8&lt;=2,I195&lt;=0),0,W195*U195/($A195*L195))</f>
        <v>1.7306537635226424E-2</v>
      </c>
      <c r="AA195" s="42">
        <f t="shared" ref="AA195:AA207" ca="1" si="1534">IF(OR($F$8&lt;=2,I195&lt;=0),0,(IF($F$8=3,-1*$E195*F195*S195*Q195+$D195*$A195*U195*O195,$E195*F195*S195*R195-$D195*$A195*U195*P195)-(W195*$A195*G195*U195/(2*SQRT(I195))))/365)</f>
        <v>-1.302570857267049E-2</v>
      </c>
      <c r="AB195" s="42">
        <f t="shared" ref="AB195:AB197" ca="1" si="1535">IF(OR($F$8&lt;=2,I195&lt;=0),0,(W195*$A195*U195*SQRT(I195))/100)</f>
        <v>0.16620513797420244</v>
      </c>
      <c r="AC195" s="42">
        <f t="shared" ref="AC195:AC197" ca="1" si="1536">IF(OR($F$8&lt;=2,I195&lt;=0),0,IF($F$8=3,Q195,-1*R195)*F195*I195*S195/100)</f>
        <v>-9.2666785853637385E-2</v>
      </c>
      <c r="AD195" s="42">
        <f ca="1">IF($F$8=1,0,IF($M$28=1,X195-$G$8,OFFSET(V195,0,$M$28))*IF($M$30=1,SIGN($B$8),$T$8))</f>
        <v>-723.31734499280856</v>
      </c>
      <c r="AF195" s="36">
        <f t="shared" si="664"/>
        <v>80</v>
      </c>
      <c r="AG195" s="35">
        <f t="shared" ref="AG195:AG207" si="1537">IF($M$22=2,$B195,AG$48)</f>
        <v>0.28399999999999997</v>
      </c>
      <c r="AH195" s="197">
        <f t="shared" ca="1" si="1313"/>
        <v>169.23611111111677</v>
      </c>
      <c r="AI195" s="41">
        <f t="shared" ref="AI195:AI207" ca="1" si="1538">AH195/365</f>
        <v>0.46366057838662128</v>
      </c>
      <c r="AJ195" s="40">
        <f t="shared" ref="AJ195:AJ197" ca="1" si="1539">LN($A195/AF195)</f>
        <v>6.5319466120642669E-2</v>
      </c>
      <c r="AK195" s="40">
        <f t="shared" ref="AK195:AK197" ca="1" si="1540">($E195-$D195+POWER(AG195,2)/2)*AI195</f>
        <v>2.5189751902588361E-2</v>
      </c>
      <c r="AL195" s="40">
        <f t="shared" ref="AL195:AL197" ca="1" si="1541">MAX(0,0.000000000001,AG195*SQRT(AI195))</f>
        <v>0.19338305926412305</v>
      </c>
      <c r="AM195" s="42">
        <f t="shared" ref="AM195:AM197" ca="1" si="1542">(AJ195+AK195)/AL195</f>
        <v>0.46803074875143702</v>
      </c>
      <c r="AN195" s="42">
        <f t="shared" ref="AN195:AN197" ca="1" si="1543">AM195-AL195</f>
        <v>0.274647689487314</v>
      </c>
      <c r="AO195" s="42">
        <f t="shared" ref="AO195:AO197" ca="1" si="1544">_xlfn.NORM.DIST(AM195,0,1,TRUE)</f>
        <v>0.68011869960825055</v>
      </c>
      <c r="AP195" s="42">
        <f t="shared" ref="AP195:AP197" ca="1" si="1545">_xlfn.NORM.DIST(-AM195,0,1,TRUE)</f>
        <v>0.31988130039174945</v>
      </c>
      <c r="AQ195" s="42">
        <f t="shared" ref="AQ195:AQ197" ca="1" si="1546">_xlfn.NORM.DIST(AN195,0,1,TRUE)</f>
        <v>0.60820653811473968</v>
      </c>
      <c r="AR195" s="42">
        <f t="shared" ref="AR195:AR197" ca="1" si="1547">_xlfn.NORM.DIST(-AN195,0,1,TRUE)</f>
        <v>0.39179346188526026</v>
      </c>
      <c r="AS195" s="42">
        <f t="shared" ref="AS195:AS197" ca="1" si="1548">EXP(-$E195*AI195)</f>
        <v>0.98162450344672281</v>
      </c>
      <c r="AT195" s="42">
        <f t="shared" ref="AT195:AT197" ca="1" si="1549">AF195*AS195</f>
        <v>78.529960275737821</v>
      </c>
      <c r="AU195" s="42">
        <f t="shared" ref="AU195:AU197" ca="1" si="1550">EXP(-$D195*AI195)</f>
        <v>0.98801719747153338</v>
      </c>
      <c r="AV195" s="42">
        <f t="shared" ref="AV195:AV197" ca="1" si="1551">$A195*AU195</f>
        <v>84.376668664068958</v>
      </c>
      <c r="AW195" s="42">
        <f t="shared" ref="AW195:AW197" ca="1" si="1552">EXP(-1*POWER(AM195,2)/2)/SQRT(2*PI())</f>
        <v>0.3575554142041969</v>
      </c>
      <c r="AX195" s="42">
        <f t="shared" ref="AX195:AX197" ca="1" si="1553">IF($F$10=1,0,IF($F$10=2,$A195,IF($F$10=3,AV195*AO195-AT195*AQ195,AT195*AR195-AV195*AP195)))</f>
        <v>3.777006503157132</v>
      </c>
      <c r="AY195" s="42">
        <f t="shared" ref="AY195:AY197" ca="1" si="1554">IF($F$10=2,1,IF(OR($F$10=1,AI195&lt;=0),0,IF($F$10=3,AO195*AU195,(AO195-1)*AU195)))</f>
        <v>-0.31604822593660598</v>
      </c>
      <c r="AZ195" s="42">
        <f t="shared" ref="AZ195:AZ197" ca="1" si="1555">IF(OR($F$10&lt;=2,AI195&lt;=0),0,AW195*AU195/($A195*AL195))</f>
        <v>2.1391023537115056E-2</v>
      </c>
      <c r="BA195" s="42">
        <f t="shared" ref="BA195:BA207" ca="1" si="1556">IF(OR($F$10&lt;=2,AI195&lt;=0),0,(IF($F$10=3,-1*$E195*AF195*AS195*AQ195+$D195*$A195*AU195*AO195,$E195*AF195*AS195*AR195-$D195*$A195*AU195*AP195)-(AW195*$A195*AG195*AU195/(2*SQRT(AI195))))/365)</f>
        <v>-1.5787806699479157E-2</v>
      </c>
      <c r="BB195" s="42">
        <f t="shared" ref="BB195:BB197" ca="1" si="1557">IF(OR($F$10&lt;=2,AI195&lt;=0),0,(AW195*$A195*AU195*SQRT(AI195))/100)</f>
        <v>0.20543092404335248</v>
      </c>
      <c r="BC195" s="42">
        <f t="shared" ref="BC195:BC197" ca="1" si="1558">IF(OR($F$10&lt;=2,AI195&lt;=0),0,IF($F$10=3,AQ195,-1*AR195)*AF195*AI195*AS195/100)</f>
        <v>-0.14265688436163948</v>
      </c>
      <c r="BD195" s="42">
        <f ca="1">IF($F$10=1,0,IF($M$28=1,AX195-$G$10,OFFSET(AV195,0,$M$28))*IF($M$30=1,SIGN($B$10),$T$10))</f>
        <v>936.49674842143418</v>
      </c>
      <c r="BE195" s="40"/>
      <c r="BF195" s="36">
        <f t="shared" si="687"/>
        <v>90</v>
      </c>
      <c r="BG195" s="35">
        <f t="shared" ref="BG195:BG207" si="1559">IF($M$22=2,$B195,BG$48)</f>
        <v>0.28399999999999997</v>
      </c>
      <c r="BH195" s="197">
        <f t="shared" ca="1" si="1336"/>
        <v>169.23611111111677</v>
      </c>
      <c r="BI195" s="41">
        <f t="shared" ref="BI195:BI207" ca="1" si="1560">BH195/365</f>
        <v>0.46366057838662128</v>
      </c>
      <c r="BJ195" s="40">
        <f t="shared" ref="BJ195:BJ197" ca="1" si="1561">LN($A195/BF195)</f>
        <v>-5.2463569535740766E-2</v>
      </c>
      <c r="BK195" s="40">
        <f t="shared" ref="BK195:BK197" ca="1" si="1562">($E195-$D195+POWER(BG195,2)/2)*BI195</f>
        <v>2.5189751902588361E-2</v>
      </c>
      <c r="BL195" s="40">
        <f t="shared" ref="BL195:BL197" ca="1" si="1563">MAX(0,0.000000000001,BG195*SQRT(BI195))</f>
        <v>0.19338305926412305</v>
      </c>
      <c r="BM195" s="42">
        <f t="shared" ref="BM195:BM197" ca="1" si="1564">(BJ195+BK195)/BL195</f>
        <v>-0.14103519582809868</v>
      </c>
      <c r="BN195" s="42">
        <f t="shared" ref="BN195:BN197" ca="1" si="1565">BM195-BL195</f>
        <v>-0.33441825509222173</v>
      </c>
      <c r="BO195" s="42">
        <f t="shared" ref="BO195:BO197" ca="1" si="1566">_xlfn.NORM.DIST(BM195,0,1,TRUE)</f>
        <v>0.44392106898616246</v>
      </c>
      <c r="BP195" s="42">
        <f t="shared" ref="BP195:BP197" ca="1" si="1567">_xlfn.NORM.DIST(-BM195,0,1,TRUE)</f>
        <v>0.55607893101383754</v>
      </c>
      <c r="BQ195" s="42">
        <f t="shared" ref="BQ195:BQ197" ca="1" si="1568">_xlfn.NORM.DIST(BN195,0,1,TRUE)</f>
        <v>0.36903198301145818</v>
      </c>
      <c r="BR195" s="42">
        <f t="shared" ref="BR195:BR197" ca="1" si="1569">_xlfn.NORM.DIST(-BN195,0,1,TRUE)</f>
        <v>0.63096801698854188</v>
      </c>
      <c r="BS195" s="42">
        <f t="shared" ref="BS195:BS197" ca="1" si="1570">EXP(-$E195*BI195)</f>
        <v>0.98162450344672281</v>
      </c>
      <c r="BT195" s="42">
        <f t="shared" ref="BT195:BT197" ca="1" si="1571">BF195*BS195</f>
        <v>88.34620531020505</v>
      </c>
      <c r="BU195" s="42">
        <f t="shared" ref="BU195:BU197" ca="1" si="1572">EXP(-$D195*BI195)</f>
        <v>0.98801719747153338</v>
      </c>
      <c r="BV195" s="42">
        <f t="shared" ref="BV195:BV197" ca="1" si="1573">$A195*BU195</f>
        <v>84.376668664068958</v>
      </c>
      <c r="BW195" s="42">
        <f t="shared" ref="BW195:BW197" ca="1" si="1574">EXP(-1*POWER(BM195,2)/2)/SQRT(2*PI())</f>
        <v>0.39499427951128013</v>
      </c>
      <c r="BX195" s="42">
        <f t="shared" ref="BX195:BX197" ca="1" si="1575">IF($F$12=1,0,IF($F$12=2,$A195,IF($F$12=3,BV195*BO195-BT195*BQ195,BT195*BR195-BV195*BP195)))</f>
        <v>4.8540056136823466</v>
      </c>
      <c r="BY195" s="42">
        <f t="shared" ref="BY195:BY197" ca="1" si="1576">IF($F$12=2,1,IF(OR($F$12=1,BI195&lt;=0),0,IF($F$12=3,BO195*BU195,(BO195-1)*BU195)))</f>
        <v>0.43860165047827548</v>
      </c>
      <c r="BZ195" s="42">
        <f t="shared" ref="BZ195:BZ197" ca="1" si="1577">IF(OR($F$12&lt;=2,BI195&lt;=0),0,BW195*BU195/($A195*BL195))</f>
        <v>2.3630832017624698E-2</v>
      </c>
      <c r="CA195" s="42">
        <f t="shared" ref="CA195:CA207" ca="1" si="1578">IF(OR($F$12&lt;=2,BI195&lt;=0),0,(IF($F$12=3,-1*$E195*BF195*BS195*BQ195+$D195*$A195*BU195*BO195,$E195*BF195*BS195*BR195-$D195*$A195*BU195*BP195)-(BW195*$A195*BG195*BU195/(2*SQRT(BI195))))/365)</f>
        <v>-1.9946570164958009E-2</v>
      </c>
      <c r="CB195" s="42">
        <f t="shared" ref="CB195:CB197" ca="1" si="1579">IF(OR($F$12&lt;=2,BI195&lt;=0),0,(BW195*$A195*BU195*SQRT(BI195))/100)</f>
        <v>0.22694115823260852</v>
      </c>
      <c r="CC195" s="42">
        <f t="shared" ref="CC195:CC197" ca="1" si="1580">IF(OR($F$12&lt;=2,BI195&lt;=0),0,IF($F$12=3,BQ195,-1*BR195)*BF195*BI195*BS195/100)</f>
        <v>0.15116528937722107</v>
      </c>
      <c r="CD195" s="42">
        <f ca="1">IF($F$12=1,0,IF($M$28=1,BX195-$G$12,OFFSET(BV195,0,$M$28))*IF($M$30=1,SIGN($B$12),$T$12))</f>
        <v>972.99719315882658</v>
      </c>
      <c r="CE195" s="40"/>
      <c r="CF195" s="36">
        <f t="shared" si="710"/>
        <v>95</v>
      </c>
      <c r="CG195" s="35">
        <f t="shared" ref="CG195:CG207" si="1581">IF($M$22=2,$B195,CG$48)</f>
        <v>0.28399999999999997</v>
      </c>
      <c r="CH195" s="197">
        <f t="shared" ca="1" si="1359"/>
        <v>169.23611111111677</v>
      </c>
      <c r="CI195" s="41">
        <f t="shared" ref="CI195:CI207" ca="1" si="1582">CH195/365</f>
        <v>0.46366057838662128</v>
      </c>
      <c r="CJ195" s="40">
        <f t="shared" ref="CJ195:CJ197" ca="1" si="1583">LN($A195/CF195)</f>
        <v>-0.10653079080601656</v>
      </c>
      <c r="CK195" s="40">
        <f t="shared" ref="CK195:CK197" ca="1" si="1584">($E195-$D195+POWER(CG195,2)/2)*CI195</f>
        <v>2.5189751902588361E-2</v>
      </c>
      <c r="CL195" s="40">
        <f t="shared" ref="CL195:CL197" ca="1" si="1585">MAX(0,0.000000000001,CG195*SQRT(CI195))</f>
        <v>0.19338305926412305</v>
      </c>
      <c r="CM195" s="42">
        <f t="shared" ref="CM195:CM197" ca="1" si="1586">(CJ195+CK195)/CL195</f>
        <v>-0.42062132646444694</v>
      </c>
      <c r="CN195" s="42">
        <f t="shared" ref="CN195:CN197" ca="1" si="1587">CM195-CL195</f>
        <v>-0.61400438572856997</v>
      </c>
      <c r="CO195" s="42">
        <f t="shared" ref="CO195:CO197" ca="1" si="1588">_xlfn.NORM.DIST(CM195,0,1,TRUE)</f>
        <v>0.33701580910706302</v>
      </c>
      <c r="CP195" s="42">
        <f t="shared" ref="CP195:CP197" ca="1" si="1589">_xlfn.NORM.DIST(-CM195,0,1,TRUE)</f>
        <v>0.66298419089293703</v>
      </c>
      <c r="CQ195" s="42">
        <f t="shared" ref="CQ195:CQ197" ca="1" si="1590">_xlfn.NORM.DIST(CN195,0,1,TRUE)</f>
        <v>0.26960621453848232</v>
      </c>
      <c r="CR195" s="42">
        <f t="shared" ref="CR195:CR197" ca="1" si="1591">_xlfn.NORM.DIST(-CN195,0,1,TRUE)</f>
        <v>0.73039378546151768</v>
      </c>
      <c r="CS195" s="42">
        <f t="shared" ref="CS195:CS197" ca="1" si="1592">EXP(-$E195*CI195)</f>
        <v>0.98162450344672281</v>
      </c>
      <c r="CT195" s="42">
        <f t="shared" ref="CT195:CT197" ca="1" si="1593">CF195*CS195</f>
        <v>93.254327827438672</v>
      </c>
      <c r="CU195" s="42">
        <f t="shared" ref="CU195:CU197" ca="1" si="1594">EXP(-$D195*CI195)</f>
        <v>0.98801719747153338</v>
      </c>
      <c r="CV195" s="42">
        <f t="shared" ref="CV195:CV197" ca="1" si="1595">$A195*CU195</f>
        <v>84.376668664068958</v>
      </c>
      <c r="CW195" s="42">
        <f t="shared" ref="CW195:CW197" ca="1" si="1596">EXP(-1*POWER(CM195,2)/2)/SQRT(2*PI())</f>
        <v>0.365167296678925</v>
      </c>
      <c r="CX195" s="42">
        <f t="shared" ref="CX195:CX197" ca="1" si="1597">IF($F$14=1,0,IF($F$14=2,$A195,IF($F$14=3,CV195*CO195-CT195*CQ195,CT195*CR195-CV195*CP195)))</f>
        <v>3.2943249446933756</v>
      </c>
      <c r="CY195" s="42">
        <f t="shared" ref="CY195:CY197" ca="1" si="1598">IF($F$14=2,1,IF(OR($F$14=1,CI195&lt;=0),0,IF($F$14=3,CO195*CU195,(CO195-1)*CU195)))</f>
        <v>0.33297741521756169</v>
      </c>
      <c r="CZ195" s="42">
        <f t="shared" ref="CZ195:CZ197" ca="1" si="1599">IF(OR($F$14&lt;=2,CI195&lt;=0),0,CW195*CU195/($A195*CL195))</f>
        <v>2.1846410172893065E-2</v>
      </c>
      <c r="DA195" s="42">
        <f t="shared" ref="DA195:DA207" ca="1" si="1600">IF(OR($F$14&lt;=2,CI195&lt;=0),0,(IF($F$14=3,-1*$E195*CF195*CS195*CQ195+$D195*$A195*CU195*CO195,$E195*CF195*CS195*CR195-$D195*$A195*CU195*CP195)-(CW195*$A195*CG195*CU195/(2*SQRT(CI195))))/365)</f>
        <v>-1.8333614860733365E-2</v>
      </c>
      <c r="DB195" s="42">
        <f t="shared" ref="DB195:DB197" ca="1" si="1601">IF(OR($F$14&lt;=2,CI195&lt;=0),0,(CW195*$A195*CU195*SQRT(CI195))/100)</f>
        <v>0.20980427706325602</v>
      </c>
      <c r="DC195" s="42">
        <f t="shared" ref="DC195:DC197" ca="1" si="1602">IF(OR($F$14&lt;=2,CI195&lt;=0),0,IF($F$14=3,CQ195,-1*CR195)*CF195*CI195*CS195/100)</f>
        <v>0.11657329370125608</v>
      </c>
      <c r="DD195" s="42">
        <f ca="1">IF($F$14=1,0,IF($M$28=1,CX195-$G$14,OFFSET(CV195,0,$M$28))*IF($M$30=1,SIGN($B$14),$T$14))</f>
        <v>-927.83752765331235</v>
      </c>
      <c r="DE195" s="40"/>
      <c r="DF195" s="36">
        <f t="shared" si="733"/>
        <v>200</v>
      </c>
      <c r="DG195" s="35">
        <f t="shared" ref="DG195:DG207" si="1603">IF($M$22=2,$B195,DG$48)</f>
        <v>0.28399999999999997</v>
      </c>
      <c r="DH195" s="197">
        <f t="shared" ca="1" si="1382"/>
        <v>169.23611111111677</v>
      </c>
      <c r="DI195" s="41">
        <f t="shared" ref="DI195:DI207" ca="1" si="1604">DH195/365</f>
        <v>0.46366057838662128</v>
      </c>
      <c r="DJ195" s="40">
        <f t="shared" ref="DJ195:DJ197" ca="1" si="1605">LN($A195/DF195)</f>
        <v>-0.85097126575351234</v>
      </c>
      <c r="DK195" s="40">
        <f t="shared" ref="DK195:DK197" ca="1" si="1606">($E195-$D195+POWER(DG195,2)/2)*DI195</f>
        <v>2.5189751902588361E-2</v>
      </c>
      <c r="DL195" s="40">
        <f t="shared" ref="DL195:DL197" ca="1" si="1607">MAX(0,0.000000000001,DG195*SQRT(DI195))</f>
        <v>0.19338305926412305</v>
      </c>
      <c r="DM195" s="42">
        <f t="shared" ref="DM195:DM197" ca="1" si="1608">(DJ195+DK195)/DL195</f>
        <v>-4.2701853874545943</v>
      </c>
      <c r="DN195" s="42">
        <f t="shared" ref="DN195:DN197" ca="1" si="1609">DM195-DL195</f>
        <v>-4.4635684467187176</v>
      </c>
      <c r="DO195" s="42">
        <f t="shared" ref="DO195:DO197" ca="1" si="1610">_xlfn.NORM.DIST(DM195,0,1,TRUE)</f>
        <v>9.7655276518789487E-6</v>
      </c>
      <c r="DP195" s="42">
        <f t="shared" ref="DP195:DP197" ca="1" si="1611">_xlfn.NORM.DIST(-DM195,0,1,TRUE)</f>
        <v>0.99999023447234814</v>
      </c>
      <c r="DQ195" s="42">
        <f t="shared" ref="DQ195:DQ197" ca="1" si="1612">_xlfn.NORM.DIST(DN195,0,1,TRUE)</f>
        <v>4.0302916462733568E-6</v>
      </c>
      <c r="DR195" s="42">
        <f t="shared" ref="DR195:DR197" ca="1" si="1613">_xlfn.NORM.DIST(-DN195,0,1,TRUE)</f>
        <v>0.99999596970835369</v>
      </c>
      <c r="DS195" s="42">
        <f t="shared" ref="DS195:DS197" ca="1" si="1614">EXP(-$E195*DI195)</f>
        <v>0.98162450344672281</v>
      </c>
      <c r="DT195" s="42">
        <f t="shared" ref="DT195:DT197" ca="1" si="1615">DF195*DS195</f>
        <v>196.32490068934456</v>
      </c>
      <c r="DU195" s="42">
        <f t="shared" ref="DU195:DU197" ca="1" si="1616">EXP(-$D195*DI195)</f>
        <v>0.98801719747153338</v>
      </c>
      <c r="DV195" s="42">
        <f t="shared" ref="DV195:DV197" ca="1" si="1617">$A195*DU195</f>
        <v>84.376668664068958</v>
      </c>
      <c r="DW195" s="42">
        <f t="shared" ref="DW195:DW197" ca="1" si="1618">EXP(-1*POWER(DM195,2)/2)/SQRT(2*PI())</f>
        <v>4.3786712472282578E-5</v>
      </c>
      <c r="DX195" s="42">
        <f t="shared" ref="DX195:DX197" si="1619">IF($F$16=1,0,IF($F$16=2,$A195,IF($F$16=3,DV195*DO195-DT195*DQ195,DT195*DR195-DV195*DP195)))</f>
        <v>0</v>
      </c>
      <c r="DY195" s="92">
        <f t="shared" ref="DY195:DY197" ca="1" si="1620">IF($F$16=2,1,IF(OR($F$16=1,DI195&lt;=0),0,IF($F$16=3,DO195*DU195,(DO195-1)*DU195)))</f>
        <v>0</v>
      </c>
      <c r="DZ195" s="42">
        <f t="shared" ref="DZ195:DZ197" ca="1" si="1621">IF(OR($F$16&lt;=2,DI195&lt;=0),0,DW195*DU195/($A195*DL195))</f>
        <v>0</v>
      </c>
      <c r="EA195" s="42">
        <f t="shared" ref="EA195:EA207" ca="1" si="1622">IF(OR($F$16&lt;=2,DI195&lt;=0),0,(IF($F$16=3,-1*$E195*DF195*DS195*DQ195+$D195*$A195*DU195*DO195,$E195*DF195*DS195*DR195-$D195*$A195*DU195*DP195)-(DW195*$A195*DG195*DU195/(2*SQRT(DI195))))/365)</f>
        <v>0</v>
      </c>
      <c r="EB195" s="42">
        <f t="shared" ref="EB195:EB197" ca="1" si="1623">IF(OR($F$16&lt;=2,DI195&lt;=0),0,(DW195*$A195*DU195*SQRT(DI195))/100)</f>
        <v>0</v>
      </c>
      <c r="EC195" s="42">
        <f t="shared" ref="EC195:EC197" ca="1" si="1624">IF(OR($F$16&lt;=2,DI195&lt;=0),0,IF($F$16=3,DQ195,-1*DR195)*DF195*DI195*DS195/100)</f>
        <v>0</v>
      </c>
      <c r="ED195" s="42">
        <f ca="1">IF($F$16=1,0,IF($M$28=1,DX195-$G$16,OFFSET(DV195,0,$M$28))*IF($M$30=1,SIGN($B$16),$T$16))</f>
        <v>0</v>
      </c>
      <c r="EE195" s="40"/>
      <c r="EF195" s="120">
        <f t="shared" ca="1" si="756"/>
        <v>85.4</v>
      </c>
      <c r="EG195" s="42">
        <f t="shared" ref="EG195:EG207" ca="1" si="1625">AD195+BD195+CD195+DD195+ED195</f>
        <v>258.33906893413985</v>
      </c>
      <c r="EH195" s="36">
        <f t="shared" ref="EH195:EH207" ca="1" si="1626">IF($M$26=1,EG195,OFFSET($AD195,0,$M$26*26-52))</f>
        <v>258.33906893413985</v>
      </c>
      <c r="EI195" s="143">
        <f ca="1">ROUND(EH195,EI$49)</f>
        <v>258.339</v>
      </c>
      <c r="EJ195" s="88"/>
      <c r="EK195" s="153">
        <f ca="1">IF(EI195=$G$194,1,0)</f>
        <v>0</v>
      </c>
      <c r="EL195" s="88"/>
    </row>
    <row r="196" spans="1:142" x14ac:dyDescent="0.3">
      <c r="A196" s="128">
        <f ca="1">IF(AND($M$22=1,ISNUMBER($B$194)),$F$194,A$48)</f>
        <v>85.4</v>
      </c>
      <c r="B196" s="127">
        <f ca="1">IF(AND($M$22=2,ISNUMBER($B$194)),$F$194,B$48)</f>
        <v>0.28399999999999997</v>
      </c>
      <c r="C196" s="141">
        <f ca="1">IF(AND($M$22=3,ISNUMBER($B$194)),$F$194,C$48)</f>
        <v>45295.440972222219</v>
      </c>
      <c r="D196" s="127">
        <f ca="1">IF(AND($M$22=4,ISNUMBER($B$194)),$F$194,D$48)</f>
        <v>2.5999999999999999E-2</v>
      </c>
      <c r="E196" s="127">
        <f ca="1">IF(AND($M$22=5,ISNUMBER($B$194)),$F$194,E$48)</f>
        <v>0.04</v>
      </c>
      <c r="F196" s="36">
        <f t="shared" si="641"/>
        <v>75</v>
      </c>
      <c r="G196" s="35">
        <f t="shared" si="1515"/>
        <v>0.28399999999999997</v>
      </c>
      <c r="H196" s="197">
        <f t="shared" ca="1" si="1290"/>
        <v>169.23611111111677</v>
      </c>
      <c r="I196" s="41">
        <f t="shared" ca="1" si="1516"/>
        <v>0.46366057838662128</v>
      </c>
      <c r="J196" s="40">
        <f t="shared" ca="1" si="1517"/>
        <v>0.12985798725821379</v>
      </c>
      <c r="K196" s="40">
        <f t="shared" ca="1" si="1518"/>
        <v>2.5189751902588361E-2</v>
      </c>
      <c r="L196" s="40">
        <f t="shared" ca="1" si="1519"/>
        <v>0.19338305926412305</v>
      </c>
      <c r="M196" s="42">
        <f t="shared" ca="1" si="1520"/>
        <v>0.80176484822818728</v>
      </c>
      <c r="N196" s="42">
        <f t="shared" ca="1" si="1521"/>
        <v>0.60838178896406425</v>
      </c>
      <c r="O196" s="42">
        <f t="shared" ca="1" si="1522"/>
        <v>0.78865550202522283</v>
      </c>
      <c r="P196" s="42">
        <f t="shared" ca="1" si="1523"/>
        <v>0.21134449797477717</v>
      </c>
      <c r="Q196" s="42">
        <f t="shared" ca="1" si="1524"/>
        <v>0.72853285658034883</v>
      </c>
      <c r="R196" s="42">
        <f t="shared" ca="1" si="1525"/>
        <v>0.27146714341965111</v>
      </c>
      <c r="S196" s="42">
        <f t="shared" ca="1" si="1526"/>
        <v>0.98162450344672281</v>
      </c>
      <c r="T196" s="42">
        <f t="shared" ca="1" si="1527"/>
        <v>73.621837758504213</v>
      </c>
      <c r="U196" s="42">
        <f t="shared" ca="1" si="1528"/>
        <v>0.98801719747153338</v>
      </c>
      <c r="V196" s="42">
        <f t="shared" ca="1" si="1529"/>
        <v>84.376668664068958</v>
      </c>
      <c r="W196" s="42">
        <f t="shared" ca="1" si="1530"/>
        <v>0.28928238154977365</v>
      </c>
      <c r="X196" s="42">
        <f t="shared" ca="1" si="1531"/>
        <v>2.153365310014383</v>
      </c>
      <c r="Y196" s="42">
        <f t="shared" ca="1" si="1532"/>
        <v>-0.20881199859006749</v>
      </c>
      <c r="Z196" s="42">
        <f t="shared" ca="1" si="1533"/>
        <v>1.7306537635226424E-2</v>
      </c>
      <c r="AA196" s="42">
        <f t="shared" ca="1" si="1534"/>
        <v>-1.302570857267049E-2</v>
      </c>
      <c r="AB196" s="42">
        <f t="shared" ca="1" si="1535"/>
        <v>0.16620513797420244</v>
      </c>
      <c r="AC196" s="42">
        <f t="shared" ca="1" si="1536"/>
        <v>-9.2666785853637385E-2</v>
      </c>
      <c r="AD196" s="42">
        <f ca="1">IF($F$8=1,0,IF($M$28=1,X196-$G$8,OFFSET(V196,0,$M$28))*IF($M$30=1,SIGN($B$8),$T$8))</f>
        <v>-723.31734499280856</v>
      </c>
      <c r="AF196" s="36">
        <f t="shared" si="664"/>
        <v>80</v>
      </c>
      <c r="AG196" s="35">
        <f t="shared" si="1537"/>
        <v>0.28399999999999997</v>
      </c>
      <c r="AH196" s="197">
        <f t="shared" ca="1" si="1313"/>
        <v>169.23611111111677</v>
      </c>
      <c r="AI196" s="41">
        <f t="shared" ca="1" si="1538"/>
        <v>0.46366057838662128</v>
      </c>
      <c r="AJ196" s="40">
        <f t="shared" ca="1" si="1539"/>
        <v>6.5319466120642669E-2</v>
      </c>
      <c r="AK196" s="40">
        <f t="shared" ca="1" si="1540"/>
        <v>2.5189751902588361E-2</v>
      </c>
      <c r="AL196" s="40">
        <f t="shared" ca="1" si="1541"/>
        <v>0.19338305926412305</v>
      </c>
      <c r="AM196" s="42">
        <f t="shared" ca="1" si="1542"/>
        <v>0.46803074875143702</v>
      </c>
      <c r="AN196" s="42">
        <f t="shared" ca="1" si="1543"/>
        <v>0.274647689487314</v>
      </c>
      <c r="AO196" s="42">
        <f t="shared" ca="1" si="1544"/>
        <v>0.68011869960825055</v>
      </c>
      <c r="AP196" s="42">
        <f t="shared" ca="1" si="1545"/>
        <v>0.31988130039174945</v>
      </c>
      <c r="AQ196" s="42">
        <f t="shared" ca="1" si="1546"/>
        <v>0.60820653811473968</v>
      </c>
      <c r="AR196" s="42">
        <f t="shared" ca="1" si="1547"/>
        <v>0.39179346188526026</v>
      </c>
      <c r="AS196" s="42">
        <f t="shared" ca="1" si="1548"/>
        <v>0.98162450344672281</v>
      </c>
      <c r="AT196" s="42">
        <f t="shared" ca="1" si="1549"/>
        <v>78.529960275737821</v>
      </c>
      <c r="AU196" s="42">
        <f t="shared" ca="1" si="1550"/>
        <v>0.98801719747153338</v>
      </c>
      <c r="AV196" s="42">
        <f t="shared" ca="1" si="1551"/>
        <v>84.376668664068958</v>
      </c>
      <c r="AW196" s="42">
        <f t="shared" ca="1" si="1552"/>
        <v>0.3575554142041969</v>
      </c>
      <c r="AX196" s="42">
        <f t="shared" ca="1" si="1553"/>
        <v>3.777006503157132</v>
      </c>
      <c r="AY196" s="42">
        <f t="shared" ca="1" si="1554"/>
        <v>-0.31604822593660598</v>
      </c>
      <c r="AZ196" s="42">
        <f t="shared" ca="1" si="1555"/>
        <v>2.1391023537115056E-2</v>
      </c>
      <c r="BA196" s="42">
        <f t="shared" ca="1" si="1556"/>
        <v>-1.5787806699479157E-2</v>
      </c>
      <c r="BB196" s="42">
        <f t="shared" ca="1" si="1557"/>
        <v>0.20543092404335248</v>
      </c>
      <c r="BC196" s="42">
        <f t="shared" ca="1" si="1558"/>
        <v>-0.14265688436163948</v>
      </c>
      <c r="BD196" s="42">
        <f ca="1">IF($F$10=1,0,IF($M$28=1,AX196-$G$10,OFFSET(AV196,0,$M$28))*IF($M$30=1,SIGN($B$10),$T$10))</f>
        <v>936.49674842143418</v>
      </c>
      <c r="BE196" s="40"/>
      <c r="BF196" s="36">
        <f t="shared" si="687"/>
        <v>90</v>
      </c>
      <c r="BG196" s="35">
        <f t="shared" si="1559"/>
        <v>0.28399999999999997</v>
      </c>
      <c r="BH196" s="197">
        <f t="shared" ca="1" si="1336"/>
        <v>169.23611111111677</v>
      </c>
      <c r="BI196" s="41">
        <f t="shared" ca="1" si="1560"/>
        <v>0.46366057838662128</v>
      </c>
      <c r="BJ196" s="40">
        <f t="shared" ca="1" si="1561"/>
        <v>-5.2463569535740766E-2</v>
      </c>
      <c r="BK196" s="40">
        <f t="shared" ca="1" si="1562"/>
        <v>2.5189751902588361E-2</v>
      </c>
      <c r="BL196" s="40">
        <f t="shared" ca="1" si="1563"/>
        <v>0.19338305926412305</v>
      </c>
      <c r="BM196" s="42">
        <f t="shared" ca="1" si="1564"/>
        <v>-0.14103519582809868</v>
      </c>
      <c r="BN196" s="42">
        <f t="shared" ca="1" si="1565"/>
        <v>-0.33441825509222173</v>
      </c>
      <c r="BO196" s="42">
        <f t="shared" ca="1" si="1566"/>
        <v>0.44392106898616246</v>
      </c>
      <c r="BP196" s="42">
        <f t="shared" ca="1" si="1567"/>
        <v>0.55607893101383754</v>
      </c>
      <c r="BQ196" s="42">
        <f t="shared" ca="1" si="1568"/>
        <v>0.36903198301145818</v>
      </c>
      <c r="BR196" s="42">
        <f t="shared" ca="1" si="1569"/>
        <v>0.63096801698854188</v>
      </c>
      <c r="BS196" s="42">
        <f t="shared" ca="1" si="1570"/>
        <v>0.98162450344672281</v>
      </c>
      <c r="BT196" s="42">
        <f t="shared" ca="1" si="1571"/>
        <v>88.34620531020505</v>
      </c>
      <c r="BU196" s="42">
        <f t="shared" ca="1" si="1572"/>
        <v>0.98801719747153338</v>
      </c>
      <c r="BV196" s="42">
        <f t="shared" ca="1" si="1573"/>
        <v>84.376668664068958</v>
      </c>
      <c r="BW196" s="42">
        <f t="shared" ca="1" si="1574"/>
        <v>0.39499427951128013</v>
      </c>
      <c r="BX196" s="42">
        <f t="shared" ca="1" si="1575"/>
        <v>4.8540056136823466</v>
      </c>
      <c r="BY196" s="42">
        <f t="shared" ca="1" si="1576"/>
        <v>0.43860165047827548</v>
      </c>
      <c r="BZ196" s="42">
        <f t="shared" ca="1" si="1577"/>
        <v>2.3630832017624698E-2</v>
      </c>
      <c r="CA196" s="42">
        <f t="shared" ca="1" si="1578"/>
        <v>-1.9946570164958009E-2</v>
      </c>
      <c r="CB196" s="42">
        <f t="shared" ca="1" si="1579"/>
        <v>0.22694115823260852</v>
      </c>
      <c r="CC196" s="42">
        <f t="shared" ca="1" si="1580"/>
        <v>0.15116528937722107</v>
      </c>
      <c r="CD196" s="42">
        <f ca="1">IF($F$12=1,0,IF($M$28=1,BX196-$G$12,OFFSET(BV196,0,$M$28))*IF($M$30=1,SIGN($B$12),$T$12))</f>
        <v>972.99719315882658</v>
      </c>
      <c r="CE196" s="40"/>
      <c r="CF196" s="36">
        <f t="shared" si="710"/>
        <v>95</v>
      </c>
      <c r="CG196" s="35">
        <f t="shared" si="1581"/>
        <v>0.28399999999999997</v>
      </c>
      <c r="CH196" s="197">
        <f t="shared" ca="1" si="1359"/>
        <v>169.23611111111677</v>
      </c>
      <c r="CI196" s="41">
        <f t="shared" ca="1" si="1582"/>
        <v>0.46366057838662128</v>
      </c>
      <c r="CJ196" s="40">
        <f t="shared" ca="1" si="1583"/>
        <v>-0.10653079080601656</v>
      </c>
      <c r="CK196" s="40">
        <f t="shared" ca="1" si="1584"/>
        <v>2.5189751902588361E-2</v>
      </c>
      <c r="CL196" s="40">
        <f t="shared" ca="1" si="1585"/>
        <v>0.19338305926412305</v>
      </c>
      <c r="CM196" s="42">
        <f t="shared" ca="1" si="1586"/>
        <v>-0.42062132646444694</v>
      </c>
      <c r="CN196" s="42">
        <f t="shared" ca="1" si="1587"/>
        <v>-0.61400438572856997</v>
      </c>
      <c r="CO196" s="42">
        <f t="shared" ca="1" si="1588"/>
        <v>0.33701580910706302</v>
      </c>
      <c r="CP196" s="42">
        <f t="shared" ca="1" si="1589"/>
        <v>0.66298419089293703</v>
      </c>
      <c r="CQ196" s="42">
        <f t="shared" ca="1" si="1590"/>
        <v>0.26960621453848232</v>
      </c>
      <c r="CR196" s="42">
        <f t="shared" ca="1" si="1591"/>
        <v>0.73039378546151768</v>
      </c>
      <c r="CS196" s="42">
        <f t="shared" ca="1" si="1592"/>
        <v>0.98162450344672281</v>
      </c>
      <c r="CT196" s="42">
        <f t="shared" ca="1" si="1593"/>
        <v>93.254327827438672</v>
      </c>
      <c r="CU196" s="42">
        <f t="shared" ca="1" si="1594"/>
        <v>0.98801719747153338</v>
      </c>
      <c r="CV196" s="42">
        <f t="shared" ca="1" si="1595"/>
        <v>84.376668664068958</v>
      </c>
      <c r="CW196" s="42">
        <f t="shared" ca="1" si="1596"/>
        <v>0.365167296678925</v>
      </c>
      <c r="CX196" s="42">
        <f t="shared" ca="1" si="1597"/>
        <v>3.2943249446933756</v>
      </c>
      <c r="CY196" s="42">
        <f t="shared" ca="1" si="1598"/>
        <v>0.33297741521756169</v>
      </c>
      <c r="CZ196" s="42">
        <f t="shared" ca="1" si="1599"/>
        <v>2.1846410172893065E-2</v>
      </c>
      <c r="DA196" s="42">
        <f t="shared" ca="1" si="1600"/>
        <v>-1.8333614860733365E-2</v>
      </c>
      <c r="DB196" s="42">
        <f t="shared" ca="1" si="1601"/>
        <v>0.20980427706325602</v>
      </c>
      <c r="DC196" s="42">
        <f t="shared" ca="1" si="1602"/>
        <v>0.11657329370125608</v>
      </c>
      <c r="DD196" s="42">
        <f ca="1">IF($F$14=1,0,IF($M$28=1,CX196-$G$14,OFFSET(CV196,0,$M$28))*IF($M$30=1,SIGN($B$14),$T$14))</f>
        <v>-927.83752765331235</v>
      </c>
      <c r="DE196" s="40"/>
      <c r="DF196" s="36">
        <f t="shared" si="733"/>
        <v>200</v>
      </c>
      <c r="DG196" s="35">
        <f t="shared" si="1603"/>
        <v>0.28399999999999997</v>
      </c>
      <c r="DH196" s="197">
        <f t="shared" ca="1" si="1382"/>
        <v>169.23611111111677</v>
      </c>
      <c r="DI196" s="41">
        <f t="shared" ca="1" si="1604"/>
        <v>0.46366057838662128</v>
      </c>
      <c r="DJ196" s="40">
        <f t="shared" ca="1" si="1605"/>
        <v>-0.85097126575351234</v>
      </c>
      <c r="DK196" s="40">
        <f t="shared" ca="1" si="1606"/>
        <v>2.5189751902588361E-2</v>
      </c>
      <c r="DL196" s="40">
        <f t="shared" ca="1" si="1607"/>
        <v>0.19338305926412305</v>
      </c>
      <c r="DM196" s="42">
        <f t="shared" ca="1" si="1608"/>
        <v>-4.2701853874545943</v>
      </c>
      <c r="DN196" s="42">
        <f t="shared" ca="1" si="1609"/>
        <v>-4.4635684467187176</v>
      </c>
      <c r="DO196" s="42">
        <f t="shared" ca="1" si="1610"/>
        <v>9.7655276518789487E-6</v>
      </c>
      <c r="DP196" s="42">
        <f t="shared" ca="1" si="1611"/>
        <v>0.99999023447234814</v>
      </c>
      <c r="DQ196" s="42">
        <f t="shared" ca="1" si="1612"/>
        <v>4.0302916462733568E-6</v>
      </c>
      <c r="DR196" s="42">
        <f t="shared" ca="1" si="1613"/>
        <v>0.99999596970835369</v>
      </c>
      <c r="DS196" s="42">
        <f t="shared" ca="1" si="1614"/>
        <v>0.98162450344672281</v>
      </c>
      <c r="DT196" s="42">
        <f t="shared" ca="1" si="1615"/>
        <v>196.32490068934456</v>
      </c>
      <c r="DU196" s="42">
        <f t="shared" ca="1" si="1616"/>
        <v>0.98801719747153338</v>
      </c>
      <c r="DV196" s="42">
        <f t="shared" ca="1" si="1617"/>
        <v>84.376668664068958</v>
      </c>
      <c r="DW196" s="42">
        <f t="shared" ca="1" si="1618"/>
        <v>4.3786712472282578E-5</v>
      </c>
      <c r="DX196" s="42">
        <f t="shared" si="1619"/>
        <v>0</v>
      </c>
      <c r="DY196" s="92">
        <f t="shared" ca="1" si="1620"/>
        <v>0</v>
      </c>
      <c r="DZ196" s="42">
        <f t="shared" ca="1" si="1621"/>
        <v>0</v>
      </c>
      <c r="EA196" s="42">
        <f t="shared" ca="1" si="1622"/>
        <v>0</v>
      </c>
      <c r="EB196" s="42">
        <f t="shared" ca="1" si="1623"/>
        <v>0</v>
      </c>
      <c r="EC196" s="42">
        <f t="shared" ca="1" si="1624"/>
        <v>0</v>
      </c>
      <c r="ED196" s="42">
        <f ca="1">IF($F$16=1,0,IF($M$28=1,DX196-$G$16,OFFSET(DV196,0,$M$28))*IF($M$30=1,SIGN($B$16),$T$16))</f>
        <v>0</v>
      </c>
      <c r="EE196" s="40"/>
      <c r="EF196" s="120">
        <f t="shared" ca="1" si="756"/>
        <v>85.4</v>
      </c>
      <c r="EG196" s="42">
        <f t="shared" ca="1" si="1625"/>
        <v>258.33906893413985</v>
      </c>
      <c r="EH196" s="36">
        <f t="shared" ca="1" si="1626"/>
        <v>258.33906893413985</v>
      </c>
      <c r="EI196" s="143">
        <f t="shared" ref="EI196:EI207" ca="1" si="1627">ROUND(EH196,EI$49)</f>
        <v>258.339</v>
      </c>
      <c r="EJ196" s="143">
        <f ca="1">EI196-EI195</f>
        <v>0</v>
      </c>
      <c r="EK196" s="153">
        <f t="shared" ref="EK196:EK207" ca="1" si="1628">IF(EI196=$G$194,1,0)</f>
        <v>0</v>
      </c>
      <c r="EL196" s="143">
        <f t="shared" ref="EL196:EL207" ca="1" si="1629">IF(EI195=0,IF(EI196&lt;&gt;0,2,0),IF(EI196=0,IF(EI195&lt;&gt;0,1,0),IF(SIGN(EI196)=-SIGN(EI195),2,0)))</f>
        <v>0</v>
      </c>
    </row>
    <row r="197" spans="1:142" x14ac:dyDescent="0.3">
      <c r="A197" s="143">
        <f t="shared" ref="A197:A207" ca="1" si="1630">IF(AND($M$22=1,ISNUMBER($B$194)),A196+$EF$48,A$48)</f>
        <v>85.4</v>
      </c>
      <c r="B197" s="144">
        <f t="shared" ref="B197:B207" ca="1" si="1631">IF(AND($M$22=2,ISNUMBER($B$194)),B196+$EF$48,B$48)</f>
        <v>0.28399999999999997</v>
      </c>
      <c r="C197" s="145">
        <f t="shared" ref="C197:C207" ca="1" si="1632">IF(AND($M$22=3,ISNUMBER($B$194)),C196+$EF$48,C$48)</f>
        <v>45295.440972222219</v>
      </c>
      <c r="D197" s="144">
        <f t="shared" ref="D197:D207" ca="1" si="1633">IF(AND($M$22=4,ISNUMBER($B$194)),D196+$EF$48,D$48)</f>
        <v>2.5999999999999999E-2</v>
      </c>
      <c r="E197" s="144">
        <f t="shared" ref="E197:E207" ca="1" si="1634">IF(AND($M$22=5,ISNUMBER($B$194)),E196+$EF$48,E$48)</f>
        <v>0.04</v>
      </c>
      <c r="F197" s="36">
        <f t="shared" si="641"/>
        <v>75</v>
      </c>
      <c r="G197" s="35">
        <f t="shared" si="1515"/>
        <v>0.28399999999999997</v>
      </c>
      <c r="H197" s="197">
        <f t="shared" ca="1" si="1290"/>
        <v>169.23611111111677</v>
      </c>
      <c r="I197" s="41">
        <f t="shared" ca="1" si="1516"/>
        <v>0.46366057838662128</v>
      </c>
      <c r="J197" s="40">
        <f t="shared" ca="1" si="1517"/>
        <v>0.12985798725821379</v>
      </c>
      <c r="K197" s="40">
        <f t="shared" ca="1" si="1518"/>
        <v>2.5189751902588361E-2</v>
      </c>
      <c r="L197" s="40">
        <f t="shared" ca="1" si="1519"/>
        <v>0.19338305926412305</v>
      </c>
      <c r="M197" s="42">
        <f t="shared" ca="1" si="1520"/>
        <v>0.80176484822818728</v>
      </c>
      <c r="N197" s="42">
        <f t="shared" ca="1" si="1521"/>
        <v>0.60838178896406425</v>
      </c>
      <c r="O197" s="42">
        <f t="shared" ca="1" si="1522"/>
        <v>0.78865550202522283</v>
      </c>
      <c r="P197" s="42">
        <f t="shared" ca="1" si="1523"/>
        <v>0.21134449797477717</v>
      </c>
      <c r="Q197" s="42">
        <f t="shared" ca="1" si="1524"/>
        <v>0.72853285658034883</v>
      </c>
      <c r="R197" s="42">
        <f t="shared" ca="1" si="1525"/>
        <v>0.27146714341965111</v>
      </c>
      <c r="S197" s="42">
        <f t="shared" ca="1" si="1526"/>
        <v>0.98162450344672281</v>
      </c>
      <c r="T197" s="42">
        <f t="shared" ca="1" si="1527"/>
        <v>73.621837758504213</v>
      </c>
      <c r="U197" s="42">
        <f t="shared" ca="1" si="1528"/>
        <v>0.98801719747153338</v>
      </c>
      <c r="V197" s="42">
        <f t="shared" ca="1" si="1529"/>
        <v>84.376668664068958</v>
      </c>
      <c r="W197" s="42">
        <f t="shared" ca="1" si="1530"/>
        <v>0.28928238154977365</v>
      </c>
      <c r="X197" s="42">
        <f t="shared" ca="1" si="1531"/>
        <v>2.153365310014383</v>
      </c>
      <c r="Y197" s="42">
        <f t="shared" ca="1" si="1532"/>
        <v>-0.20881199859006749</v>
      </c>
      <c r="Z197" s="42">
        <f t="shared" ca="1" si="1533"/>
        <v>1.7306537635226424E-2</v>
      </c>
      <c r="AA197" s="42">
        <f t="shared" ca="1" si="1534"/>
        <v>-1.302570857267049E-2</v>
      </c>
      <c r="AB197" s="42">
        <f t="shared" ca="1" si="1535"/>
        <v>0.16620513797420244</v>
      </c>
      <c r="AC197" s="42">
        <f t="shared" ca="1" si="1536"/>
        <v>-9.2666785853637385E-2</v>
      </c>
      <c r="AD197" s="42">
        <f ca="1">IF($F$8=1,0,IF($M$28=1,X197-$G$8,OFFSET(V197,0,$M$28))*IF($M$30=1,SIGN($B$8),$T$8))</f>
        <v>-723.31734499280856</v>
      </c>
      <c r="AF197" s="36">
        <f t="shared" si="664"/>
        <v>80</v>
      </c>
      <c r="AG197" s="35">
        <f t="shared" si="1537"/>
        <v>0.28399999999999997</v>
      </c>
      <c r="AH197" s="197">
        <f t="shared" ca="1" si="1313"/>
        <v>169.23611111111677</v>
      </c>
      <c r="AI197" s="41">
        <f t="shared" ca="1" si="1538"/>
        <v>0.46366057838662128</v>
      </c>
      <c r="AJ197" s="40">
        <f t="shared" ca="1" si="1539"/>
        <v>6.5319466120642669E-2</v>
      </c>
      <c r="AK197" s="40">
        <f t="shared" ca="1" si="1540"/>
        <v>2.5189751902588361E-2</v>
      </c>
      <c r="AL197" s="40">
        <f t="shared" ca="1" si="1541"/>
        <v>0.19338305926412305</v>
      </c>
      <c r="AM197" s="42">
        <f t="shared" ca="1" si="1542"/>
        <v>0.46803074875143702</v>
      </c>
      <c r="AN197" s="42">
        <f t="shared" ca="1" si="1543"/>
        <v>0.274647689487314</v>
      </c>
      <c r="AO197" s="42">
        <f t="shared" ca="1" si="1544"/>
        <v>0.68011869960825055</v>
      </c>
      <c r="AP197" s="42">
        <f t="shared" ca="1" si="1545"/>
        <v>0.31988130039174945</v>
      </c>
      <c r="AQ197" s="42">
        <f t="shared" ca="1" si="1546"/>
        <v>0.60820653811473968</v>
      </c>
      <c r="AR197" s="42">
        <f t="shared" ca="1" si="1547"/>
        <v>0.39179346188526026</v>
      </c>
      <c r="AS197" s="42">
        <f t="shared" ca="1" si="1548"/>
        <v>0.98162450344672281</v>
      </c>
      <c r="AT197" s="42">
        <f t="shared" ca="1" si="1549"/>
        <v>78.529960275737821</v>
      </c>
      <c r="AU197" s="42">
        <f t="shared" ca="1" si="1550"/>
        <v>0.98801719747153338</v>
      </c>
      <c r="AV197" s="42">
        <f t="shared" ca="1" si="1551"/>
        <v>84.376668664068958</v>
      </c>
      <c r="AW197" s="42">
        <f t="shared" ca="1" si="1552"/>
        <v>0.3575554142041969</v>
      </c>
      <c r="AX197" s="42">
        <f t="shared" ca="1" si="1553"/>
        <v>3.777006503157132</v>
      </c>
      <c r="AY197" s="42">
        <f t="shared" ca="1" si="1554"/>
        <v>-0.31604822593660598</v>
      </c>
      <c r="AZ197" s="42">
        <f t="shared" ca="1" si="1555"/>
        <v>2.1391023537115056E-2</v>
      </c>
      <c r="BA197" s="42">
        <f t="shared" ca="1" si="1556"/>
        <v>-1.5787806699479157E-2</v>
      </c>
      <c r="BB197" s="42">
        <f t="shared" ca="1" si="1557"/>
        <v>0.20543092404335248</v>
      </c>
      <c r="BC197" s="42">
        <f t="shared" ca="1" si="1558"/>
        <v>-0.14265688436163948</v>
      </c>
      <c r="BD197" s="42">
        <f ca="1">IF($F$10=1,0,IF($M$28=1,AX197-$G$10,OFFSET(AV197,0,$M$28))*IF($M$30=1,SIGN($B$10),$T$10))</f>
        <v>936.49674842143418</v>
      </c>
      <c r="BE197" s="40"/>
      <c r="BF197" s="36">
        <f t="shared" si="687"/>
        <v>90</v>
      </c>
      <c r="BG197" s="35">
        <f t="shared" si="1559"/>
        <v>0.28399999999999997</v>
      </c>
      <c r="BH197" s="197">
        <f t="shared" ca="1" si="1336"/>
        <v>169.23611111111677</v>
      </c>
      <c r="BI197" s="41">
        <f t="shared" ca="1" si="1560"/>
        <v>0.46366057838662128</v>
      </c>
      <c r="BJ197" s="40">
        <f t="shared" ca="1" si="1561"/>
        <v>-5.2463569535740766E-2</v>
      </c>
      <c r="BK197" s="40">
        <f t="shared" ca="1" si="1562"/>
        <v>2.5189751902588361E-2</v>
      </c>
      <c r="BL197" s="40">
        <f t="shared" ca="1" si="1563"/>
        <v>0.19338305926412305</v>
      </c>
      <c r="BM197" s="42">
        <f t="shared" ca="1" si="1564"/>
        <v>-0.14103519582809868</v>
      </c>
      <c r="BN197" s="42">
        <f t="shared" ca="1" si="1565"/>
        <v>-0.33441825509222173</v>
      </c>
      <c r="BO197" s="42">
        <f t="shared" ca="1" si="1566"/>
        <v>0.44392106898616246</v>
      </c>
      <c r="BP197" s="42">
        <f t="shared" ca="1" si="1567"/>
        <v>0.55607893101383754</v>
      </c>
      <c r="BQ197" s="42">
        <f t="shared" ca="1" si="1568"/>
        <v>0.36903198301145818</v>
      </c>
      <c r="BR197" s="42">
        <f t="shared" ca="1" si="1569"/>
        <v>0.63096801698854188</v>
      </c>
      <c r="BS197" s="42">
        <f t="shared" ca="1" si="1570"/>
        <v>0.98162450344672281</v>
      </c>
      <c r="BT197" s="42">
        <f t="shared" ca="1" si="1571"/>
        <v>88.34620531020505</v>
      </c>
      <c r="BU197" s="42">
        <f t="shared" ca="1" si="1572"/>
        <v>0.98801719747153338</v>
      </c>
      <c r="BV197" s="42">
        <f t="shared" ca="1" si="1573"/>
        <v>84.376668664068958</v>
      </c>
      <c r="BW197" s="42">
        <f t="shared" ca="1" si="1574"/>
        <v>0.39499427951128013</v>
      </c>
      <c r="BX197" s="42">
        <f t="shared" ca="1" si="1575"/>
        <v>4.8540056136823466</v>
      </c>
      <c r="BY197" s="42">
        <f t="shared" ca="1" si="1576"/>
        <v>0.43860165047827548</v>
      </c>
      <c r="BZ197" s="42">
        <f t="shared" ca="1" si="1577"/>
        <v>2.3630832017624698E-2</v>
      </c>
      <c r="CA197" s="42">
        <f t="shared" ca="1" si="1578"/>
        <v>-1.9946570164958009E-2</v>
      </c>
      <c r="CB197" s="42">
        <f t="shared" ca="1" si="1579"/>
        <v>0.22694115823260852</v>
      </c>
      <c r="CC197" s="42">
        <f t="shared" ca="1" si="1580"/>
        <v>0.15116528937722107</v>
      </c>
      <c r="CD197" s="42">
        <f ca="1">IF($F$12=1,0,IF($M$28=1,BX197-$G$12,OFFSET(BV197,0,$M$28))*IF($M$30=1,SIGN($B$12),$T$12))</f>
        <v>972.99719315882658</v>
      </c>
      <c r="CE197" s="40"/>
      <c r="CF197" s="36">
        <f t="shared" si="710"/>
        <v>95</v>
      </c>
      <c r="CG197" s="35">
        <f t="shared" si="1581"/>
        <v>0.28399999999999997</v>
      </c>
      <c r="CH197" s="197">
        <f t="shared" ca="1" si="1359"/>
        <v>169.23611111111677</v>
      </c>
      <c r="CI197" s="41">
        <f t="shared" ca="1" si="1582"/>
        <v>0.46366057838662128</v>
      </c>
      <c r="CJ197" s="40">
        <f t="shared" ca="1" si="1583"/>
        <v>-0.10653079080601656</v>
      </c>
      <c r="CK197" s="40">
        <f t="shared" ca="1" si="1584"/>
        <v>2.5189751902588361E-2</v>
      </c>
      <c r="CL197" s="40">
        <f t="shared" ca="1" si="1585"/>
        <v>0.19338305926412305</v>
      </c>
      <c r="CM197" s="42">
        <f t="shared" ca="1" si="1586"/>
        <v>-0.42062132646444694</v>
      </c>
      <c r="CN197" s="42">
        <f t="shared" ca="1" si="1587"/>
        <v>-0.61400438572856997</v>
      </c>
      <c r="CO197" s="42">
        <f t="shared" ca="1" si="1588"/>
        <v>0.33701580910706302</v>
      </c>
      <c r="CP197" s="42">
        <f t="shared" ca="1" si="1589"/>
        <v>0.66298419089293703</v>
      </c>
      <c r="CQ197" s="42">
        <f t="shared" ca="1" si="1590"/>
        <v>0.26960621453848232</v>
      </c>
      <c r="CR197" s="42">
        <f t="shared" ca="1" si="1591"/>
        <v>0.73039378546151768</v>
      </c>
      <c r="CS197" s="42">
        <f t="shared" ca="1" si="1592"/>
        <v>0.98162450344672281</v>
      </c>
      <c r="CT197" s="42">
        <f t="shared" ca="1" si="1593"/>
        <v>93.254327827438672</v>
      </c>
      <c r="CU197" s="42">
        <f t="shared" ca="1" si="1594"/>
        <v>0.98801719747153338</v>
      </c>
      <c r="CV197" s="42">
        <f t="shared" ca="1" si="1595"/>
        <v>84.376668664068958</v>
      </c>
      <c r="CW197" s="42">
        <f t="shared" ca="1" si="1596"/>
        <v>0.365167296678925</v>
      </c>
      <c r="CX197" s="42">
        <f t="shared" ca="1" si="1597"/>
        <v>3.2943249446933756</v>
      </c>
      <c r="CY197" s="42">
        <f t="shared" ca="1" si="1598"/>
        <v>0.33297741521756169</v>
      </c>
      <c r="CZ197" s="42">
        <f t="shared" ca="1" si="1599"/>
        <v>2.1846410172893065E-2</v>
      </c>
      <c r="DA197" s="42">
        <f t="shared" ca="1" si="1600"/>
        <v>-1.8333614860733365E-2</v>
      </c>
      <c r="DB197" s="42">
        <f t="shared" ca="1" si="1601"/>
        <v>0.20980427706325602</v>
      </c>
      <c r="DC197" s="42">
        <f t="shared" ca="1" si="1602"/>
        <v>0.11657329370125608</v>
      </c>
      <c r="DD197" s="42">
        <f ca="1">IF($F$14=1,0,IF($M$28=1,CX197-$G$14,OFFSET(CV197,0,$M$28))*IF($M$30=1,SIGN($B$14),$T$14))</f>
        <v>-927.83752765331235</v>
      </c>
      <c r="DE197" s="40"/>
      <c r="DF197" s="36">
        <f t="shared" si="733"/>
        <v>200</v>
      </c>
      <c r="DG197" s="35">
        <f t="shared" si="1603"/>
        <v>0.28399999999999997</v>
      </c>
      <c r="DH197" s="197">
        <f t="shared" ca="1" si="1382"/>
        <v>169.23611111111677</v>
      </c>
      <c r="DI197" s="41">
        <f t="shared" ca="1" si="1604"/>
        <v>0.46366057838662128</v>
      </c>
      <c r="DJ197" s="40">
        <f t="shared" ca="1" si="1605"/>
        <v>-0.85097126575351234</v>
      </c>
      <c r="DK197" s="40">
        <f t="shared" ca="1" si="1606"/>
        <v>2.5189751902588361E-2</v>
      </c>
      <c r="DL197" s="40">
        <f t="shared" ca="1" si="1607"/>
        <v>0.19338305926412305</v>
      </c>
      <c r="DM197" s="42">
        <f t="shared" ca="1" si="1608"/>
        <v>-4.2701853874545943</v>
      </c>
      <c r="DN197" s="42">
        <f t="shared" ca="1" si="1609"/>
        <v>-4.4635684467187176</v>
      </c>
      <c r="DO197" s="42">
        <f t="shared" ca="1" si="1610"/>
        <v>9.7655276518789487E-6</v>
      </c>
      <c r="DP197" s="42">
        <f t="shared" ca="1" si="1611"/>
        <v>0.99999023447234814</v>
      </c>
      <c r="DQ197" s="42">
        <f t="shared" ca="1" si="1612"/>
        <v>4.0302916462733568E-6</v>
      </c>
      <c r="DR197" s="42">
        <f t="shared" ca="1" si="1613"/>
        <v>0.99999596970835369</v>
      </c>
      <c r="DS197" s="42">
        <f t="shared" ca="1" si="1614"/>
        <v>0.98162450344672281</v>
      </c>
      <c r="DT197" s="42">
        <f t="shared" ca="1" si="1615"/>
        <v>196.32490068934456</v>
      </c>
      <c r="DU197" s="42">
        <f t="shared" ca="1" si="1616"/>
        <v>0.98801719747153338</v>
      </c>
      <c r="DV197" s="42">
        <f t="shared" ca="1" si="1617"/>
        <v>84.376668664068958</v>
      </c>
      <c r="DW197" s="42">
        <f t="shared" ca="1" si="1618"/>
        <v>4.3786712472282578E-5</v>
      </c>
      <c r="DX197" s="42">
        <f t="shared" si="1619"/>
        <v>0</v>
      </c>
      <c r="DY197" s="92">
        <f t="shared" ca="1" si="1620"/>
        <v>0</v>
      </c>
      <c r="DZ197" s="42">
        <f t="shared" ca="1" si="1621"/>
        <v>0</v>
      </c>
      <c r="EA197" s="42">
        <f t="shared" ca="1" si="1622"/>
        <v>0</v>
      </c>
      <c r="EB197" s="42">
        <f t="shared" ca="1" si="1623"/>
        <v>0</v>
      </c>
      <c r="EC197" s="42">
        <f t="shared" ca="1" si="1624"/>
        <v>0</v>
      </c>
      <c r="ED197" s="42">
        <f ca="1">IF($F$16=1,0,IF($M$28=1,DX197-$G$16,OFFSET(DV197,0,$M$28))*IF($M$30=1,SIGN($B$16),$T$16))</f>
        <v>0</v>
      </c>
      <c r="EE197" s="40"/>
      <c r="EF197" s="120">
        <f t="shared" ca="1" si="756"/>
        <v>85.4</v>
      </c>
      <c r="EG197" s="42">
        <f t="shared" ca="1" si="1625"/>
        <v>258.33906893413985</v>
      </c>
      <c r="EH197" s="36">
        <f t="shared" ca="1" si="1626"/>
        <v>258.33906893413985</v>
      </c>
      <c r="EI197" s="143">
        <f t="shared" ca="1" si="1627"/>
        <v>258.339</v>
      </c>
      <c r="EJ197" s="143">
        <f t="shared" ref="EJ197:EJ207" ca="1" si="1635">EI197-EI196</f>
        <v>0</v>
      </c>
      <c r="EK197" s="153">
        <f t="shared" ca="1" si="1628"/>
        <v>0</v>
      </c>
      <c r="EL197" s="143">
        <f t="shared" ca="1" si="1629"/>
        <v>0</v>
      </c>
    </row>
    <row r="198" spans="1:142" x14ac:dyDescent="0.3">
      <c r="A198" s="143">
        <f t="shared" ca="1" si="1630"/>
        <v>85.4</v>
      </c>
      <c r="B198" s="144">
        <f t="shared" ca="1" si="1631"/>
        <v>0.28399999999999997</v>
      </c>
      <c r="C198" s="145">
        <f t="shared" ca="1" si="1632"/>
        <v>45295.440972222219</v>
      </c>
      <c r="D198" s="144">
        <f t="shared" ca="1" si="1633"/>
        <v>2.5999999999999999E-2</v>
      </c>
      <c r="E198" s="144">
        <f t="shared" ca="1" si="1634"/>
        <v>0.04</v>
      </c>
      <c r="F198" s="36">
        <f t="shared" si="641"/>
        <v>75</v>
      </c>
      <c r="G198" s="35">
        <f t="shared" si="1515"/>
        <v>0.28399999999999997</v>
      </c>
      <c r="H198" s="197">
        <f t="shared" ca="1" si="1290"/>
        <v>169.23611111111677</v>
      </c>
      <c r="I198" s="41">
        <f t="shared" ca="1" si="1516"/>
        <v>0.46366057838662128</v>
      </c>
      <c r="J198" s="40">
        <f t="shared" ref="J198:J207" ca="1" si="1636">LN($A198/F198)</f>
        <v>0.12985798725821379</v>
      </c>
      <c r="K198" s="40">
        <f t="shared" ref="K198:K207" ca="1" si="1637">($E198-$D198+POWER(G198,2)/2)*I198</f>
        <v>2.5189751902588361E-2</v>
      </c>
      <c r="L198" s="40">
        <f t="shared" ref="L198:L207" ca="1" si="1638">MAX(0,0.000000000001,G198*SQRT(I198))</f>
        <v>0.19338305926412305</v>
      </c>
      <c r="M198" s="42">
        <f t="shared" ref="M198:M207" ca="1" si="1639">(J198+K198)/L198</f>
        <v>0.80176484822818728</v>
      </c>
      <c r="N198" s="42">
        <f t="shared" ref="N198:N207" ca="1" si="1640">M198-L198</f>
        <v>0.60838178896406425</v>
      </c>
      <c r="O198" s="42">
        <f t="shared" ref="O198:O207" ca="1" si="1641">_xlfn.NORM.DIST(M198,0,1,TRUE)</f>
        <v>0.78865550202522283</v>
      </c>
      <c r="P198" s="42">
        <f t="shared" ref="P198:P207" ca="1" si="1642">_xlfn.NORM.DIST(-M198,0,1,TRUE)</f>
        <v>0.21134449797477717</v>
      </c>
      <c r="Q198" s="42">
        <f t="shared" ref="Q198:Q207" ca="1" si="1643">_xlfn.NORM.DIST(N198,0,1,TRUE)</f>
        <v>0.72853285658034883</v>
      </c>
      <c r="R198" s="42">
        <f t="shared" ref="R198:R207" ca="1" si="1644">_xlfn.NORM.DIST(-N198,0,1,TRUE)</f>
        <v>0.27146714341965111</v>
      </c>
      <c r="S198" s="42">
        <f t="shared" ref="S198:S207" ca="1" si="1645">EXP(-$E198*I198)</f>
        <v>0.98162450344672281</v>
      </c>
      <c r="T198" s="42">
        <f t="shared" ref="T198:T207" ca="1" si="1646">F198*S198</f>
        <v>73.621837758504213</v>
      </c>
      <c r="U198" s="42">
        <f t="shared" ref="U198:U207" ca="1" si="1647">EXP(-$D198*I198)</f>
        <v>0.98801719747153338</v>
      </c>
      <c r="V198" s="42">
        <f t="shared" ref="V198:V207" ca="1" si="1648">$A198*U198</f>
        <v>84.376668664068958</v>
      </c>
      <c r="W198" s="42">
        <f t="shared" ref="W198:W207" ca="1" si="1649">EXP(-1*POWER(M198,2)/2)/SQRT(2*PI())</f>
        <v>0.28928238154977365</v>
      </c>
      <c r="X198" s="42">
        <f t="shared" ref="X198:X207" ca="1" si="1650">IF($F$8=1,0,IF($F$8=2,$A198,IF($F$8=3,V198*O198-T198*Q198,T198*R198-V198*P198)))</f>
        <v>2.153365310014383</v>
      </c>
      <c r="Y198" s="42">
        <f t="shared" ref="Y198:Y207" ca="1" si="1651">IF($F$8=2,1,IF(OR($F$8=1,I198&lt;=0),0,IF($F$8=3,O198*U198,(O198-1)*U198)))</f>
        <v>-0.20881199859006749</v>
      </c>
      <c r="Z198" s="42">
        <f t="shared" ref="Z198:Z207" ca="1" si="1652">IF(OR($F$8&lt;=2,I198&lt;=0),0,W198*U198/($A198*L198))</f>
        <v>1.7306537635226424E-2</v>
      </c>
      <c r="AA198" s="42">
        <f t="shared" ca="1" si="1534"/>
        <v>-1.302570857267049E-2</v>
      </c>
      <c r="AB198" s="42">
        <f t="shared" ref="AB198:AB207" ca="1" si="1653">IF(OR($F$8&lt;=2,I198&lt;=0),0,(W198*$A198*U198*SQRT(I198))/100)</f>
        <v>0.16620513797420244</v>
      </c>
      <c r="AC198" s="42">
        <f t="shared" ref="AC198:AC207" ca="1" si="1654">IF(OR($F$8&lt;=2,I198&lt;=0),0,IF($F$8=3,Q198,-1*R198)*F198*I198*S198/100)</f>
        <v>-9.2666785853637385E-2</v>
      </c>
      <c r="AD198" s="42">
        <f t="shared" ref="AD198:AD207" ca="1" si="1655">IF($F$8=1,0,IF($M$28=1,X198-$G$8,OFFSET(V198,0,$M$28))*IF($M$30=1,SIGN($B$8),$T$8))</f>
        <v>-723.31734499280856</v>
      </c>
      <c r="AF198" s="36">
        <f t="shared" si="664"/>
        <v>80</v>
      </c>
      <c r="AG198" s="35">
        <f t="shared" si="1537"/>
        <v>0.28399999999999997</v>
      </c>
      <c r="AH198" s="197">
        <f t="shared" ca="1" si="1313"/>
        <v>169.23611111111677</v>
      </c>
      <c r="AI198" s="41">
        <f t="shared" ca="1" si="1538"/>
        <v>0.46366057838662128</v>
      </c>
      <c r="AJ198" s="40">
        <f t="shared" ref="AJ198:AJ207" ca="1" si="1656">LN($A198/AF198)</f>
        <v>6.5319466120642669E-2</v>
      </c>
      <c r="AK198" s="40">
        <f t="shared" ref="AK198:AK207" ca="1" si="1657">($E198-$D198+POWER(AG198,2)/2)*AI198</f>
        <v>2.5189751902588361E-2</v>
      </c>
      <c r="AL198" s="40">
        <f t="shared" ref="AL198:AL207" ca="1" si="1658">MAX(0,0.000000000001,AG198*SQRT(AI198))</f>
        <v>0.19338305926412305</v>
      </c>
      <c r="AM198" s="42">
        <f t="shared" ref="AM198:AM207" ca="1" si="1659">(AJ198+AK198)/AL198</f>
        <v>0.46803074875143702</v>
      </c>
      <c r="AN198" s="42">
        <f t="shared" ref="AN198:AN207" ca="1" si="1660">AM198-AL198</f>
        <v>0.274647689487314</v>
      </c>
      <c r="AO198" s="42">
        <f t="shared" ref="AO198:AO207" ca="1" si="1661">_xlfn.NORM.DIST(AM198,0,1,TRUE)</f>
        <v>0.68011869960825055</v>
      </c>
      <c r="AP198" s="42">
        <f t="shared" ref="AP198:AP207" ca="1" si="1662">_xlfn.NORM.DIST(-AM198,0,1,TRUE)</f>
        <v>0.31988130039174945</v>
      </c>
      <c r="AQ198" s="42">
        <f t="shared" ref="AQ198:AQ207" ca="1" si="1663">_xlfn.NORM.DIST(AN198,0,1,TRUE)</f>
        <v>0.60820653811473968</v>
      </c>
      <c r="AR198" s="42">
        <f t="shared" ref="AR198:AR207" ca="1" si="1664">_xlfn.NORM.DIST(-AN198,0,1,TRUE)</f>
        <v>0.39179346188526026</v>
      </c>
      <c r="AS198" s="42">
        <f t="shared" ref="AS198:AS207" ca="1" si="1665">EXP(-$E198*AI198)</f>
        <v>0.98162450344672281</v>
      </c>
      <c r="AT198" s="42">
        <f t="shared" ref="AT198:AT207" ca="1" si="1666">AF198*AS198</f>
        <v>78.529960275737821</v>
      </c>
      <c r="AU198" s="42">
        <f t="shared" ref="AU198:AU207" ca="1" si="1667">EXP(-$D198*AI198)</f>
        <v>0.98801719747153338</v>
      </c>
      <c r="AV198" s="42">
        <f t="shared" ref="AV198:AV207" ca="1" si="1668">$A198*AU198</f>
        <v>84.376668664068958</v>
      </c>
      <c r="AW198" s="42">
        <f t="shared" ref="AW198:AW207" ca="1" si="1669">EXP(-1*POWER(AM198,2)/2)/SQRT(2*PI())</f>
        <v>0.3575554142041969</v>
      </c>
      <c r="AX198" s="42">
        <f t="shared" ref="AX198:AX207" ca="1" si="1670">IF($F$10=1,0,IF($F$10=2,$A198,IF($F$10=3,AV198*AO198-AT198*AQ198,AT198*AR198-AV198*AP198)))</f>
        <v>3.777006503157132</v>
      </c>
      <c r="AY198" s="42">
        <f t="shared" ref="AY198:AY207" ca="1" si="1671">IF($F$10=2,1,IF(OR($F$10=1,AI198&lt;=0),0,IF($F$10=3,AO198*AU198,(AO198-1)*AU198)))</f>
        <v>-0.31604822593660598</v>
      </c>
      <c r="AZ198" s="42">
        <f t="shared" ref="AZ198:AZ207" ca="1" si="1672">IF(OR($F$10&lt;=2,AI198&lt;=0),0,AW198*AU198/($A198*AL198))</f>
        <v>2.1391023537115056E-2</v>
      </c>
      <c r="BA198" s="42">
        <f t="shared" ca="1" si="1556"/>
        <v>-1.5787806699479157E-2</v>
      </c>
      <c r="BB198" s="42">
        <f t="shared" ref="BB198:BB207" ca="1" si="1673">IF(OR($F$10&lt;=2,AI198&lt;=0),0,(AW198*$A198*AU198*SQRT(AI198))/100)</f>
        <v>0.20543092404335248</v>
      </c>
      <c r="BC198" s="42">
        <f t="shared" ref="BC198:BC207" ca="1" si="1674">IF(OR($F$10&lt;=2,AI198&lt;=0),0,IF($F$10=3,AQ198,-1*AR198)*AF198*AI198*AS198/100)</f>
        <v>-0.14265688436163948</v>
      </c>
      <c r="BD198" s="42">
        <f t="shared" ref="BD198:BD207" ca="1" si="1675">IF($F$10=1,0,IF($M$28=1,AX198-$G$10,OFFSET(AV198,0,$M$28))*IF($M$30=1,SIGN($B$10),$T$10))</f>
        <v>936.49674842143418</v>
      </c>
      <c r="BE198" s="40"/>
      <c r="BF198" s="36">
        <f t="shared" si="687"/>
        <v>90</v>
      </c>
      <c r="BG198" s="35">
        <f t="shared" si="1559"/>
        <v>0.28399999999999997</v>
      </c>
      <c r="BH198" s="197">
        <f t="shared" ca="1" si="1336"/>
        <v>169.23611111111677</v>
      </c>
      <c r="BI198" s="41">
        <f t="shared" ca="1" si="1560"/>
        <v>0.46366057838662128</v>
      </c>
      <c r="BJ198" s="40">
        <f t="shared" ref="BJ198:BJ207" ca="1" si="1676">LN($A198/BF198)</f>
        <v>-5.2463569535740766E-2</v>
      </c>
      <c r="BK198" s="40">
        <f t="shared" ref="BK198:BK207" ca="1" si="1677">($E198-$D198+POWER(BG198,2)/2)*BI198</f>
        <v>2.5189751902588361E-2</v>
      </c>
      <c r="BL198" s="40">
        <f t="shared" ref="BL198:BL207" ca="1" si="1678">MAX(0,0.000000000001,BG198*SQRT(BI198))</f>
        <v>0.19338305926412305</v>
      </c>
      <c r="BM198" s="42">
        <f t="shared" ref="BM198:BM207" ca="1" si="1679">(BJ198+BK198)/BL198</f>
        <v>-0.14103519582809868</v>
      </c>
      <c r="BN198" s="42">
        <f t="shared" ref="BN198:BN207" ca="1" si="1680">BM198-BL198</f>
        <v>-0.33441825509222173</v>
      </c>
      <c r="BO198" s="42">
        <f t="shared" ref="BO198:BO207" ca="1" si="1681">_xlfn.NORM.DIST(BM198,0,1,TRUE)</f>
        <v>0.44392106898616246</v>
      </c>
      <c r="BP198" s="42">
        <f t="shared" ref="BP198:BP207" ca="1" si="1682">_xlfn.NORM.DIST(-BM198,0,1,TRUE)</f>
        <v>0.55607893101383754</v>
      </c>
      <c r="BQ198" s="42">
        <f t="shared" ref="BQ198:BQ207" ca="1" si="1683">_xlfn.NORM.DIST(BN198,0,1,TRUE)</f>
        <v>0.36903198301145818</v>
      </c>
      <c r="BR198" s="42">
        <f t="shared" ref="BR198:BR207" ca="1" si="1684">_xlfn.NORM.DIST(-BN198,0,1,TRUE)</f>
        <v>0.63096801698854188</v>
      </c>
      <c r="BS198" s="42">
        <f t="shared" ref="BS198:BS207" ca="1" si="1685">EXP(-$E198*BI198)</f>
        <v>0.98162450344672281</v>
      </c>
      <c r="BT198" s="42">
        <f t="shared" ref="BT198:BT207" ca="1" si="1686">BF198*BS198</f>
        <v>88.34620531020505</v>
      </c>
      <c r="BU198" s="42">
        <f t="shared" ref="BU198:BU207" ca="1" si="1687">EXP(-$D198*BI198)</f>
        <v>0.98801719747153338</v>
      </c>
      <c r="BV198" s="42">
        <f t="shared" ref="BV198:BV207" ca="1" si="1688">$A198*BU198</f>
        <v>84.376668664068958</v>
      </c>
      <c r="BW198" s="42">
        <f t="shared" ref="BW198:BW207" ca="1" si="1689">EXP(-1*POWER(BM198,2)/2)/SQRT(2*PI())</f>
        <v>0.39499427951128013</v>
      </c>
      <c r="BX198" s="42">
        <f t="shared" ref="BX198:BX207" ca="1" si="1690">IF($F$12=1,0,IF($F$12=2,$A198,IF($F$12=3,BV198*BO198-BT198*BQ198,BT198*BR198-BV198*BP198)))</f>
        <v>4.8540056136823466</v>
      </c>
      <c r="BY198" s="42">
        <f t="shared" ref="BY198:BY207" ca="1" si="1691">IF($F$12=2,1,IF(OR($F$12=1,BI198&lt;=0),0,IF($F$12=3,BO198*BU198,(BO198-1)*BU198)))</f>
        <v>0.43860165047827548</v>
      </c>
      <c r="BZ198" s="42">
        <f t="shared" ref="BZ198:BZ207" ca="1" si="1692">IF(OR($F$12&lt;=2,BI198&lt;=0),0,BW198*BU198/($A198*BL198))</f>
        <v>2.3630832017624698E-2</v>
      </c>
      <c r="CA198" s="42">
        <f t="shared" ca="1" si="1578"/>
        <v>-1.9946570164958009E-2</v>
      </c>
      <c r="CB198" s="42">
        <f t="shared" ref="CB198:CB207" ca="1" si="1693">IF(OR($F$12&lt;=2,BI198&lt;=0),0,(BW198*$A198*BU198*SQRT(BI198))/100)</f>
        <v>0.22694115823260852</v>
      </c>
      <c r="CC198" s="42">
        <f t="shared" ref="CC198:CC207" ca="1" si="1694">IF(OR($F$12&lt;=2,BI198&lt;=0),0,IF($F$12=3,BQ198,-1*BR198)*BF198*BI198*BS198/100)</f>
        <v>0.15116528937722107</v>
      </c>
      <c r="CD198" s="42">
        <f t="shared" ref="CD198:CD207" ca="1" si="1695">IF($F$12=1,0,IF($M$28=1,BX198-$G$12,OFFSET(BV198,0,$M$28))*IF($M$30=1,SIGN($B$12),$T$12))</f>
        <v>972.99719315882658</v>
      </c>
      <c r="CE198" s="40"/>
      <c r="CF198" s="36">
        <f t="shared" si="710"/>
        <v>95</v>
      </c>
      <c r="CG198" s="35">
        <f t="shared" si="1581"/>
        <v>0.28399999999999997</v>
      </c>
      <c r="CH198" s="197">
        <f t="shared" ca="1" si="1359"/>
        <v>169.23611111111677</v>
      </c>
      <c r="CI198" s="41">
        <f t="shared" ca="1" si="1582"/>
        <v>0.46366057838662128</v>
      </c>
      <c r="CJ198" s="40">
        <f t="shared" ref="CJ198:CJ207" ca="1" si="1696">LN($A198/CF198)</f>
        <v>-0.10653079080601656</v>
      </c>
      <c r="CK198" s="40">
        <f t="shared" ref="CK198:CK207" ca="1" si="1697">($E198-$D198+POWER(CG198,2)/2)*CI198</f>
        <v>2.5189751902588361E-2</v>
      </c>
      <c r="CL198" s="40">
        <f t="shared" ref="CL198:CL207" ca="1" si="1698">MAX(0,0.000000000001,CG198*SQRT(CI198))</f>
        <v>0.19338305926412305</v>
      </c>
      <c r="CM198" s="42">
        <f t="shared" ref="CM198:CM207" ca="1" si="1699">(CJ198+CK198)/CL198</f>
        <v>-0.42062132646444694</v>
      </c>
      <c r="CN198" s="42">
        <f t="shared" ref="CN198:CN207" ca="1" si="1700">CM198-CL198</f>
        <v>-0.61400438572856997</v>
      </c>
      <c r="CO198" s="42">
        <f t="shared" ref="CO198:CO207" ca="1" si="1701">_xlfn.NORM.DIST(CM198,0,1,TRUE)</f>
        <v>0.33701580910706302</v>
      </c>
      <c r="CP198" s="42">
        <f t="shared" ref="CP198:CP207" ca="1" si="1702">_xlfn.NORM.DIST(-CM198,0,1,TRUE)</f>
        <v>0.66298419089293703</v>
      </c>
      <c r="CQ198" s="42">
        <f t="shared" ref="CQ198:CQ207" ca="1" si="1703">_xlfn.NORM.DIST(CN198,0,1,TRUE)</f>
        <v>0.26960621453848232</v>
      </c>
      <c r="CR198" s="42">
        <f t="shared" ref="CR198:CR207" ca="1" si="1704">_xlfn.NORM.DIST(-CN198,0,1,TRUE)</f>
        <v>0.73039378546151768</v>
      </c>
      <c r="CS198" s="42">
        <f t="shared" ref="CS198:CS207" ca="1" si="1705">EXP(-$E198*CI198)</f>
        <v>0.98162450344672281</v>
      </c>
      <c r="CT198" s="42">
        <f t="shared" ref="CT198:CT207" ca="1" si="1706">CF198*CS198</f>
        <v>93.254327827438672</v>
      </c>
      <c r="CU198" s="42">
        <f t="shared" ref="CU198:CU207" ca="1" si="1707">EXP(-$D198*CI198)</f>
        <v>0.98801719747153338</v>
      </c>
      <c r="CV198" s="42">
        <f t="shared" ref="CV198:CV207" ca="1" si="1708">$A198*CU198</f>
        <v>84.376668664068958</v>
      </c>
      <c r="CW198" s="42">
        <f t="shared" ref="CW198:CW207" ca="1" si="1709">EXP(-1*POWER(CM198,2)/2)/SQRT(2*PI())</f>
        <v>0.365167296678925</v>
      </c>
      <c r="CX198" s="42">
        <f t="shared" ref="CX198:CX207" ca="1" si="1710">IF($F$14=1,0,IF($F$14=2,$A198,IF($F$14=3,CV198*CO198-CT198*CQ198,CT198*CR198-CV198*CP198)))</f>
        <v>3.2943249446933756</v>
      </c>
      <c r="CY198" s="42">
        <f t="shared" ref="CY198:CY207" ca="1" si="1711">IF($F$14=2,1,IF(OR($F$14=1,CI198&lt;=0),0,IF($F$14=3,CO198*CU198,(CO198-1)*CU198)))</f>
        <v>0.33297741521756169</v>
      </c>
      <c r="CZ198" s="42">
        <f t="shared" ref="CZ198:CZ207" ca="1" si="1712">IF(OR($F$14&lt;=2,CI198&lt;=0),0,CW198*CU198/($A198*CL198))</f>
        <v>2.1846410172893065E-2</v>
      </c>
      <c r="DA198" s="42">
        <f t="shared" ca="1" si="1600"/>
        <v>-1.8333614860733365E-2</v>
      </c>
      <c r="DB198" s="42">
        <f t="shared" ref="DB198:DB207" ca="1" si="1713">IF(OR($F$14&lt;=2,CI198&lt;=0),0,(CW198*$A198*CU198*SQRT(CI198))/100)</f>
        <v>0.20980427706325602</v>
      </c>
      <c r="DC198" s="42">
        <f t="shared" ref="DC198:DC207" ca="1" si="1714">IF(OR($F$14&lt;=2,CI198&lt;=0),0,IF($F$14=3,CQ198,-1*CR198)*CF198*CI198*CS198/100)</f>
        <v>0.11657329370125608</v>
      </c>
      <c r="DD198" s="42">
        <f t="shared" ref="DD198:DD207" ca="1" si="1715">IF($F$14=1,0,IF($M$28=1,CX198-$G$14,OFFSET(CV198,0,$M$28))*IF($M$30=1,SIGN($B$14),$T$14))</f>
        <v>-927.83752765331235</v>
      </c>
      <c r="DE198" s="40"/>
      <c r="DF198" s="36">
        <f t="shared" si="733"/>
        <v>200</v>
      </c>
      <c r="DG198" s="35">
        <f t="shared" si="1603"/>
        <v>0.28399999999999997</v>
      </c>
      <c r="DH198" s="197">
        <f t="shared" ca="1" si="1382"/>
        <v>169.23611111111677</v>
      </c>
      <c r="DI198" s="41">
        <f t="shared" ca="1" si="1604"/>
        <v>0.46366057838662128</v>
      </c>
      <c r="DJ198" s="40">
        <f t="shared" ref="DJ198:DJ207" ca="1" si="1716">LN($A198/DF198)</f>
        <v>-0.85097126575351234</v>
      </c>
      <c r="DK198" s="40">
        <f t="shared" ref="DK198:DK207" ca="1" si="1717">($E198-$D198+POWER(DG198,2)/2)*DI198</f>
        <v>2.5189751902588361E-2</v>
      </c>
      <c r="DL198" s="40">
        <f t="shared" ref="DL198:DL207" ca="1" si="1718">MAX(0,0.000000000001,DG198*SQRT(DI198))</f>
        <v>0.19338305926412305</v>
      </c>
      <c r="DM198" s="42">
        <f t="shared" ref="DM198:DM207" ca="1" si="1719">(DJ198+DK198)/DL198</f>
        <v>-4.2701853874545943</v>
      </c>
      <c r="DN198" s="42">
        <f t="shared" ref="DN198:DN207" ca="1" si="1720">DM198-DL198</f>
        <v>-4.4635684467187176</v>
      </c>
      <c r="DO198" s="42">
        <f t="shared" ref="DO198:DO207" ca="1" si="1721">_xlfn.NORM.DIST(DM198,0,1,TRUE)</f>
        <v>9.7655276518789487E-6</v>
      </c>
      <c r="DP198" s="42">
        <f t="shared" ref="DP198:DP207" ca="1" si="1722">_xlfn.NORM.DIST(-DM198,0,1,TRUE)</f>
        <v>0.99999023447234814</v>
      </c>
      <c r="DQ198" s="42">
        <f t="shared" ref="DQ198:DQ207" ca="1" si="1723">_xlfn.NORM.DIST(DN198,0,1,TRUE)</f>
        <v>4.0302916462733568E-6</v>
      </c>
      <c r="DR198" s="42">
        <f t="shared" ref="DR198:DR207" ca="1" si="1724">_xlfn.NORM.DIST(-DN198,0,1,TRUE)</f>
        <v>0.99999596970835369</v>
      </c>
      <c r="DS198" s="42">
        <f t="shared" ref="DS198:DS207" ca="1" si="1725">EXP(-$E198*DI198)</f>
        <v>0.98162450344672281</v>
      </c>
      <c r="DT198" s="42">
        <f t="shared" ref="DT198:DT207" ca="1" si="1726">DF198*DS198</f>
        <v>196.32490068934456</v>
      </c>
      <c r="DU198" s="42">
        <f t="shared" ref="DU198:DU207" ca="1" si="1727">EXP(-$D198*DI198)</f>
        <v>0.98801719747153338</v>
      </c>
      <c r="DV198" s="42">
        <f t="shared" ref="DV198:DV207" ca="1" si="1728">$A198*DU198</f>
        <v>84.376668664068958</v>
      </c>
      <c r="DW198" s="42">
        <f t="shared" ref="DW198:DW207" ca="1" si="1729">EXP(-1*POWER(DM198,2)/2)/SQRT(2*PI())</f>
        <v>4.3786712472282578E-5</v>
      </c>
      <c r="DX198" s="42">
        <f t="shared" ref="DX198:DX207" si="1730">IF($F$16=1,0,IF($F$16=2,$A198,IF($F$16=3,DV198*DO198-DT198*DQ198,DT198*DR198-DV198*DP198)))</f>
        <v>0</v>
      </c>
      <c r="DY198" s="92">
        <f t="shared" ref="DY198:DY207" ca="1" si="1731">IF($F$16=2,1,IF(OR($F$16=1,DI198&lt;=0),0,IF($F$16=3,DO198*DU198,(DO198-1)*DU198)))</f>
        <v>0</v>
      </c>
      <c r="DZ198" s="42">
        <f t="shared" ref="DZ198:DZ207" ca="1" si="1732">IF(OR($F$16&lt;=2,DI198&lt;=0),0,DW198*DU198/($A198*DL198))</f>
        <v>0</v>
      </c>
      <c r="EA198" s="42">
        <f t="shared" ca="1" si="1622"/>
        <v>0</v>
      </c>
      <c r="EB198" s="42">
        <f t="shared" ref="EB198:EB207" ca="1" si="1733">IF(OR($F$16&lt;=2,DI198&lt;=0),0,(DW198*$A198*DU198*SQRT(DI198))/100)</f>
        <v>0</v>
      </c>
      <c r="EC198" s="42">
        <f t="shared" ref="EC198:EC207" ca="1" si="1734">IF(OR($F$16&lt;=2,DI198&lt;=0),0,IF($F$16=3,DQ198,-1*DR198)*DF198*DI198*DS198/100)</f>
        <v>0</v>
      </c>
      <c r="ED198" s="42">
        <f t="shared" ref="ED198:ED207" ca="1" si="1735">IF($F$16=1,0,IF($M$28=1,DX198-$G$16,OFFSET(DV198,0,$M$28))*IF($M$30=1,SIGN($B$16),$T$16))</f>
        <v>0</v>
      </c>
      <c r="EE198" s="40"/>
      <c r="EF198" s="120">
        <f t="shared" ca="1" si="756"/>
        <v>85.4</v>
      </c>
      <c r="EG198" s="42">
        <f t="shared" ca="1" si="1625"/>
        <v>258.33906893413985</v>
      </c>
      <c r="EH198" s="36">
        <f t="shared" ca="1" si="1626"/>
        <v>258.33906893413985</v>
      </c>
      <c r="EI198" s="143">
        <f t="shared" ca="1" si="1627"/>
        <v>258.339</v>
      </c>
      <c r="EJ198" s="143">
        <f t="shared" ca="1" si="1635"/>
        <v>0</v>
      </c>
      <c r="EK198" s="153">
        <f t="shared" ca="1" si="1628"/>
        <v>0</v>
      </c>
      <c r="EL198" s="143">
        <f t="shared" ca="1" si="1629"/>
        <v>0</v>
      </c>
    </row>
    <row r="199" spans="1:142" x14ac:dyDescent="0.3">
      <c r="A199" s="143">
        <f t="shared" ca="1" si="1630"/>
        <v>85.4</v>
      </c>
      <c r="B199" s="144">
        <f t="shared" ca="1" si="1631"/>
        <v>0.28399999999999997</v>
      </c>
      <c r="C199" s="145">
        <f t="shared" ca="1" si="1632"/>
        <v>45295.440972222219</v>
      </c>
      <c r="D199" s="144">
        <f t="shared" ca="1" si="1633"/>
        <v>2.5999999999999999E-2</v>
      </c>
      <c r="E199" s="144">
        <f t="shared" ca="1" si="1634"/>
        <v>0.04</v>
      </c>
      <c r="F199" s="36">
        <f t="shared" si="641"/>
        <v>75</v>
      </c>
      <c r="G199" s="35">
        <f t="shared" si="1515"/>
        <v>0.28399999999999997</v>
      </c>
      <c r="H199" s="197">
        <f t="shared" ca="1" si="1290"/>
        <v>169.23611111111677</v>
      </c>
      <c r="I199" s="41">
        <f t="shared" ca="1" si="1516"/>
        <v>0.46366057838662128</v>
      </c>
      <c r="J199" s="40">
        <f t="shared" ca="1" si="1636"/>
        <v>0.12985798725821379</v>
      </c>
      <c r="K199" s="40">
        <f t="shared" ca="1" si="1637"/>
        <v>2.5189751902588361E-2</v>
      </c>
      <c r="L199" s="40">
        <f t="shared" ca="1" si="1638"/>
        <v>0.19338305926412305</v>
      </c>
      <c r="M199" s="42">
        <f t="shared" ca="1" si="1639"/>
        <v>0.80176484822818728</v>
      </c>
      <c r="N199" s="42">
        <f t="shared" ca="1" si="1640"/>
        <v>0.60838178896406425</v>
      </c>
      <c r="O199" s="42">
        <f t="shared" ca="1" si="1641"/>
        <v>0.78865550202522283</v>
      </c>
      <c r="P199" s="42">
        <f t="shared" ca="1" si="1642"/>
        <v>0.21134449797477717</v>
      </c>
      <c r="Q199" s="42">
        <f t="shared" ca="1" si="1643"/>
        <v>0.72853285658034883</v>
      </c>
      <c r="R199" s="42">
        <f t="shared" ca="1" si="1644"/>
        <v>0.27146714341965111</v>
      </c>
      <c r="S199" s="42">
        <f t="shared" ca="1" si="1645"/>
        <v>0.98162450344672281</v>
      </c>
      <c r="T199" s="42">
        <f t="shared" ca="1" si="1646"/>
        <v>73.621837758504213</v>
      </c>
      <c r="U199" s="42">
        <f t="shared" ca="1" si="1647"/>
        <v>0.98801719747153338</v>
      </c>
      <c r="V199" s="42">
        <f t="shared" ca="1" si="1648"/>
        <v>84.376668664068958</v>
      </c>
      <c r="W199" s="42">
        <f t="shared" ca="1" si="1649"/>
        <v>0.28928238154977365</v>
      </c>
      <c r="X199" s="42">
        <f t="shared" ca="1" si="1650"/>
        <v>2.153365310014383</v>
      </c>
      <c r="Y199" s="42">
        <f t="shared" ca="1" si="1651"/>
        <v>-0.20881199859006749</v>
      </c>
      <c r="Z199" s="42">
        <f t="shared" ca="1" si="1652"/>
        <v>1.7306537635226424E-2</v>
      </c>
      <c r="AA199" s="42">
        <f t="shared" ca="1" si="1534"/>
        <v>-1.302570857267049E-2</v>
      </c>
      <c r="AB199" s="42">
        <f t="shared" ca="1" si="1653"/>
        <v>0.16620513797420244</v>
      </c>
      <c r="AC199" s="42">
        <f t="shared" ca="1" si="1654"/>
        <v>-9.2666785853637385E-2</v>
      </c>
      <c r="AD199" s="42">
        <f t="shared" ca="1" si="1655"/>
        <v>-723.31734499280856</v>
      </c>
      <c r="AF199" s="36">
        <f t="shared" si="664"/>
        <v>80</v>
      </c>
      <c r="AG199" s="35">
        <f t="shared" si="1537"/>
        <v>0.28399999999999997</v>
      </c>
      <c r="AH199" s="197">
        <f t="shared" ca="1" si="1313"/>
        <v>169.23611111111677</v>
      </c>
      <c r="AI199" s="41">
        <f t="shared" ca="1" si="1538"/>
        <v>0.46366057838662128</v>
      </c>
      <c r="AJ199" s="40">
        <f t="shared" ca="1" si="1656"/>
        <v>6.5319466120642669E-2</v>
      </c>
      <c r="AK199" s="40">
        <f t="shared" ca="1" si="1657"/>
        <v>2.5189751902588361E-2</v>
      </c>
      <c r="AL199" s="40">
        <f t="shared" ca="1" si="1658"/>
        <v>0.19338305926412305</v>
      </c>
      <c r="AM199" s="42">
        <f t="shared" ca="1" si="1659"/>
        <v>0.46803074875143702</v>
      </c>
      <c r="AN199" s="42">
        <f t="shared" ca="1" si="1660"/>
        <v>0.274647689487314</v>
      </c>
      <c r="AO199" s="42">
        <f t="shared" ca="1" si="1661"/>
        <v>0.68011869960825055</v>
      </c>
      <c r="AP199" s="42">
        <f t="shared" ca="1" si="1662"/>
        <v>0.31988130039174945</v>
      </c>
      <c r="AQ199" s="42">
        <f t="shared" ca="1" si="1663"/>
        <v>0.60820653811473968</v>
      </c>
      <c r="AR199" s="42">
        <f t="shared" ca="1" si="1664"/>
        <v>0.39179346188526026</v>
      </c>
      <c r="AS199" s="42">
        <f t="shared" ca="1" si="1665"/>
        <v>0.98162450344672281</v>
      </c>
      <c r="AT199" s="42">
        <f t="shared" ca="1" si="1666"/>
        <v>78.529960275737821</v>
      </c>
      <c r="AU199" s="42">
        <f t="shared" ca="1" si="1667"/>
        <v>0.98801719747153338</v>
      </c>
      <c r="AV199" s="42">
        <f t="shared" ca="1" si="1668"/>
        <v>84.376668664068958</v>
      </c>
      <c r="AW199" s="42">
        <f t="shared" ca="1" si="1669"/>
        <v>0.3575554142041969</v>
      </c>
      <c r="AX199" s="42">
        <f t="shared" ca="1" si="1670"/>
        <v>3.777006503157132</v>
      </c>
      <c r="AY199" s="42">
        <f t="shared" ca="1" si="1671"/>
        <v>-0.31604822593660598</v>
      </c>
      <c r="AZ199" s="42">
        <f t="shared" ca="1" si="1672"/>
        <v>2.1391023537115056E-2</v>
      </c>
      <c r="BA199" s="42">
        <f t="shared" ca="1" si="1556"/>
        <v>-1.5787806699479157E-2</v>
      </c>
      <c r="BB199" s="42">
        <f t="shared" ca="1" si="1673"/>
        <v>0.20543092404335248</v>
      </c>
      <c r="BC199" s="42">
        <f t="shared" ca="1" si="1674"/>
        <v>-0.14265688436163948</v>
      </c>
      <c r="BD199" s="42">
        <f t="shared" ca="1" si="1675"/>
        <v>936.49674842143418</v>
      </c>
      <c r="BE199" s="40"/>
      <c r="BF199" s="36">
        <f t="shared" si="687"/>
        <v>90</v>
      </c>
      <c r="BG199" s="35">
        <f t="shared" si="1559"/>
        <v>0.28399999999999997</v>
      </c>
      <c r="BH199" s="197">
        <f t="shared" ca="1" si="1336"/>
        <v>169.23611111111677</v>
      </c>
      <c r="BI199" s="41">
        <f t="shared" ca="1" si="1560"/>
        <v>0.46366057838662128</v>
      </c>
      <c r="BJ199" s="40">
        <f t="shared" ca="1" si="1676"/>
        <v>-5.2463569535740766E-2</v>
      </c>
      <c r="BK199" s="40">
        <f t="shared" ca="1" si="1677"/>
        <v>2.5189751902588361E-2</v>
      </c>
      <c r="BL199" s="40">
        <f t="shared" ca="1" si="1678"/>
        <v>0.19338305926412305</v>
      </c>
      <c r="BM199" s="42">
        <f t="shared" ca="1" si="1679"/>
        <v>-0.14103519582809868</v>
      </c>
      <c r="BN199" s="42">
        <f t="shared" ca="1" si="1680"/>
        <v>-0.33441825509222173</v>
      </c>
      <c r="BO199" s="42">
        <f t="shared" ca="1" si="1681"/>
        <v>0.44392106898616246</v>
      </c>
      <c r="BP199" s="42">
        <f t="shared" ca="1" si="1682"/>
        <v>0.55607893101383754</v>
      </c>
      <c r="BQ199" s="42">
        <f t="shared" ca="1" si="1683"/>
        <v>0.36903198301145818</v>
      </c>
      <c r="BR199" s="42">
        <f t="shared" ca="1" si="1684"/>
        <v>0.63096801698854188</v>
      </c>
      <c r="BS199" s="42">
        <f t="shared" ca="1" si="1685"/>
        <v>0.98162450344672281</v>
      </c>
      <c r="BT199" s="42">
        <f t="shared" ca="1" si="1686"/>
        <v>88.34620531020505</v>
      </c>
      <c r="BU199" s="42">
        <f t="shared" ca="1" si="1687"/>
        <v>0.98801719747153338</v>
      </c>
      <c r="BV199" s="42">
        <f t="shared" ca="1" si="1688"/>
        <v>84.376668664068958</v>
      </c>
      <c r="BW199" s="42">
        <f t="shared" ca="1" si="1689"/>
        <v>0.39499427951128013</v>
      </c>
      <c r="BX199" s="42">
        <f t="shared" ca="1" si="1690"/>
        <v>4.8540056136823466</v>
      </c>
      <c r="BY199" s="42">
        <f t="shared" ca="1" si="1691"/>
        <v>0.43860165047827548</v>
      </c>
      <c r="BZ199" s="42">
        <f t="shared" ca="1" si="1692"/>
        <v>2.3630832017624698E-2</v>
      </c>
      <c r="CA199" s="42">
        <f t="shared" ca="1" si="1578"/>
        <v>-1.9946570164958009E-2</v>
      </c>
      <c r="CB199" s="42">
        <f t="shared" ca="1" si="1693"/>
        <v>0.22694115823260852</v>
      </c>
      <c r="CC199" s="42">
        <f t="shared" ca="1" si="1694"/>
        <v>0.15116528937722107</v>
      </c>
      <c r="CD199" s="42">
        <f t="shared" ca="1" si="1695"/>
        <v>972.99719315882658</v>
      </c>
      <c r="CE199" s="40"/>
      <c r="CF199" s="36">
        <f t="shared" si="710"/>
        <v>95</v>
      </c>
      <c r="CG199" s="35">
        <f t="shared" si="1581"/>
        <v>0.28399999999999997</v>
      </c>
      <c r="CH199" s="197">
        <f t="shared" ca="1" si="1359"/>
        <v>169.23611111111677</v>
      </c>
      <c r="CI199" s="41">
        <f t="shared" ca="1" si="1582"/>
        <v>0.46366057838662128</v>
      </c>
      <c r="CJ199" s="40">
        <f t="shared" ca="1" si="1696"/>
        <v>-0.10653079080601656</v>
      </c>
      <c r="CK199" s="40">
        <f t="shared" ca="1" si="1697"/>
        <v>2.5189751902588361E-2</v>
      </c>
      <c r="CL199" s="40">
        <f t="shared" ca="1" si="1698"/>
        <v>0.19338305926412305</v>
      </c>
      <c r="CM199" s="42">
        <f t="shared" ca="1" si="1699"/>
        <v>-0.42062132646444694</v>
      </c>
      <c r="CN199" s="42">
        <f t="shared" ca="1" si="1700"/>
        <v>-0.61400438572856997</v>
      </c>
      <c r="CO199" s="42">
        <f t="shared" ca="1" si="1701"/>
        <v>0.33701580910706302</v>
      </c>
      <c r="CP199" s="42">
        <f t="shared" ca="1" si="1702"/>
        <v>0.66298419089293703</v>
      </c>
      <c r="CQ199" s="42">
        <f t="shared" ca="1" si="1703"/>
        <v>0.26960621453848232</v>
      </c>
      <c r="CR199" s="42">
        <f t="shared" ca="1" si="1704"/>
        <v>0.73039378546151768</v>
      </c>
      <c r="CS199" s="42">
        <f t="shared" ca="1" si="1705"/>
        <v>0.98162450344672281</v>
      </c>
      <c r="CT199" s="42">
        <f t="shared" ca="1" si="1706"/>
        <v>93.254327827438672</v>
      </c>
      <c r="CU199" s="42">
        <f t="shared" ca="1" si="1707"/>
        <v>0.98801719747153338</v>
      </c>
      <c r="CV199" s="42">
        <f t="shared" ca="1" si="1708"/>
        <v>84.376668664068958</v>
      </c>
      <c r="CW199" s="42">
        <f t="shared" ca="1" si="1709"/>
        <v>0.365167296678925</v>
      </c>
      <c r="CX199" s="42">
        <f t="shared" ca="1" si="1710"/>
        <v>3.2943249446933756</v>
      </c>
      <c r="CY199" s="42">
        <f t="shared" ca="1" si="1711"/>
        <v>0.33297741521756169</v>
      </c>
      <c r="CZ199" s="42">
        <f t="shared" ca="1" si="1712"/>
        <v>2.1846410172893065E-2</v>
      </c>
      <c r="DA199" s="42">
        <f t="shared" ca="1" si="1600"/>
        <v>-1.8333614860733365E-2</v>
      </c>
      <c r="DB199" s="42">
        <f t="shared" ca="1" si="1713"/>
        <v>0.20980427706325602</v>
      </c>
      <c r="DC199" s="42">
        <f t="shared" ca="1" si="1714"/>
        <v>0.11657329370125608</v>
      </c>
      <c r="DD199" s="42">
        <f t="shared" ca="1" si="1715"/>
        <v>-927.83752765331235</v>
      </c>
      <c r="DE199" s="40"/>
      <c r="DF199" s="36">
        <f t="shared" si="733"/>
        <v>200</v>
      </c>
      <c r="DG199" s="35">
        <f t="shared" si="1603"/>
        <v>0.28399999999999997</v>
      </c>
      <c r="DH199" s="197">
        <f t="shared" ca="1" si="1382"/>
        <v>169.23611111111677</v>
      </c>
      <c r="DI199" s="41">
        <f t="shared" ca="1" si="1604"/>
        <v>0.46366057838662128</v>
      </c>
      <c r="DJ199" s="40">
        <f t="shared" ca="1" si="1716"/>
        <v>-0.85097126575351234</v>
      </c>
      <c r="DK199" s="40">
        <f t="shared" ca="1" si="1717"/>
        <v>2.5189751902588361E-2</v>
      </c>
      <c r="DL199" s="40">
        <f t="shared" ca="1" si="1718"/>
        <v>0.19338305926412305</v>
      </c>
      <c r="DM199" s="42">
        <f t="shared" ca="1" si="1719"/>
        <v>-4.2701853874545943</v>
      </c>
      <c r="DN199" s="42">
        <f t="shared" ca="1" si="1720"/>
        <v>-4.4635684467187176</v>
      </c>
      <c r="DO199" s="42">
        <f t="shared" ca="1" si="1721"/>
        <v>9.7655276518789487E-6</v>
      </c>
      <c r="DP199" s="42">
        <f t="shared" ca="1" si="1722"/>
        <v>0.99999023447234814</v>
      </c>
      <c r="DQ199" s="42">
        <f t="shared" ca="1" si="1723"/>
        <v>4.0302916462733568E-6</v>
      </c>
      <c r="DR199" s="42">
        <f t="shared" ca="1" si="1724"/>
        <v>0.99999596970835369</v>
      </c>
      <c r="DS199" s="42">
        <f t="shared" ca="1" si="1725"/>
        <v>0.98162450344672281</v>
      </c>
      <c r="DT199" s="42">
        <f t="shared" ca="1" si="1726"/>
        <v>196.32490068934456</v>
      </c>
      <c r="DU199" s="42">
        <f t="shared" ca="1" si="1727"/>
        <v>0.98801719747153338</v>
      </c>
      <c r="DV199" s="42">
        <f t="shared" ca="1" si="1728"/>
        <v>84.376668664068958</v>
      </c>
      <c r="DW199" s="42">
        <f t="shared" ca="1" si="1729"/>
        <v>4.3786712472282578E-5</v>
      </c>
      <c r="DX199" s="42">
        <f t="shared" si="1730"/>
        <v>0</v>
      </c>
      <c r="DY199" s="92">
        <f t="shared" ca="1" si="1731"/>
        <v>0</v>
      </c>
      <c r="DZ199" s="42">
        <f t="shared" ca="1" si="1732"/>
        <v>0</v>
      </c>
      <c r="EA199" s="42">
        <f t="shared" ca="1" si="1622"/>
        <v>0</v>
      </c>
      <c r="EB199" s="42">
        <f t="shared" ca="1" si="1733"/>
        <v>0</v>
      </c>
      <c r="EC199" s="42">
        <f t="shared" ca="1" si="1734"/>
        <v>0</v>
      </c>
      <c r="ED199" s="42">
        <f t="shared" ca="1" si="1735"/>
        <v>0</v>
      </c>
      <c r="EE199" s="40"/>
      <c r="EF199" s="120">
        <f t="shared" ca="1" si="756"/>
        <v>85.4</v>
      </c>
      <c r="EG199" s="42">
        <f t="shared" ca="1" si="1625"/>
        <v>258.33906893413985</v>
      </c>
      <c r="EH199" s="36">
        <f t="shared" ca="1" si="1626"/>
        <v>258.33906893413985</v>
      </c>
      <c r="EI199" s="143">
        <f t="shared" ca="1" si="1627"/>
        <v>258.339</v>
      </c>
      <c r="EJ199" s="143">
        <f t="shared" ca="1" si="1635"/>
        <v>0</v>
      </c>
      <c r="EK199" s="153">
        <f t="shared" ca="1" si="1628"/>
        <v>0</v>
      </c>
      <c r="EL199" s="143">
        <f t="shared" ca="1" si="1629"/>
        <v>0</v>
      </c>
    </row>
    <row r="200" spans="1:142" x14ac:dyDescent="0.3">
      <c r="A200" s="143">
        <f t="shared" ca="1" si="1630"/>
        <v>85.4</v>
      </c>
      <c r="B200" s="144">
        <f t="shared" ca="1" si="1631"/>
        <v>0.28399999999999997</v>
      </c>
      <c r="C200" s="145">
        <f t="shared" ca="1" si="1632"/>
        <v>45295.440972222219</v>
      </c>
      <c r="D200" s="144">
        <f t="shared" ca="1" si="1633"/>
        <v>2.5999999999999999E-2</v>
      </c>
      <c r="E200" s="144">
        <f t="shared" ca="1" si="1634"/>
        <v>0.04</v>
      </c>
      <c r="F200" s="36">
        <f t="shared" si="641"/>
        <v>75</v>
      </c>
      <c r="G200" s="35">
        <f t="shared" si="1515"/>
        <v>0.28399999999999997</v>
      </c>
      <c r="H200" s="197">
        <f t="shared" ca="1" si="1290"/>
        <v>169.23611111111677</v>
      </c>
      <c r="I200" s="41">
        <f t="shared" ca="1" si="1516"/>
        <v>0.46366057838662128</v>
      </c>
      <c r="J200" s="40">
        <f t="shared" ca="1" si="1636"/>
        <v>0.12985798725821379</v>
      </c>
      <c r="K200" s="40">
        <f t="shared" ca="1" si="1637"/>
        <v>2.5189751902588361E-2</v>
      </c>
      <c r="L200" s="40">
        <f t="shared" ca="1" si="1638"/>
        <v>0.19338305926412305</v>
      </c>
      <c r="M200" s="42">
        <f t="shared" ca="1" si="1639"/>
        <v>0.80176484822818728</v>
      </c>
      <c r="N200" s="42">
        <f t="shared" ca="1" si="1640"/>
        <v>0.60838178896406425</v>
      </c>
      <c r="O200" s="42">
        <f t="shared" ca="1" si="1641"/>
        <v>0.78865550202522283</v>
      </c>
      <c r="P200" s="42">
        <f t="shared" ca="1" si="1642"/>
        <v>0.21134449797477717</v>
      </c>
      <c r="Q200" s="42">
        <f t="shared" ca="1" si="1643"/>
        <v>0.72853285658034883</v>
      </c>
      <c r="R200" s="42">
        <f t="shared" ca="1" si="1644"/>
        <v>0.27146714341965111</v>
      </c>
      <c r="S200" s="42">
        <f t="shared" ca="1" si="1645"/>
        <v>0.98162450344672281</v>
      </c>
      <c r="T200" s="42">
        <f t="shared" ca="1" si="1646"/>
        <v>73.621837758504213</v>
      </c>
      <c r="U200" s="42">
        <f t="shared" ca="1" si="1647"/>
        <v>0.98801719747153338</v>
      </c>
      <c r="V200" s="42">
        <f t="shared" ca="1" si="1648"/>
        <v>84.376668664068958</v>
      </c>
      <c r="W200" s="42">
        <f t="shared" ca="1" si="1649"/>
        <v>0.28928238154977365</v>
      </c>
      <c r="X200" s="42">
        <f t="shared" ca="1" si="1650"/>
        <v>2.153365310014383</v>
      </c>
      <c r="Y200" s="42">
        <f t="shared" ca="1" si="1651"/>
        <v>-0.20881199859006749</v>
      </c>
      <c r="Z200" s="42">
        <f t="shared" ca="1" si="1652"/>
        <v>1.7306537635226424E-2</v>
      </c>
      <c r="AA200" s="42">
        <f t="shared" ca="1" si="1534"/>
        <v>-1.302570857267049E-2</v>
      </c>
      <c r="AB200" s="42">
        <f t="shared" ca="1" si="1653"/>
        <v>0.16620513797420244</v>
      </c>
      <c r="AC200" s="42">
        <f t="shared" ca="1" si="1654"/>
        <v>-9.2666785853637385E-2</v>
      </c>
      <c r="AD200" s="42">
        <f t="shared" ca="1" si="1655"/>
        <v>-723.31734499280856</v>
      </c>
      <c r="AF200" s="36">
        <f t="shared" si="664"/>
        <v>80</v>
      </c>
      <c r="AG200" s="35">
        <f t="shared" si="1537"/>
        <v>0.28399999999999997</v>
      </c>
      <c r="AH200" s="197">
        <f t="shared" ca="1" si="1313"/>
        <v>169.23611111111677</v>
      </c>
      <c r="AI200" s="41">
        <f t="shared" ca="1" si="1538"/>
        <v>0.46366057838662128</v>
      </c>
      <c r="AJ200" s="40">
        <f t="shared" ca="1" si="1656"/>
        <v>6.5319466120642669E-2</v>
      </c>
      <c r="AK200" s="40">
        <f t="shared" ca="1" si="1657"/>
        <v>2.5189751902588361E-2</v>
      </c>
      <c r="AL200" s="40">
        <f t="shared" ca="1" si="1658"/>
        <v>0.19338305926412305</v>
      </c>
      <c r="AM200" s="42">
        <f t="shared" ca="1" si="1659"/>
        <v>0.46803074875143702</v>
      </c>
      <c r="AN200" s="42">
        <f t="shared" ca="1" si="1660"/>
        <v>0.274647689487314</v>
      </c>
      <c r="AO200" s="42">
        <f t="shared" ca="1" si="1661"/>
        <v>0.68011869960825055</v>
      </c>
      <c r="AP200" s="42">
        <f t="shared" ca="1" si="1662"/>
        <v>0.31988130039174945</v>
      </c>
      <c r="AQ200" s="42">
        <f t="shared" ca="1" si="1663"/>
        <v>0.60820653811473968</v>
      </c>
      <c r="AR200" s="42">
        <f t="shared" ca="1" si="1664"/>
        <v>0.39179346188526026</v>
      </c>
      <c r="AS200" s="42">
        <f t="shared" ca="1" si="1665"/>
        <v>0.98162450344672281</v>
      </c>
      <c r="AT200" s="42">
        <f t="shared" ca="1" si="1666"/>
        <v>78.529960275737821</v>
      </c>
      <c r="AU200" s="42">
        <f t="shared" ca="1" si="1667"/>
        <v>0.98801719747153338</v>
      </c>
      <c r="AV200" s="42">
        <f t="shared" ca="1" si="1668"/>
        <v>84.376668664068958</v>
      </c>
      <c r="AW200" s="42">
        <f t="shared" ca="1" si="1669"/>
        <v>0.3575554142041969</v>
      </c>
      <c r="AX200" s="42">
        <f t="shared" ca="1" si="1670"/>
        <v>3.777006503157132</v>
      </c>
      <c r="AY200" s="42">
        <f t="shared" ca="1" si="1671"/>
        <v>-0.31604822593660598</v>
      </c>
      <c r="AZ200" s="42">
        <f t="shared" ca="1" si="1672"/>
        <v>2.1391023537115056E-2</v>
      </c>
      <c r="BA200" s="42">
        <f t="shared" ca="1" si="1556"/>
        <v>-1.5787806699479157E-2</v>
      </c>
      <c r="BB200" s="42">
        <f t="shared" ca="1" si="1673"/>
        <v>0.20543092404335248</v>
      </c>
      <c r="BC200" s="42">
        <f t="shared" ca="1" si="1674"/>
        <v>-0.14265688436163948</v>
      </c>
      <c r="BD200" s="42">
        <f t="shared" ca="1" si="1675"/>
        <v>936.49674842143418</v>
      </c>
      <c r="BE200" s="40"/>
      <c r="BF200" s="36">
        <f t="shared" si="687"/>
        <v>90</v>
      </c>
      <c r="BG200" s="35">
        <f t="shared" si="1559"/>
        <v>0.28399999999999997</v>
      </c>
      <c r="BH200" s="197">
        <f t="shared" ca="1" si="1336"/>
        <v>169.23611111111677</v>
      </c>
      <c r="BI200" s="41">
        <f t="shared" ca="1" si="1560"/>
        <v>0.46366057838662128</v>
      </c>
      <c r="BJ200" s="40">
        <f t="shared" ca="1" si="1676"/>
        <v>-5.2463569535740766E-2</v>
      </c>
      <c r="BK200" s="40">
        <f t="shared" ca="1" si="1677"/>
        <v>2.5189751902588361E-2</v>
      </c>
      <c r="BL200" s="40">
        <f t="shared" ca="1" si="1678"/>
        <v>0.19338305926412305</v>
      </c>
      <c r="BM200" s="42">
        <f t="shared" ca="1" si="1679"/>
        <v>-0.14103519582809868</v>
      </c>
      <c r="BN200" s="42">
        <f t="shared" ca="1" si="1680"/>
        <v>-0.33441825509222173</v>
      </c>
      <c r="BO200" s="42">
        <f t="shared" ca="1" si="1681"/>
        <v>0.44392106898616246</v>
      </c>
      <c r="BP200" s="42">
        <f t="shared" ca="1" si="1682"/>
        <v>0.55607893101383754</v>
      </c>
      <c r="BQ200" s="42">
        <f t="shared" ca="1" si="1683"/>
        <v>0.36903198301145818</v>
      </c>
      <c r="BR200" s="42">
        <f t="shared" ca="1" si="1684"/>
        <v>0.63096801698854188</v>
      </c>
      <c r="BS200" s="42">
        <f t="shared" ca="1" si="1685"/>
        <v>0.98162450344672281</v>
      </c>
      <c r="BT200" s="42">
        <f t="shared" ca="1" si="1686"/>
        <v>88.34620531020505</v>
      </c>
      <c r="BU200" s="42">
        <f t="shared" ca="1" si="1687"/>
        <v>0.98801719747153338</v>
      </c>
      <c r="BV200" s="42">
        <f t="shared" ca="1" si="1688"/>
        <v>84.376668664068958</v>
      </c>
      <c r="BW200" s="42">
        <f t="shared" ca="1" si="1689"/>
        <v>0.39499427951128013</v>
      </c>
      <c r="BX200" s="42">
        <f t="shared" ca="1" si="1690"/>
        <v>4.8540056136823466</v>
      </c>
      <c r="BY200" s="42">
        <f t="shared" ca="1" si="1691"/>
        <v>0.43860165047827548</v>
      </c>
      <c r="BZ200" s="42">
        <f t="shared" ca="1" si="1692"/>
        <v>2.3630832017624698E-2</v>
      </c>
      <c r="CA200" s="42">
        <f t="shared" ca="1" si="1578"/>
        <v>-1.9946570164958009E-2</v>
      </c>
      <c r="CB200" s="42">
        <f t="shared" ca="1" si="1693"/>
        <v>0.22694115823260852</v>
      </c>
      <c r="CC200" s="42">
        <f t="shared" ca="1" si="1694"/>
        <v>0.15116528937722107</v>
      </c>
      <c r="CD200" s="42">
        <f t="shared" ca="1" si="1695"/>
        <v>972.99719315882658</v>
      </c>
      <c r="CE200" s="40"/>
      <c r="CF200" s="36">
        <f t="shared" si="710"/>
        <v>95</v>
      </c>
      <c r="CG200" s="35">
        <f t="shared" si="1581"/>
        <v>0.28399999999999997</v>
      </c>
      <c r="CH200" s="197">
        <f t="shared" ca="1" si="1359"/>
        <v>169.23611111111677</v>
      </c>
      <c r="CI200" s="41">
        <f t="shared" ca="1" si="1582"/>
        <v>0.46366057838662128</v>
      </c>
      <c r="CJ200" s="40">
        <f t="shared" ca="1" si="1696"/>
        <v>-0.10653079080601656</v>
      </c>
      <c r="CK200" s="40">
        <f t="shared" ca="1" si="1697"/>
        <v>2.5189751902588361E-2</v>
      </c>
      <c r="CL200" s="40">
        <f t="shared" ca="1" si="1698"/>
        <v>0.19338305926412305</v>
      </c>
      <c r="CM200" s="42">
        <f t="shared" ca="1" si="1699"/>
        <v>-0.42062132646444694</v>
      </c>
      <c r="CN200" s="42">
        <f t="shared" ca="1" si="1700"/>
        <v>-0.61400438572856997</v>
      </c>
      <c r="CO200" s="42">
        <f t="shared" ca="1" si="1701"/>
        <v>0.33701580910706302</v>
      </c>
      <c r="CP200" s="42">
        <f t="shared" ca="1" si="1702"/>
        <v>0.66298419089293703</v>
      </c>
      <c r="CQ200" s="42">
        <f t="shared" ca="1" si="1703"/>
        <v>0.26960621453848232</v>
      </c>
      <c r="CR200" s="42">
        <f t="shared" ca="1" si="1704"/>
        <v>0.73039378546151768</v>
      </c>
      <c r="CS200" s="42">
        <f t="shared" ca="1" si="1705"/>
        <v>0.98162450344672281</v>
      </c>
      <c r="CT200" s="42">
        <f t="shared" ca="1" si="1706"/>
        <v>93.254327827438672</v>
      </c>
      <c r="CU200" s="42">
        <f t="shared" ca="1" si="1707"/>
        <v>0.98801719747153338</v>
      </c>
      <c r="CV200" s="42">
        <f t="shared" ca="1" si="1708"/>
        <v>84.376668664068958</v>
      </c>
      <c r="CW200" s="42">
        <f t="shared" ca="1" si="1709"/>
        <v>0.365167296678925</v>
      </c>
      <c r="CX200" s="42">
        <f t="shared" ca="1" si="1710"/>
        <v>3.2943249446933756</v>
      </c>
      <c r="CY200" s="42">
        <f t="shared" ca="1" si="1711"/>
        <v>0.33297741521756169</v>
      </c>
      <c r="CZ200" s="42">
        <f t="shared" ca="1" si="1712"/>
        <v>2.1846410172893065E-2</v>
      </c>
      <c r="DA200" s="42">
        <f t="shared" ca="1" si="1600"/>
        <v>-1.8333614860733365E-2</v>
      </c>
      <c r="DB200" s="42">
        <f t="shared" ca="1" si="1713"/>
        <v>0.20980427706325602</v>
      </c>
      <c r="DC200" s="42">
        <f t="shared" ca="1" si="1714"/>
        <v>0.11657329370125608</v>
      </c>
      <c r="DD200" s="42">
        <f t="shared" ca="1" si="1715"/>
        <v>-927.83752765331235</v>
      </c>
      <c r="DE200" s="40"/>
      <c r="DF200" s="36">
        <f t="shared" si="733"/>
        <v>200</v>
      </c>
      <c r="DG200" s="35">
        <f t="shared" si="1603"/>
        <v>0.28399999999999997</v>
      </c>
      <c r="DH200" s="197">
        <f t="shared" ca="1" si="1382"/>
        <v>169.23611111111677</v>
      </c>
      <c r="DI200" s="41">
        <f t="shared" ca="1" si="1604"/>
        <v>0.46366057838662128</v>
      </c>
      <c r="DJ200" s="40">
        <f t="shared" ca="1" si="1716"/>
        <v>-0.85097126575351234</v>
      </c>
      <c r="DK200" s="40">
        <f t="shared" ca="1" si="1717"/>
        <v>2.5189751902588361E-2</v>
      </c>
      <c r="DL200" s="40">
        <f t="shared" ca="1" si="1718"/>
        <v>0.19338305926412305</v>
      </c>
      <c r="DM200" s="42">
        <f t="shared" ca="1" si="1719"/>
        <v>-4.2701853874545943</v>
      </c>
      <c r="DN200" s="42">
        <f t="shared" ca="1" si="1720"/>
        <v>-4.4635684467187176</v>
      </c>
      <c r="DO200" s="42">
        <f t="shared" ca="1" si="1721"/>
        <v>9.7655276518789487E-6</v>
      </c>
      <c r="DP200" s="42">
        <f t="shared" ca="1" si="1722"/>
        <v>0.99999023447234814</v>
      </c>
      <c r="DQ200" s="42">
        <f t="shared" ca="1" si="1723"/>
        <v>4.0302916462733568E-6</v>
      </c>
      <c r="DR200" s="42">
        <f t="shared" ca="1" si="1724"/>
        <v>0.99999596970835369</v>
      </c>
      <c r="DS200" s="42">
        <f t="shared" ca="1" si="1725"/>
        <v>0.98162450344672281</v>
      </c>
      <c r="DT200" s="42">
        <f t="shared" ca="1" si="1726"/>
        <v>196.32490068934456</v>
      </c>
      <c r="DU200" s="42">
        <f t="shared" ca="1" si="1727"/>
        <v>0.98801719747153338</v>
      </c>
      <c r="DV200" s="42">
        <f t="shared" ca="1" si="1728"/>
        <v>84.376668664068958</v>
      </c>
      <c r="DW200" s="42">
        <f t="shared" ca="1" si="1729"/>
        <v>4.3786712472282578E-5</v>
      </c>
      <c r="DX200" s="42">
        <f t="shared" si="1730"/>
        <v>0</v>
      </c>
      <c r="DY200" s="92">
        <f t="shared" ca="1" si="1731"/>
        <v>0</v>
      </c>
      <c r="DZ200" s="42">
        <f t="shared" ca="1" si="1732"/>
        <v>0</v>
      </c>
      <c r="EA200" s="42">
        <f t="shared" ca="1" si="1622"/>
        <v>0</v>
      </c>
      <c r="EB200" s="42">
        <f t="shared" ca="1" si="1733"/>
        <v>0</v>
      </c>
      <c r="EC200" s="42">
        <f t="shared" ca="1" si="1734"/>
        <v>0</v>
      </c>
      <c r="ED200" s="42">
        <f t="shared" ca="1" si="1735"/>
        <v>0</v>
      </c>
      <c r="EE200" s="40"/>
      <c r="EF200" s="120">
        <f t="shared" ca="1" si="756"/>
        <v>85.4</v>
      </c>
      <c r="EG200" s="42">
        <f t="shared" ca="1" si="1625"/>
        <v>258.33906893413985</v>
      </c>
      <c r="EH200" s="36">
        <f t="shared" ca="1" si="1626"/>
        <v>258.33906893413985</v>
      </c>
      <c r="EI200" s="143">
        <f t="shared" ca="1" si="1627"/>
        <v>258.339</v>
      </c>
      <c r="EJ200" s="143">
        <f t="shared" ca="1" si="1635"/>
        <v>0</v>
      </c>
      <c r="EK200" s="153">
        <f t="shared" ca="1" si="1628"/>
        <v>0</v>
      </c>
      <c r="EL200" s="143">
        <f t="shared" ca="1" si="1629"/>
        <v>0</v>
      </c>
    </row>
    <row r="201" spans="1:142" x14ac:dyDescent="0.3">
      <c r="A201" s="143">
        <f t="shared" ca="1" si="1630"/>
        <v>85.4</v>
      </c>
      <c r="B201" s="144">
        <f t="shared" ca="1" si="1631"/>
        <v>0.28399999999999997</v>
      </c>
      <c r="C201" s="145">
        <f t="shared" ca="1" si="1632"/>
        <v>45295.440972222219</v>
      </c>
      <c r="D201" s="144">
        <f t="shared" ca="1" si="1633"/>
        <v>2.5999999999999999E-2</v>
      </c>
      <c r="E201" s="144">
        <f t="shared" ca="1" si="1634"/>
        <v>0.04</v>
      </c>
      <c r="F201" s="36">
        <f t="shared" si="641"/>
        <v>75</v>
      </c>
      <c r="G201" s="35">
        <f t="shared" si="1515"/>
        <v>0.28399999999999997</v>
      </c>
      <c r="H201" s="197">
        <f t="shared" ca="1" si="1290"/>
        <v>169.23611111111677</v>
      </c>
      <c r="I201" s="41">
        <f t="shared" ca="1" si="1516"/>
        <v>0.46366057838662128</v>
      </c>
      <c r="J201" s="40">
        <f t="shared" ca="1" si="1636"/>
        <v>0.12985798725821379</v>
      </c>
      <c r="K201" s="40">
        <f t="shared" ca="1" si="1637"/>
        <v>2.5189751902588361E-2</v>
      </c>
      <c r="L201" s="40">
        <f t="shared" ca="1" si="1638"/>
        <v>0.19338305926412305</v>
      </c>
      <c r="M201" s="42">
        <f t="shared" ca="1" si="1639"/>
        <v>0.80176484822818728</v>
      </c>
      <c r="N201" s="42">
        <f t="shared" ca="1" si="1640"/>
        <v>0.60838178896406425</v>
      </c>
      <c r="O201" s="42">
        <f t="shared" ca="1" si="1641"/>
        <v>0.78865550202522283</v>
      </c>
      <c r="P201" s="42">
        <f t="shared" ca="1" si="1642"/>
        <v>0.21134449797477717</v>
      </c>
      <c r="Q201" s="42">
        <f t="shared" ca="1" si="1643"/>
        <v>0.72853285658034883</v>
      </c>
      <c r="R201" s="42">
        <f t="shared" ca="1" si="1644"/>
        <v>0.27146714341965111</v>
      </c>
      <c r="S201" s="42">
        <f t="shared" ca="1" si="1645"/>
        <v>0.98162450344672281</v>
      </c>
      <c r="T201" s="42">
        <f t="shared" ca="1" si="1646"/>
        <v>73.621837758504213</v>
      </c>
      <c r="U201" s="42">
        <f t="shared" ca="1" si="1647"/>
        <v>0.98801719747153338</v>
      </c>
      <c r="V201" s="42">
        <f t="shared" ca="1" si="1648"/>
        <v>84.376668664068958</v>
      </c>
      <c r="W201" s="42">
        <f t="shared" ca="1" si="1649"/>
        <v>0.28928238154977365</v>
      </c>
      <c r="X201" s="42">
        <f t="shared" ca="1" si="1650"/>
        <v>2.153365310014383</v>
      </c>
      <c r="Y201" s="42">
        <f t="shared" ca="1" si="1651"/>
        <v>-0.20881199859006749</v>
      </c>
      <c r="Z201" s="42">
        <f t="shared" ca="1" si="1652"/>
        <v>1.7306537635226424E-2</v>
      </c>
      <c r="AA201" s="42">
        <f t="shared" ca="1" si="1534"/>
        <v>-1.302570857267049E-2</v>
      </c>
      <c r="AB201" s="42">
        <f t="shared" ca="1" si="1653"/>
        <v>0.16620513797420244</v>
      </c>
      <c r="AC201" s="42">
        <f t="shared" ca="1" si="1654"/>
        <v>-9.2666785853637385E-2</v>
      </c>
      <c r="AD201" s="42">
        <f t="shared" ca="1" si="1655"/>
        <v>-723.31734499280856</v>
      </c>
      <c r="AF201" s="36">
        <f t="shared" si="664"/>
        <v>80</v>
      </c>
      <c r="AG201" s="35">
        <f t="shared" si="1537"/>
        <v>0.28399999999999997</v>
      </c>
      <c r="AH201" s="197">
        <f t="shared" ca="1" si="1313"/>
        <v>169.23611111111677</v>
      </c>
      <c r="AI201" s="41">
        <f t="shared" ca="1" si="1538"/>
        <v>0.46366057838662128</v>
      </c>
      <c r="AJ201" s="40">
        <f t="shared" ca="1" si="1656"/>
        <v>6.5319466120642669E-2</v>
      </c>
      <c r="AK201" s="40">
        <f t="shared" ca="1" si="1657"/>
        <v>2.5189751902588361E-2</v>
      </c>
      <c r="AL201" s="40">
        <f t="shared" ca="1" si="1658"/>
        <v>0.19338305926412305</v>
      </c>
      <c r="AM201" s="42">
        <f t="shared" ca="1" si="1659"/>
        <v>0.46803074875143702</v>
      </c>
      <c r="AN201" s="42">
        <f t="shared" ca="1" si="1660"/>
        <v>0.274647689487314</v>
      </c>
      <c r="AO201" s="42">
        <f t="shared" ca="1" si="1661"/>
        <v>0.68011869960825055</v>
      </c>
      <c r="AP201" s="42">
        <f t="shared" ca="1" si="1662"/>
        <v>0.31988130039174945</v>
      </c>
      <c r="AQ201" s="42">
        <f t="shared" ca="1" si="1663"/>
        <v>0.60820653811473968</v>
      </c>
      <c r="AR201" s="42">
        <f t="shared" ca="1" si="1664"/>
        <v>0.39179346188526026</v>
      </c>
      <c r="AS201" s="42">
        <f t="shared" ca="1" si="1665"/>
        <v>0.98162450344672281</v>
      </c>
      <c r="AT201" s="42">
        <f t="shared" ca="1" si="1666"/>
        <v>78.529960275737821</v>
      </c>
      <c r="AU201" s="42">
        <f t="shared" ca="1" si="1667"/>
        <v>0.98801719747153338</v>
      </c>
      <c r="AV201" s="42">
        <f t="shared" ca="1" si="1668"/>
        <v>84.376668664068958</v>
      </c>
      <c r="AW201" s="42">
        <f t="shared" ca="1" si="1669"/>
        <v>0.3575554142041969</v>
      </c>
      <c r="AX201" s="42">
        <f t="shared" ca="1" si="1670"/>
        <v>3.777006503157132</v>
      </c>
      <c r="AY201" s="42">
        <f t="shared" ca="1" si="1671"/>
        <v>-0.31604822593660598</v>
      </c>
      <c r="AZ201" s="42">
        <f t="shared" ca="1" si="1672"/>
        <v>2.1391023537115056E-2</v>
      </c>
      <c r="BA201" s="42">
        <f t="shared" ca="1" si="1556"/>
        <v>-1.5787806699479157E-2</v>
      </c>
      <c r="BB201" s="42">
        <f t="shared" ca="1" si="1673"/>
        <v>0.20543092404335248</v>
      </c>
      <c r="BC201" s="42">
        <f t="shared" ca="1" si="1674"/>
        <v>-0.14265688436163948</v>
      </c>
      <c r="BD201" s="42">
        <f t="shared" ca="1" si="1675"/>
        <v>936.49674842143418</v>
      </c>
      <c r="BE201" s="40"/>
      <c r="BF201" s="36">
        <f t="shared" si="687"/>
        <v>90</v>
      </c>
      <c r="BG201" s="35">
        <f t="shared" si="1559"/>
        <v>0.28399999999999997</v>
      </c>
      <c r="BH201" s="197">
        <f t="shared" ca="1" si="1336"/>
        <v>169.23611111111677</v>
      </c>
      <c r="BI201" s="41">
        <f t="shared" ca="1" si="1560"/>
        <v>0.46366057838662128</v>
      </c>
      <c r="BJ201" s="40">
        <f t="shared" ca="1" si="1676"/>
        <v>-5.2463569535740766E-2</v>
      </c>
      <c r="BK201" s="40">
        <f t="shared" ca="1" si="1677"/>
        <v>2.5189751902588361E-2</v>
      </c>
      <c r="BL201" s="40">
        <f t="shared" ca="1" si="1678"/>
        <v>0.19338305926412305</v>
      </c>
      <c r="BM201" s="42">
        <f t="shared" ca="1" si="1679"/>
        <v>-0.14103519582809868</v>
      </c>
      <c r="BN201" s="42">
        <f t="shared" ca="1" si="1680"/>
        <v>-0.33441825509222173</v>
      </c>
      <c r="BO201" s="42">
        <f t="shared" ca="1" si="1681"/>
        <v>0.44392106898616246</v>
      </c>
      <c r="BP201" s="42">
        <f t="shared" ca="1" si="1682"/>
        <v>0.55607893101383754</v>
      </c>
      <c r="BQ201" s="42">
        <f t="shared" ca="1" si="1683"/>
        <v>0.36903198301145818</v>
      </c>
      <c r="BR201" s="42">
        <f t="shared" ca="1" si="1684"/>
        <v>0.63096801698854188</v>
      </c>
      <c r="BS201" s="42">
        <f t="shared" ca="1" si="1685"/>
        <v>0.98162450344672281</v>
      </c>
      <c r="BT201" s="42">
        <f t="shared" ca="1" si="1686"/>
        <v>88.34620531020505</v>
      </c>
      <c r="BU201" s="42">
        <f t="shared" ca="1" si="1687"/>
        <v>0.98801719747153338</v>
      </c>
      <c r="BV201" s="42">
        <f t="shared" ca="1" si="1688"/>
        <v>84.376668664068958</v>
      </c>
      <c r="BW201" s="42">
        <f t="shared" ca="1" si="1689"/>
        <v>0.39499427951128013</v>
      </c>
      <c r="BX201" s="42">
        <f t="shared" ca="1" si="1690"/>
        <v>4.8540056136823466</v>
      </c>
      <c r="BY201" s="42">
        <f t="shared" ca="1" si="1691"/>
        <v>0.43860165047827548</v>
      </c>
      <c r="BZ201" s="42">
        <f t="shared" ca="1" si="1692"/>
        <v>2.3630832017624698E-2</v>
      </c>
      <c r="CA201" s="42">
        <f t="shared" ca="1" si="1578"/>
        <v>-1.9946570164958009E-2</v>
      </c>
      <c r="CB201" s="42">
        <f t="shared" ca="1" si="1693"/>
        <v>0.22694115823260852</v>
      </c>
      <c r="CC201" s="42">
        <f t="shared" ca="1" si="1694"/>
        <v>0.15116528937722107</v>
      </c>
      <c r="CD201" s="42">
        <f t="shared" ca="1" si="1695"/>
        <v>972.99719315882658</v>
      </c>
      <c r="CE201" s="40"/>
      <c r="CF201" s="36">
        <f t="shared" si="710"/>
        <v>95</v>
      </c>
      <c r="CG201" s="35">
        <f t="shared" si="1581"/>
        <v>0.28399999999999997</v>
      </c>
      <c r="CH201" s="197">
        <f t="shared" ca="1" si="1359"/>
        <v>169.23611111111677</v>
      </c>
      <c r="CI201" s="41">
        <f t="shared" ca="1" si="1582"/>
        <v>0.46366057838662128</v>
      </c>
      <c r="CJ201" s="40">
        <f t="shared" ca="1" si="1696"/>
        <v>-0.10653079080601656</v>
      </c>
      <c r="CK201" s="40">
        <f t="shared" ca="1" si="1697"/>
        <v>2.5189751902588361E-2</v>
      </c>
      <c r="CL201" s="40">
        <f t="shared" ca="1" si="1698"/>
        <v>0.19338305926412305</v>
      </c>
      <c r="CM201" s="42">
        <f t="shared" ca="1" si="1699"/>
        <v>-0.42062132646444694</v>
      </c>
      <c r="CN201" s="42">
        <f t="shared" ca="1" si="1700"/>
        <v>-0.61400438572856997</v>
      </c>
      <c r="CO201" s="42">
        <f t="shared" ca="1" si="1701"/>
        <v>0.33701580910706302</v>
      </c>
      <c r="CP201" s="42">
        <f t="shared" ca="1" si="1702"/>
        <v>0.66298419089293703</v>
      </c>
      <c r="CQ201" s="42">
        <f t="shared" ca="1" si="1703"/>
        <v>0.26960621453848232</v>
      </c>
      <c r="CR201" s="42">
        <f t="shared" ca="1" si="1704"/>
        <v>0.73039378546151768</v>
      </c>
      <c r="CS201" s="42">
        <f t="shared" ca="1" si="1705"/>
        <v>0.98162450344672281</v>
      </c>
      <c r="CT201" s="42">
        <f t="shared" ca="1" si="1706"/>
        <v>93.254327827438672</v>
      </c>
      <c r="CU201" s="42">
        <f t="shared" ca="1" si="1707"/>
        <v>0.98801719747153338</v>
      </c>
      <c r="CV201" s="42">
        <f t="shared" ca="1" si="1708"/>
        <v>84.376668664068958</v>
      </c>
      <c r="CW201" s="42">
        <f t="shared" ca="1" si="1709"/>
        <v>0.365167296678925</v>
      </c>
      <c r="CX201" s="42">
        <f t="shared" ca="1" si="1710"/>
        <v>3.2943249446933756</v>
      </c>
      <c r="CY201" s="42">
        <f t="shared" ca="1" si="1711"/>
        <v>0.33297741521756169</v>
      </c>
      <c r="CZ201" s="42">
        <f t="shared" ca="1" si="1712"/>
        <v>2.1846410172893065E-2</v>
      </c>
      <c r="DA201" s="42">
        <f t="shared" ca="1" si="1600"/>
        <v>-1.8333614860733365E-2</v>
      </c>
      <c r="DB201" s="42">
        <f t="shared" ca="1" si="1713"/>
        <v>0.20980427706325602</v>
      </c>
      <c r="DC201" s="42">
        <f t="shared" ca="1" si="1714"/>
        <v>0.11657329370125608</v>
      </c>
      <c r="DD201" s="42">
        <f t="shared" ca="1" si="1715"/>
        <v>-927.83752765331235</v>
      </c>
      <c r="DE201" s="40"/>
      <c r="DF201" s="36">
        <f t="shared" si="733"/>
        <v>200</v>
      </c>
      <c r="DG201" s="35">
        <f t="shared" si="1603"/>
        <v>0.28399999999999997</v>
      </c>
      <c r="DH201" s="197">
        <f t="shared" ca="1" si="1382"/>
        <v>169.23611111111677</v>
      </c>
      <c r="DI201" s="41">
        <f t="shared" ca="1" si="1604"/>
        <v>0.46366057838662128</v>
      </c>
      <c r="DJ201" s="40">
        <f t="shared" ca="1" si="1716"/>
        <v>-0.85097126575351234</v>
      </c>
      <c r="DK201" s="40">
        <f t="shared" ca="1" si="1717"/>
        <v>2.5189751902588361E-2</v>
      </c>
      <c r="DL201" s="40">
        <f t="shared" ca="1" si="1718"/>
        <v>0.19338305926412305</v>
      </c>
      <c r="DM201" s="42">
        <f t="shared" ca="1" si="1719"/>
        <v>-4.2701853874545943</v>
      </c>
      <c r="DN201" s="42">
        <f t="shared" ca="1" si="1720"/>
        <v>-4.4635684467187176</v>
      </c>
      <c r="DO201" s="42">
        <f t="shared" ca="1" si="1721"/>
        <v>9.7655276518789487E-6</v>
      </c>
      <c r="DP201" s="42">
        <f t="shared" ca="1" si="1722"/>
        <v>0.99999023447234814</v>
      </c>
      <c r="DQ201" s="42">
        <f t="shared" ca="1" si="1723"/>
        <v>4.0302916462733568E-6</v>
      </c>
      <c r="DR201" s="42">
        <f t="shared" ca="1" si="1724"/>
        <v>0.99999596970835369</v>
      </c>
      <c r="DS201" s="42">
        <f t="shared" ca="1" si="1725"/>
        <v>0.98162450344672281</v>
      </c>
      <c r="DT201" s="42">
        <f t="shared" ca="1" si="1726"/>
        <v>196.32490068934456</v>
      </c>
      <c r="DU201" s="42">
        <f t="shared" ca="1" si="1727"/>
        <v>0.98801719747153338</v>
      </c>
      <c r="DV201" s="42">
        <f t="shared" ca="1" si="1728"/>
        <v>84.376668664068958</v>
      </c>
      <c r="DW201" s="42">
        <f t="shared" ca="1" si="1729"/>
        <v>4.3786712472282578E-5</v>
      </c>
      <c r="DX201" s="42">
        <f t="shared" si="1730"/>
        <v>0</v>
      </c>
      <c r="DY201" s="92">
        <f t="shared" ca="1" si="1731"/>
        <v>0</v>
      </c>
      <c r="DZ201" s="42">
        <f t="shared" ca="1" si="1732"/>
        <v>0</v>
      </c>
      <c r="EA201" s="42">
        <f t="shared" ca="1" si="1622"/>
        <v>0</v>
      </c>
      <c r="EB201" s="42">
        <f t="shared" ca="1" si="1733"/>
        <v>0</v>
      </c>
      <c r="EC201" s="42">
        <f t="shared" ca="1" si="1734"/>
        <v>0</v>
      </c>
      <c r="ED201" s="42">
        <f t="shared" ca="1" si="1735"/>
        <v>0</v>
      </c>
      <c r="EE201" s="40"/>
      <c r="EF201" s="120">
        <f t="shared" ca="1" si="756"/>
        <v>85.4</v>
      </c>
      <c r="EG201" s="42">
        <f t="shared" ca="1" si="1625"/>
        <v>258.33906893413985</v>
      </c>
      <c r="EH201" s="36">
        <f t="shared" ca="1" si="1626"/>
        <v>258.33906893413985</v>
      </c>
      <c r="EI201" s="143">
        <f t="shared" ca="1" si="1627"/>
        <v>258.339</v>
      </c>
      <c r="EJ201" s="143">
        <f t="shared" ca="1" si="1635"/>
        <v>0</v>
      </c>
      <c r="EK201" s="153">
        <f t="shared" ca="1" si="1628"/>
        <v>0</v>
      </c>
      <c r="EL201" s="143">
        <f t="shared" ca="1" si="1629"/>
        <v>0</v>
      </c>
    </row>
    <row r="202" spans="1:142" x14ac:dyDescent="0.3">
      <c r="A202" s="143">
        <f t="shared" ca="1" si="1630"/>
        <v>85.4</v>
      </c>
      <c r="B202" s="144">
        <f t="shared" ca="1" si="1631"/>
        <v>0.28399999999999997</v>
      </c>
      <c r="C202" s="145">
        <f t="shared" ca="1" si="1632"/>
        <v>45295.440972222219</v>
      </c>
      <c r="D202" s="144">
        <f t="shared" ca="1" si="1633"/>
        <v>2.5999999999999999E-2</v>
      </c>
      <c r="E202" s="144">
        <f t="shared" ca="1" si="1634"/>
        <v>0.04</v>
      </c>
      <c r="F202" s="36">
        <f t="shared" si="641"/>
        <v>75</v>
      </c>
      <c r="G202" s="35">
        <f t="shared" si="1515"/>
        <v>0.28399999999999997</v>
      </c>
      <c r="H202" s="197">
        <f t="shared" ca="1" si="1290"/>
        <v>169.23611111111677</v>
      </c>
      <c r="I202" s="41">
        <f t="shared" ca="1" si="1516"/>
        <v>0.46366057838662128</v>
      </c>
      <c r="J202" s="40">
        <f t="shared" ca="1" si="1636"/>
        <v>0.12985798725821379</v>
      </c>
      <c r="K202" s="40">
        <f t="shared" ca="1" si="1637"/>
        <v>2.5189751902588361E-2</v>
      </c>
      <c r="L202" s="40">
        <f t="shared" ca="1" si="1638"/>
        <v>0.19338305926412305</v>
      </c>
      <c r="M202" s="42">
        <f t="shared" ca="1" si="1639"/>
        <v>0.80176484822818728</v>
      </c>
      <c r="N202" s="42">
        <f t="shared" ca="1" si="1640"/>
        <v>0.60838178896406425</v>
      </c>
      <c r="O202" s="42">
        <f t="shared" ca="1" si="1641"/>
        <v>0.78865550202522283</v>
      </c>
      <c r="P202" s="42">
        <f t="shared" ca="1" si="1642"/>
        <v>0.21134449797477717</v>
      </c>
      <c r="Q202" s="42">
        <f t="shared" ca="1" si="1643"/>
        <v>0.72853285658034883</v>
      </c>
      <c r="R202" s="42">
        <f t="shared" ca="1" si="1644"/>
        <v>0.27146714341965111</v>
      </c>
      <c r="S202" s="42">
        <f t="shared" ca="1" si="1645"/>
        <v>0.98162450344672281</v>
      </c>
      <c r="T202" s="42">
        <f t="shared" ca="1" si="1646"/>
        <v>73.621837758504213</v>
      </c>
      <c r="U202" s="42">
        <f t="shared" ca="1" si="1647"/>
        <v>0.98801719747153338</v>
      </c>
      <c r="V202" s="42">
        <f t="shared" ca="1" si="1648"/>
        <v>84.376668664068958</v>
      </c>
      <c r="W202" s="42">
        <f t="shared" ca="1" si="1649"/>
        <v>0.28928238154977365</v>
      </c>
      <c r="X202" s="42">
        <f t="shared" ca="1" si="1650"/>
        <v>2.153365310014383</v>
      </c>
      <c r="Y202" s="42">
        <f t="shared" ca="1" si="1651"/>
        <v>-0.20881199859006749</v>
      </c>
      <c r="Z202" s="42">
        <f t="shared" ca="1" si="1652"/>
        <v>1.7306537635226424E-2</v>
      </c>
      <c r="AA202" s="42">
        <f t="shared" ca="1" si="1534"/>
        <v>-1.302570857267049E-2</v>
      </c>
      <c r="AB202" s="42">
        <f t="shared" ca="1" si="1653"/>
        <v>0.16620513797420244</v>
      </c>
      <c r="AC202" s="42">
        <f t="shared" ca="1" si="1654"/>
        <v>-9.2666785853637385E-2</v>
      </c>
      <c r="AD202" s="42">
        <f t="shared" ca="1" si="1655"/>
        <v>-723.31734499280856</v>
      </c>
      <c r="AF202" s="36">
        <f t="shared" si="664"/>
        <v>80</v>
      </c>
      <c r="AG202" s="35">
        <f t="shared" si="1537"/>
        <v>0.28399999999999997</v>
      </c>
      <c r="AH202" s="197">
        <f t="shared" ca="1" si="1313"/>
        <v>169.23611111111677</v>
      </c>
      <c r="AI202" s="41">
        <f t="shared" ca="1" si="1538"/>
        <v>0.46366057838662128</v>
      </c>
      <c r="AJ202" s="40">
        <f t="shared" ca="1" si="1656"/>
        <v>6.5319466120642669E-2</v>
      </c>
      <c r="AK202" s="40">
        <f t="shared" ca="1" si="1657"/>
        <v>2.5189751902588361E-2</v>
      </c>
      <c r="AL202" s="40">
        <f t="shared" ca="1" si="1658"/>
        <v>0.19338305926412305</v>
      </c>
      <c r="AM202" s="42">
        <f t="shared" ca="1" si="1659"/>
        <v>0.46803074875143702</v>
      </c>
      <c r="AN202" s="42">
        <f t="shared" ca="1" si="1660"/>
        <v>0.274647689487314</v>
      </c>
      <c r="AO202" s="42">
        <f t="shared" ca="1" si="1661"/>
        <v>0.68011869960825055</v>
      </c>
      <c r="AP202" s="42">
        <f t="shared" ca="1" si="1662"/>
        <v>0.31988130039174945</v>
      </c>
      <c r="AQ202" s="42">
        <f t="shared" ca="1" si="1663"/>
        <v>0.60820653811473968</v>
      </c>
      <c r="AR202" s="42">
        <f t="shared" ca="1" si="1664"/>
        <v>0.39179346188526026</v>
      </c>
      <c r="AS202" s="42">
        <f t="shared" ca="1" si="1665"/>
        <v>0.98162450344672281</v>
      </c>
      <c r="AT202" s="42">
        <f t="shared" ca="1" si="1666"/>
        <v>78.529960275737821</v>
      </c>
      <c r="AU202" s="42">
        <f t="shared" ca="1" si="1667"/>
        <v>0.98801719747153338</v>
      </c>
      <c r="AV202" s="42">
        <f t="shared" ca="1" si="1668"/>
        <v>84.376668664068958</v>
      </c>
      <c r="AW202" s="42">
        <f t="shared" ca="1" si="1669"/>
        <v>0.3575554142041969</v>
      </c>
      <c r="AX202" s="42">
        <f t="shared" ca="1" si="1670"/>
        <v>3.777006503157132</v>
      </c>
      <c r="AY202" s="42">
        <f t="shared" ca="1" si="1671"/>
        <v>-0.31604822593660598</v>
      </c>
      <c r="AZ202" s="42">
        <f t="shared" ca="1" si="1672"/>
        <v>2.1391023537115056E-2</v>
      </c>
      <c r="BA202" s="42">
        <f t="shared" ca="1" si="1556"/>
        <v>-1.5787806699479157E-2</v>
      </c>
      <c r="BB202" s="42">
        <f t="shared" ca="1" si="1673"/>
        <v>0.20543092404335248</v>
      </c>
      <c r="BC202" s="42">
        <f t="shared" ca="1" si="1674"/>
        <v>-0.14265688436163948</v>
      </c>
      <c r="BD202" s="42">
        <f t="shared" ca="1" si="1675"/>
        <v>936.49674842143418</v>
      </c>
      <c r="BE202" s="40"/>
      <c r="BF202" s="36">
        <f t="shared" si="687"/>
        <v>90</v>
      </c>
      <c r="BG202" s="35">
        <f t="shared" si="1559"/>
        <v>0.28399999999999997</v>
      </c>
      <c r="BH202" s="197">
        <f t="shared" ca="1" si="1336"/>
        <v>169.23611111111677</v>
      </c>
      <c r="BI202" s="41">
        <f t="shared" ca="1" si="1560"/>
        <v>0.46366057838662128</v>
      </c>
      <c r="BJ202" s="40">
        <f t="shared" ca="1" si="1676"/>
        <v>-5.2463569535740766E-2</v>
      </c>
      <c r="BK202" s="40">
        <f t="shared" ca="1" si="1677"/>
        <v>2.5189751902588361E-2</v>
      </c>
      <c r="BL202" s="40">
        <f t="shared" ca="1" si="1678"/>
        <v>0.19338305926412305</v>
      </c>
      <c r="BM202" s="42">
        <f t="shared" ca="1" si="1679"/>
        <v>-0.14103519582809868</v>
      </c>
      <c r="BN202" s="42">
        <f t="shared" ca="1" si="1680"/>
        <v>-0.33441825509222173</v>
      </c>
      <c r="BO202" s="42">
        <f t="shared" ca="1" si="1681"/>
        <v>0.44392106898616246</v>
      </c>
      <c r="BP202" s="42">
        <f t="shared" ca="1" si="1682"/>
        <v>0.55607893101383754</v>
      </c>
      <c r="BQ202" s="42">
        <f t="shared" ca="1" si="1683"/>
        <v>0.36903198301145818</v>
      </c>
      <c r="BR202" s="42">
        <f t="shared" ca="1" si="1684"/>
        <v>0.63096801698854188</v>
      </c>
      <c r="BS202" s="42">
        <f t="shared" ca="1" si="1685"/>
        <v>0.98162450344672281</v>
      </c>
      <c r="BT202" s="42">
        <f t="shared" ca="1" si="1686"/>
        <v>88.34620531020505</v>
      </c>
      <c r="BU202" s="42">
        <f t="shared" ca="1" si="1687"/>
        <v>0.98801719747153338</v>
      </c>
      <c r="BV202" s="42">
        <f t="shared" ca="1" si="1688"/>
        <v>84.376668664068958</v>
      </c>
      <c r="BW202" s="42">
        <f t="shared" ca="1" si="1689"/>
        <v>0.39499427951128013</v>
      </c>
      <c r="BX202" s="42">
        <f t="shared" ca="1" si="1690"/>
        <v>4.8540056136823466</v>
      </c>
      <c r="BY202" s="42">
        <f t="shared" ca="1" si="1691"/>
        <v>0.43860165047827548</v>
      </c>
      <c r="BZ202" s="42">
        <f t="shared" ca="1" si="1692"/>
        <v>2.3630832017624698E-2</v>
      </c>
      <c r="CA202" s="42">
        <f t="shared" ca="1" si="1578"/>
        <v>-1.9946570164958009E-2</v>
      </c>
      <c r="CB202" s="42">
        <f t="shared" ca="1" si="1693"/>
        <v>0.22694115823260852</v>
      </c>
      <c r="CC202" s="42">
        <f t="shared" ca="1" si="1694"/>
        <v>0.15116528937722107</v>
      </c>
      <c r="CD202" s="42">
        <f t="shared" ca="1" si="1695"/>
        <v>972.99719315882658</v>
      </c>
      <c r="CE202" s="40"/>
      <c r="CF202" s="36">
        <f t="shared" si="710"/>
        <v>95</v>
      </c>
      <c r="CG202" s="35">
        <f t="shared" si="1581"/>
        <v>0.28399999999999997</v>
      </c>
      <c r="CH202" s="197">
        <f t="shared" ca="1" si="1359"/>
        <v>169.23611111111677</v>
      </c>
      <c r="CI202" s="41">
        <f t="shared" ca="1" si="1582"/>
        <v>0.46366057838662128</v>
      </c>
      <c r="CJ202" s="40">
        <f t="shared" ca="1" si="1696"/>
        <v>-0.10653079080601656</v>
      </c>
      <c r="CK202" s="40">
        <f t="shared" ca="1" si="1697"/>
        <v>2.5189751902588361E-2</v>
      </c>
      <c r="CL202" s="40">
        <f t="shared" ca="1" si="1698"/>
        <v>0.19338305926412305</v>
      </c>
      <c r="CM202" s="42">
        <f t="shared" ca="1" si="1699"/>
        <v>-0.42062132646444694</v>
      </c>
      <c r="CN202" s="42">
        <f t="shared" ca="1" si="1700"/>
        <v>-0.61400438572856997</v>
      </c>
      <c r="CO202" s="42">
        <f t="shared" ca="1" si="1701"/>
        <v>0.33701580910706302</v>
      </c>
      <c r="CP202" s="42">
        <f t="shared" ca="1" si="1702"/>
        <v>0.66298419089293703</v>
      </c>
      <c r="CQ202" s="42">
        <f t="shared" ca="1" si="1703"/>
        <v>0.26960621453848232</v>
      </c>
      <c r="CR202" s="42">
        <f t="shared" ca="1" si="1704"/>
        <v>0.73039378546151768</v>
      </c>
      <c r="CS202" s="42">
        <f t="shared" ca="1" si="1705"/>
        <v>0.98162450344672281</v>
      </c>
      <c r="CT202" s="42">
        <f t="shared" ca="1" si="1706"/>
        <v>93.254327827438672</v>
      </c>
      <c r="CU202" s="42">
        <f t="shared" ca="1" si="1707"/>
        <v>0.98801719747153338</v>
      </c>
      <c r="CV202" s="42">
        <f t="shared" ca="1" si="1708"/>
        <v>84.376668664068958</v>
      </c>
      <c r="CW202" s="42">
        <f t="shared" ca="1" si="1709"/>
        <v>0.365167296678925</v>
      </c>
      <c r="CX202" s="42">
        <f t="shared" ca="1" si="1710"/>
        <v>3.2943249446933756</v>
      </c>
      <c r="CY202" s="42">
        <f t="shared" ca="1" si="1711"/>
        <v>0.33297741521756169</v>
      </c>
      <c r="CZ202" s="42">
        <f t="shared" ca="1" si="1712"/>
        <v>2.1846410172893065E-2</v>
      </c>
      <c r="DA202" s="42">
        <f t="shared" ca="1" si="1600"/>
        <v>-1.8333614860733365E-2</v>
      </c>
      <c r="DB202" s="42">
        <f t="shared" ca="1" si="1713"/>
        <v>0.20980427706325602</v>
      </c>
      <c r="DC202" s="42">
        <f t="shared" ca="1" si="1714"/>
        <v>0.11657329370125608</v>
      </c>
      <c r="DD202" s="42">
        <f t="shared" ca="1" si="1715"/>
        <v>-927.83752765331235</v>
      </c>
      <c r="DE202" s="40"/>
      <c r="DF202" s="36">
        <f t="shared" si="733"/>
        <v>200</v>
      </c>
      <c r="DG202" s="35">
        <f t="shared" si="1603"/>
        <v>0.28399999999999997</v>
      </c>
      <c r="DH202" s="197">
        <f t="shared" ca="1" si="1382"/>
        <v>169.23611111111677</v>
      </c>
      <c r="DI202" s="41">
        <f t="shared" ca="1" si="1604"/>
        <v>0.46366057838662128</v>
      </c>
      <c r="DJ202" s="40">
        <f t="shared" ca="1" si="1716"/>
        <v>-0.85097126575351234</v>
      </c>
      <c r="DK202" s="40">
        <f t="shared" ca="1" si="1717"/>
        <v>2.5189751902588361E-2</v>
      </c>
      <c r="DL202" s="40">
        <f t="shared" ca="1" si="1718"/>
        <v>0.19338305926412305</v>
      </c>
      <c r="DM202" s="42">
        <f t="shared" ca="1" si="1719"/>
        <v>-4.2701853874545943</v>
      </c>
      <c r="DN202" s="42">
        <f t="shared" ca="1" si="1720"/>
        <v>-4.4635684467187176</v>
      </c>
      <c r="DO202" s="42">
        <f t="shared" ca="1" si="1721"/>
        <v>9.7655276518789487E-6</v>
      </c>
      <c r="DP202" s="42">
        <f t="shared" ca="1" si="1722"/>
        <v>0.99999023447234814</v>
      </c>
      <c r="DQ202" s="42">
        <f t="shared" ca="1" si="1723"/>
        <v>4.0302916462733568E-6</v>
      </c>
      <c r="DR202" s="42">
        <f t="shared" ca="1" si="1724"/>
        <v>0.99999596970835369</v>
      </c>
      <c r="DS202" s="42">
        <f t="shared" ca="1" si="1725"/>
        <v>0.98162450344672281</v>
      </c>
      <c r="DT202" s="42">
        <f t="shared" ca="1" si="1726"/>
        <v>196.32490068934456</v>
      </c>
      <c r="DU202" s="42">
        <f t="shared" ca="1" si="1727"/>
        <v>0.98801719747153338</v>
      </c>
      <c r="DV202" s="42">
        <f t="shared" ca="1" si="1728"/>
        <v>84.376668664068958</v>
      </c>
      <c r="DW202" s="42">
        <f t="shared" ca="1" si="1729"/>
        <v>4.3786712472282578E-5</v>
      </c>
      <c r="DX202" s="42">
        <f t="shared" si="1730"/>
        <v>0</v>
      </c>
      <c r="DY202" s="92">
        <f t="shared" ca="1" si="1731"/>
        <v>0</v>
      </c>
      <c r="DZ202" s="42">
        <f t="shared" ca="1" si="1732"/>
        <v>0</v>
      </c>
      <c r="EA202" s="42">
        <f t="shared" ca="1" si="1622"/>
        <v>0</v>
      </c>
      <c r="EB202" s="42">
        <f t="shared" ca="1" si="1733"/>
        <v>0</v>
      </c>
      <c r="EC202" s="42">
        <f t="shared" ca="1" si="1734"/>
        <v>0</v>
      </c>
      <c r="ED202" s="42">
        <f t="shared" ca="1" si="1735"/>
        <v>0</v>
      </c>
      <c r="EE202" s="40"/>
      <c r="EF202" s="120">
        <f t="shared" ca="1" si="756"/>
        <v>85.4</v>
      </c>
      <c r="EG202" s="42">
        <f t="shared" ca="1" si="1625"/>
        <v>258.33906893413985</v>
      </c>
      <c r="EH202" s="36">
        <f t="shared" ca="1" si="1626"/>
        <v>258.33906893413985</v>
      </c>
      <c r="EI202" s="143">
        <f t="shared" ca="1" si="1627"/>
        <v>258.339</v>
      </c>
      <c r="EJ202" s="143">
        <f t="shared" ca="1" si="1635"/>
        <v>0</v>
      </c>
      <c r="EK202" s="153">
        <f t="shared" ca="1" si="1628"/>
        <v>0</v>
      </c>
      <c r="EL202" s="143">
        <f t="shared" ca="1" si="1629"/>
        <v>0</v>
      </c>
    </row>
    <row r="203" spans="1:142" x14ac:dyDescent="0.3">
      <c r="A203" s="143">
        <f t="shared" ca="1" si="1630"/>
        <v>85.4</v>
      </c>
      <c r="B203" s="144">
        <f t="shared" ca="1" si="1631"/>
        <v>0.28399999999999997</v>
      </c>
      <c r="C203" s="145">
        <f t="shared" ca="1" si="1632"/>
        <v>45295.440972222219</v>
      </c>
      <c r="D203" s="144">
        <f t="shared" ca="1" si="1633"/>
        <v>2.5999999999999999E-2</v>
      </c>
      <c r="E203" s="144">
        <f t="shared" ca="1" si="1634"/>
        <v>0.04</v>
      </c>
      <c r="F203" s="36">
        <f t="shared" si="641"/>
        <v>75</v>
      </c>
      <c r="G203" s="35">
        <f t="shared" si="1515"/>
        <v>0.28399999999999997</v>
      </c>
      <c r="H203" s="197">
        <f t="shared" ca="1" si="1290"/>
        <v>169.23611111111677</v>
      </c>
      <c r="I203" s="41">
        <f t="shared" ca="1" si="1516"/>
        <v>0.46366057838662128</v>
      </c>
      <c r="J203" s="40">
        <f t="shared" ca="1" si="1636"/>
        <v>0.12985798725821379</v>
      </c>
      <c r="K203" s="40">
        <f t="shared" ca="1" si="1637"/>
        <v>2.5189751902588361E-2</v>
      </c>
      <c r="L203" s="40">
        <f t="shared" ca="1" si="1638"/>
        <v>0.19338305926412305</v>
      </c>
      <c r="M203" s="42">
        <f t="shared" ca="1" si="1639"/>
        <v>0.80176484822818728</v>
      </c>
      <c r="N203" s="42">
        <f t="shared" ca="1" si="1640"/>
        <v>0.60838178896406425</v>
      </c>
      <c r="O203" s="42">
        <f t="shared" ca="1" si="1641"/>
        <v>0.78865550202522283</v>
      </c>
      <c r="P203" s="42">
        <f t="shared" ca="1" si="1642"/>
        <v>0.21134449797477717</v>
      </c>
      <c r="Q203" s="42">
        <f t="shared" ca="1" si="1643"/>
        <v>0.72853285658034883</v>
      </c>
      <c r="R203" s="42">
        <f t="shared" ca="1" si="1644"/>
        <v>0.27146714341965111</v>
      </c>
      <c r="S203" s="42">
        <f t="shared" ca="1" si="1645"/>
        <v>0.98162450344672281</v>
      </c>
      <c r="T203" s="42">
        <f t="shared" ca="1" si="1646"/>
        <v>73.621837758504213</v>
      </c>
      <c r="U203" s="42">
        <f t="shared" ca="1" si="1647"/>
        <v>0.98801719747153338</v>
      </c>
      <c r="V203" s="42">
        <f t="shared" ca="1" si="1648"/>
        <v>84.376668664068958</v>
      </c>
      <c r="W203" s="42">
        <f t="shared" ca="1" si="1649"/>
        <v>0.28928238154977365</v>
      </c>
      <c r="X203" s="42">
        <f t="shared" ca="1" si="1650"/>
        <v>2.153365310014383</v>
      </c>
      <c r="Y203" s="42">
        <f t="shared" ca="1" si="1651"/>
        <v>-0.20881199859006749</v>
      </c>
      <c r="Z203" s="42">
        <f t="shared" ca="1" si="1652"/>
        <v>1.7306537635226424E-2</v>
      </c>
      <c r="AA203" s="42">
        <f t="shared" ca="1" si="1534"/>
        <v>-1.302570857267049E-2</v>
      </c>
      <c r="AB203" s="42">
        <f t="shared" ca="1" si="1653"/>
        <v>0.16620513797420244</v>
      </c>
      <c r="AC203" s="42">
        <f t="shared" ca="1" si="1654"/>
        <v>-9.2666785853637385E-2</v>
      </c>
      <c r="AD203" s="42">
        <f t="shared" ca="1" si="1655"/>
        <v>-723.31734499280856</v>
      </c>
      <c r="AF203" s="36">
        <f t="shared" si="664"/>
        <v>80</v>
      </c>
      <c r="AG203" s="35">
        <f t="shared" si="1537"/>
        <v>0.28399999999999997</v>
      </c>
      <c r="AH203" s="197">
        <f t="shared" ca="1" si="1313"/>
        <v>169.23611111111677</v>
      </c>
      <c r="AI203" s="41">
        <f t="shared" ca="1" si="1538"/>
        <v>0.46366057838662128</v>
      </c>
      <c r="AJ203" s="40">
        <f t="shared" ca="1" si="1656"/>
        <v>6.5319466120642669E-2</v>
      </c>
      <c r="AK203" s="40">
        <f t="shared" ca="1" si="1657"/>
        <v>2.5189751902588361E-2</v>
      </c>
      <c r="AL203" s="40">
        <f t="shared" ca="1" si="1658"/>
        <v>0.19338305926412305</v>
      </c>
      <c r="AM203" s="42">
        <f t="shared" ca="1" si="1659"/>
        <v>0.46803074875143702</v>
      </c>
      <c r="AN203" s="42">
        <f t="shared" ca="1" si="1660"/>
        <v>0.274647689487314</v>
      </c>
      <c r="AO203" s="42">
        <f t="shared" ca="1" si="1661"/>
        <v>0.68011869960825055</v>
      </c>
      <c r="AP203" s="42">
        <f t="shared" ca="1" si="1662"/>
        <v>0.31988130039174945</v>
      </c>
      <c r="AQ203" s="42">
        <f t="shared" ca="1" si="1663"/>
        <v>0.60820653811473968</v>
      </c>
      <c r="AR203" s="42">
        <f t="shared" ca="1" si="1664"/>
        <v>0.39179346188526026</v>
      </c>
      <c r="AS203" s="42">
        <f t="shared" ca="1" si="1665"/>
        <v>0.98162450344672281</v>
      </c>
      <c r="AT203" s="42">
        <f t="shared" ca="1" si="1666"/>
        <v>78.529960275737821</v>
      </c>
      <c r="AU203" s="42">
        <f t="shared" ca="1" si="1667"/>
        <v>0.98801719747153338</v>
      </c>
      <c r="AV203" s="42">
        <f t="shared" ca="1" si="1668"/>
        <v>84.376668664068958</v>
      </c>
      <c r="AW203" s="42">
        <f t="shared" ca="1" si="1669"/>
        <v>0.3575554142041969</v>
      </c>
      <c r="AX203" s="42">
        <f t="shared" ca="1" si="1670"/>
        <v>3.777006503157132</v>
      </c>
      <c r="AY203" s="42">
        <f t="shared" ca="1" si="1671"/>
        <v>-0.31604822593660598</v>
      </c>
      <c r="AZ203" s="42">
        <f t="shared" ca="1" si="1672"/>
        <v>2.1391023537115056E-2</v>
      </c>
      <c r="BA203" s="42">
        <f t="shared" ca="1" si="1556"/>
        <v>-1.5787806699479157E-2</v>
      </c>
      <c r="BB203" s="42">
        <f t="shared" ca="1" si="1673"/>
        <v>0.20543092404335248</v>
      </c>
      <c r="BC203" s="42">
        <f t="shared" ca="1" si="1674"/>
        <v>-0.14265688436163948</v>
      </c>
      <c r="BD203" s="42">
        <f t="shared" ca="1" si="1675"/>
        <v>936.49674842143418</v>
      </c>
      <c r="BE203" s="40"/>
      <c r="BF203" s="36">
        <f t="shared" si="687"/>
        <v>90</v>
      </c>
      <c r="BG203" s="35">
        <f t="shared" si="1559"/>
        <v>0.28399999999999997</v>
      </c>
      <c r="BH203" s="197">
        <f t="shared" ca="1" si="1336"/>
        <v>169.23611111111677</v>
      </c>
      <c r="BI203" s="41">
        <f t="shared" ca="1" si="1560"/>
        <v>0.46366057838662128</v>
      </c>
      <c r="BJ203" s="40">
        <f t="shared" ca="1" si="1676"/>
        <v>-5.2463569535740766E-2</v>
      </c>
      <c r="BK203" s="40">
        <f t="shared" ca="1" si="1677"/>
        <v>2.5189751902588361E-2</v>
      </c>
      <c r="BL203" s="40">
        <f t="shared" ca="1" si="1678"/>
        <v>0.19338305926412305</v>
      </c>
      <c r="BM203" s="42">
        <f t="shared" ca="1" si="1679"/>
        <v>-0.14103519582809868</v>
      </c>
      <c r="BN203" s="42">
        <f t="shared" ca="1" si="1680"/>
        <v>-0.33441825509222173</v>
      </c>
      <c r="BO203" s="42">
        <f t="shared" ca="1" si="1681"/>
        <v>0.44392106898616246</v>
      </c>
      <c r="BP203" s="42">
        <f t="shared" ca="1" si="1682"/>
        <v>0.55607893101383754</v>
      </c>
      <c r="BQ203" s="42">
        <f t="shared" ca="1" si="1683"/>
        <v>0.36903198301145818</v>
      </c>
      <c r="BR203" s="42">
        <f t="shared" ca="1" si="1684"/>
        <v>0.63096801698854188</v>
      </c>
      <c r="BS203" s="42">
        <f t="shared" ca="1" si="1685"/>
        <v>0.98162450344672281</v>
      </c>
      <c r="BT203" s="42">
        <f t="shared" ca="1" si="1686"/>
        <v>88.34620531020505</v>
      </c>
      <c r="BU203" s="42">
        <f t="shared" ca="1" si="1687"/>
        <v>0.98801719747153338</v>
      </c>
      <c r="BV203" s="42">
        <f t="shared" ca="1" si="1688"/>
        <v>84.376668664068958</v>
      </c>
      <c r="BW203" s="42">
        <f t="shared" ca="1" si="1689"/>
        <v>0.39499427951128013</v>
      </c>
      <c r="BX203" s="42">
        <f t="shared" ca="1" si="1690"/>
        <v>4.8540056136823466</v>
      </c>
      <c r="BY203" s="42">
        <f t="shared" ca="1" si="1691"/>
        <v>0.43860165047827548</v>
      </c>
      <c r="BZ203" s="42">
        <f t="shared" ca="1" si="1692"/>
        <v>2.3630832017624698E-2</v>
      </c>
      <c r="CA203" s="42">
        <f t="shared" ca="1" si="1578"/>
        <v>-1.9946570164958009E-2</v>
      </c>
      <c r="CB203" s="42">
        <f t="shared" ca="1" si="1693"/>
        <v>0.22694115823260852</v>
      </c>
      <c r="CC203" s="42">
        <f t="shared" ca="1" si="1694"/>
        <v>0.15116528937722107</v>
      </c>
      <c r="CD203" s="42">
        <f t="shared" ca="1" si="1695"/>
        <v>972.99719315882658</v>
      </c>
      <c r="CE203" s="40"/>
      <c r="CF203" s="36">
        <f t="shared" si="710"/>
        <v>95</v>
      </c>
      <c r="CG203" s="35">
        <f t="shared" si="1581"/>
        <v>0.28399999999999997</v>
      </c>
      <c r="CH203" s="197">
        <f t="shared" ca="1" si="1359"/>
        <v>169.23611111111677</v>
      </c>
      <c r="CI203" s="41">
        <f t="shared" ca="1" si="1582"/>
        <v>0.46366057838662128</v>
      </c>
      <c r="CJ203" s="40">
        <f t="shared" ca="1" si="1696"/>
        <v>-0.10653079080601656</v>
      </c>
      <c r="CK203" s="40">
        <f t="shared" ca="1" si="1697"/>
        <v>2.5189751902588361E-2</v>
      </c>
      <c r="CL203" s="40">
        <f t="shared" ca="1" si="1698"/>
        <v>0.19338305926412305</v>
      </c>
      <c r="CM203" s="42">
        <f t="shared" ca="1" si="1699"/>
        <v>-0.42062132646444694</v>
      </c>
      <c r="CN203" s="42">
        <f t="shared" ca="1" si="1700"/>
        <v>-0.61400438572856997</v>
      </c>
      <c r="CO203" s="42">
        <f t="shared" ca="1" si="1701"/>
        <v>0.33701580910706302</v>
      </c>
      <c r="CP203" s="42">
        <f t="shared" ca="1" si="1702"/>
        <v>0.66298419089293703</v>
      </c>
      <c r="CQ203" s="42">
        <f t="shared" ca="1" si="1703"/>
        <v>0.26960621453848232</v>
      </c>
      <c r="CR203" s="42">
        <f t="shared" ca="1" si="1704"/>
        <v>0.73039378546151768</v>
      </c>
      <c r="CS203" s="42">
        <f t="shared" ca="1" si="1705"/>
        <v>0.98162450344672281</v>
      </c>
      <c r="CT203" s="42">
        <f t="shared" ca="1" si="1706"/>
        <v>93.254327827438672</v>
      </c>
      <c r="CU203" s="42">
        <f t="shared" ca="1" si="1707"/>
        <v>0.98801719747153338</v>
      </c>
      <c r="CV203" s="42">
        <f t="shared" ca="1" si="1708"/>
        <v>84.376668664068958</v>
      </c>
      <c r="CW203" s="42">
        <f t="shared" ca="1" si="1709"/>
        <v>0.365167296678925</v>
      </c>
      <c r="CX203" s="42">
        <f t="shared" ca="1" si="1710"/>
        <v>3.2943249446933756</v>
      </c>
      <c r="CY203" s="42">
        <f t="shared" ca="1" si="1711"/>
        <v>0.33297741521756169</v>
      </c>
      <c r="CZ203" s="42">
        <f t="shared" ca="1" si="1712"/>
        <v>2.1846410172893065E-2</v>
      </c>
      <c r="DA203" s="42">
        <f t="shared" ca="1" si="1600"/>
        <v>-1.8333614860733365E-2</v>
      </c>
      <c r="DB203" s="42">
        <f t="shared" ca="1" si="1713"/>
        <v>0.20980427706325602</v>
      </c>
      <c r="DC203" s="42">
        <f t="shared" ca="1" si="1714"/>
        <v>0.11657329370125608</v>
      </c>
      <c r="DD203" s="42">
        <f t="shared" ca="1" si="1715"/>
        <v>-927.83752765331235</v>
      </c>
      <c r="DE203" s="40"/>
      <c r="DF203" s="36">
        <f t="shared" si="733"/>
        <v>200</v>
      </c>
      <c r="DG203" s="35">
        <f t="shared" si="1603"/>
        <v>0.28399999999999997</v>
      </c>
      <c r="DH203" s="197">
        <f t="shared" ca="1" si="1382"/>
        <v>169.23611111111677</v>
      </c>
      <c r="DI203" s="41">
        <f t="shared" ca="1" si="1604"/>
        <v>0.46366057838662128</v>
      </c>
      <c r="DJ203" s="40">
        <f t="shared" ca="1" si="1716"/>
        <v>-0.85097126575351234</v>
      </c>
      <c r="DK203" s="40">
        <f t="shared" ca="1" si="1717"/>
        <v>2.5189751902588361E-2</v>
      </c>
      <c r="DL203" s="40">
        <f t="shared" ca="1" si="1718"/>
        <v>0.19338305926412305</v>
      </c>
      <c r="DM203" s="42">
        <f t="shared" ca="1" si="1719"/>
        <v>-4.2701853874545943</v>
      </c>
      <c r="DN203" s="42">
        <f t="shared" ca="1" si="1720"/>
        <v>-4.4635684467187176</v>
      </c>
      <c r="DO203" s="42">
        <f t="shared" ca="1" si="1721"/>
        <v>9.7655276518789487E-6</v>
      </c>
      <c r="DP203" s="42">
        <f t="shared" ca="1" si="1722"/>
        <v>0.99999023447234814</v>
      </c>
      <c r="DQ203" s="42">
        <f t="shared" ca="1" si="1723"/>
        <v>4.0302916462733568E-6</v>
      </c>
      <c r="DR203" s="42">
        <f t="shared" ca="1" si="1724"/>
        <v>0.99999596970835369</v>
      </c>
      <c r="DS203" s="42">
        <f t="shared" ca="1" si="1725"/>
        <v>0.98162450344672281</v>
      </c>
      <c r="DT203" s="42">
        <f t="shared" ca="1" si="1726"/>
        <v>196.32490068934456</v>
      </c>
      <c r="DU203" s="42">
        <f t="shared" ca="1" si="1727"/>
        <v>0.98801719747153338</v>
      </c>
      <c r="DV203" s="42">
        <f t="shared" ca="1" si="1728"/>
        <v>84.376668664068958</v>
      </c>
      <c r="DW203" s="42">
        <f t="shared" ca="1" si="1729"/>
        <v>4.3786712472282578E-5</v>
      </c>
      <c r="DX203" s="42">
        <f t="shared" si="1730"/>
        <v>0</v>
      </c>
      <c r="DY203" s="92">
        <f t="shared" ca="1" si="1731"/>
        <v>0</v>
      </c>
      <c r="DZ203" s="42">
        <f t="shared" ca="1" si="1732"/>
        <v>0</v>
      </c>
      <c r="EA203" s="42">
        <f t="shared" ca="1" si="1622"/>
        <v>0</v>
      </c>
      <c r="EB203" s="42">
        <f t="shared" ca="1" si="1733"/>
        <v>0</v>
      </c>
      <c r="EC203" s="42">
        <f t="shared" ca="1" si="1734"/>
        <v>0</v>
      </c>
      <c r="ED203" s="42">
        <f t="shared" ca="1" si="1735"/>
        <v>0</v>
      </c>
      <c r="EE203" s="40"/>
      <c r="EF203" s="120">
        <f t="shared" ca="1" si="756"/>
        <v>85.4</v>
      </c>
      <c r="EG203" s="42">
        <f t="shared" ca="1" si="1625"/>
        <v>258.33906893413985</v>
      </c>
      <c r="EH203" s="36">
        <f t="shared" ca="1" si="1626"/>
        <v>258.33906893413985</v>
      </c>
      <c r="EI203" s="143">
        <f t="shared" ca="1" si="1627"/>
        <v>258.339</v>
      </c>
      <c r="EJ203" s="143">
        <f t="shared" ca="1" si="1635"/>
        <v>0</v>
      </c>
      <c r="EK203" s="153">
        <f t="shared" ca="1" si="1628"/>
        <v>0</v>
      </c>
      <c r="EL203" s="143">
        <f t="shared" ca="1" si="1629"/>
        <v>0</v>
      </c>
    </row>
    <row r="204" spans="1:142" x14ac:dyDescent="0.3">
      <c r="A204" s="143">
        <f t="shared" ca="1" si="1630"/>
        <v>85.4</v>
      </c>
      <c r="B204" s="144">
        <f t="shared" ca="1" si="1631"/>
        <v>0.28399999999999997</v>
      </c>
      <c r="C204" s="145">
        <f t="shared" ca="1" si="1632"/>
        <v>45295.440972222219</v>
      </c>
      <c r="D204" s="144">
        <f t="shared" ca="1" si="1633"/>
        <v>2.5999999999999999E-2</v>
      </c>
      <c r="E204" s="144">
        <f t="shared" ca="1" si="1634"/>
        <v>0.04</v>
      </c>
      <c r="F204" s="36">
        <f t="shared" si="641"/>
        <v>75</v>
      </c>
      <c r="G204" s="35">
        <f t="shared" si="1515"/>
        <v>0.28399999999999997</v>
      </c>
      <c r="H204" s="197">
        <f t="shared" ca="1" si="1290"/>
        <v>169.23611111111677</v>
      </c>
      <c r="I204" s="41">
        <f t="shared" ca="1" si="1516"/>
        <v>0.46366057838662128</v>
      </c>
      <c r="J204" s="40">
        <f t="shared" ca="1" si="1636"/>
        <v>0.12985798725821379</v>
      </c>
      <c r="K204" s="40">
        <f t="shared" ca="1" si="1637"/>
        <v>2.5189751902588361E-2</v>
      </c>
      <c r="L204" s="40">
        <f t="shared" ca="1" si="1638"/>
        <v>0.19338305926412305</v>
      </c>
      <c r="M204" s="42">
        <f t="shared" ca="1" si="1639"/>
        <v>0.80176484822818728</v>
      </c>
      <c r="N204" s="42">
        <f t="shared" ca="1" si="1640"/>
        <v>0.60838178896406425</v>
      </c>
      <c r="O204" s="42">
        <f t="shared" ca="1" si="1641"/>
        <v>0.78865550202522283</v>
      </c>
      <c r="P204" s="42">
        <f t="shared" ca="1" si="1642"/>
        <v>0.21134449797477717</v>
      </c>
      <c r="Q204" s="42">
        <f t="shared" ca="1" si="1643"/>
        <v>0.72853285658034883</v>
      </c>
      <c r="R204" s="42">
        <f t="shared" ca="1" si="1644"/>
        <v>0.27146714341965111</v>
      </c>
      <c r="S204" s="42">
        <f t="shared" ca="1" si="1645"/>
        <v>0.98162450344672281</v>
      </c>
      <c r="T204" s="42">
        <f t="shared" ca="1" si="1646"/>
        <v>73.621837758504213</v>
      </c>
      <c r="U204" s="42">
        <f t="shared" ca="1" si="1647"/>
        <v>0.98801719747153338</v>
      </c>
      <c r="V204" s="42">
        <f t="shared" ca="1" si="1648"/>
        <v>84.376668664068958</v>
      </c>
      <c r="W204" s="42">
        <f t="shared" ca="1" si="1649"/>
        <v>0.28928238154977365</v>
      </c>
      <c r="X204" s="42">
        <f t="shared" ca="1" si="1650"/>
        <v>2.153365310014383</v>
      </c>
      <c r="Y204" s="42">
        <f t="shared" ca="1" si="1651"/>
        <v>-0.20881199859006749</v>
      </c>
      <c r="Z204" s="42">
        <f t="shared" ca="1" si="1652"/>
        <v>1.7306537635226424E-2</v>
      </c>
      <c r="AA204" s="42">
        <f t="shared" ca="1" si="1534"/>
        <v>-1.302570857267049E-2</v>
      </c>
      <c r="AB204" s="42">
        <f t="shared" ca="1" si="1653"/>
        <v>0.16620513797420244</v>
      </c>
      <c r="AC204" s="42">
        <f t="shared" ca="1" si="1654"/>
        <v>-9.2666785853637385E-2</v>
      </c>
      <c r="AD204" s="42">
        <f t="shared" ca="1" si="1655"/>
        <v>-723.31734499280856</v>
      </c>
      <c r="AF204" s="36">
        <f t="shared" si="664"/>
        <v>80</v>
      </c>
      <c r="AG204" s="35">
        <f t="shared" si="1537"/>
        <v>0.28399999999999997</v>
      </c>
      <c r="AH204" s="197">
        <f t="shared" ca="1" si="1313"/>
        <v>169.23611111111677</v>
      </c>
      <c r="AI204" s="41">
        <f t="shared" ca="1" si="1538"/>
        <v>0.46366057838662128</v>
      </c>
      <c r="AJ204" s="40">
        <f t="shared" ca="1" si="1656"/>
        <v>6.5319466120642669E-2</v>
      </c>
      <c r="AK204" s="40">
        <f t="shared" ca="1" si="1657"/>
        <v>2.5189751902588361E-2</v>
      </c>
      <c r="AL204" s="40">
        <f t="shared" ca="1" si="1658"/>
        <v>0.19338305926412305</v>
      </c>
      <c r="AM204" s="42">
        <f t="shared" ca="1" si="1659"/>
        <v>0.46803074875143702</v>
      </c>
      <c r="AN204" s="42">
        <f t="shared" ca="1" si="1660"/>
        <v>0.274647689487314</v>
      </c>
      <c r="AO204" s="42">
        <f t="shared" ca="1" si="1661"/>
        <v>0.68011869960825055</v>
      </c>
      <c r="AP204" s="42">
        <f t="shared" ca="1" si="1662"/>
        <v>0.31988130039174945</v>
      </c>
      <c r="AQ204" s="42">
        <f t="shared" ca="1" si="1663"/>
        <v>0.60820653811473968</v>
      </c>
      <c r="AR204" s="42">
        <f t="shared" ca="1" si="1664"/>
        <v>0.39179346188526026</v>
      </c>
      <c r="AS204" s="42">
        <f t="shared" ca="1" si="1665"/>
        <v>0.98162450344672281</v>
      </c>
      <c r="AT204" s="42">
        <f t="shared" ca="1" si="1666"/>
        <v>78.529960275737821</v>
      </c>
      <c r="AU204" s="42">
        <f t="shared" ca="1" si="1667"/>
        <v>0.98801719747153338</v>
      </c>
      <c r="AV204" s="42">
        <f t="shared" ca="1" si="1668"/>
        <v>84.376668664068958</v>
      </c>
      <c r="AW204" s="42">
        <f t="shared" ca="1" si="1669"/>
        <v>0.3575554142041969</v>
      </c>
      <c r="AX204" s="42">
        <f t="shared" ca="1" si="1670"/>
        <v>3.777006503157132</v>
      </c>
      <c r="AY204" s="42">
        <f t="shared" ca="1" si="1671"/>
        <v>-0.31604822593660598</v>
      </c>
      <c r="AZ204" s="42">
        <f t="shared" ca="1" si="1672"/>
        <v>2.1391023537115056E-2</v>
      </c>
      <c r="BA204" s="42">
        <f t="shared" ca="1" si="1556"/>
        <v>-1.5787806699479157E-2</v>
      </c>
      <c r="BB204" s="42">
        <f t="shared" ca="1" si="1673"/>
        <v>0.20543092404335248</v>
      </c>
      <c r="BC204" s="42">
        <f t="shared" ca="1" si="1674"/>
        <v>-0.14265688436163948</v>
      </c>
      <c r="BD204" s="42">
        <f t="shared" ca="1" si="1675"/>
        <v>936.49674842143418</v>
      </c>
      <c r="BE204" s="40"/>
      <c r="BF204" s="36">
        <f t="shared" si="687"/>
        <v>90</v>
      </c>
      <c r="BG204" s="35">
        <f t="shared" si="1559"/>
        <v>0.28399999999999997</v>
      </c>
      <c r="BH204" s="197">
        <f t="shared" ca="1" si="1336"/>
        <v>169.23611111111677</v>
      </c>
      <c r="BI204" s="41">
        <f t="shared" ca="1" si="1560"/>
        <v>0.46366057838662128</v>
      </c>
      <c r="BJ204" s="40">
        <f t="shared" ca="1" si="1676"/>
        <v>-5.2463569535740766E-2</v>
      </c>
      <c r="BK204" s="40">
        <f t="shared" ca="1" si="1677"/>
        <v>2.5189751902588361E-2</v>
      </c>
      <c r="BL204" s="40">
        <f t="shared" ca="1" si="1678"/>
        <v>0.19338305926412305</v>
      </c>
      <c r="BM204" s="42">
        <f t="shared" ca="1" si="1679"/>
        <v>-0.14103519582809868</v>
      </c>
      <c r="BN204" s="42">
        <f t="shared" ca="1" si="1680"/>
        <v>-0.33441825509222173</v>
      </c>
      <c r="BO204" s="42">
        <f t="shared" ca="1" si="1681"/>
        <v>0.44392106898616246</v>
      </c>
      <c r="BP204" s="42">
        <f t="shared" ca="1" si="1682"/>
        <v>0.55607893101383754</v>
      </c>
      <c r="BQ204" s="42">
        <f t="shared" ca="1" si="1683"/>
        <v>0.36903198301145818</v>
      </c>
      <c r="BR204" s="42">
        <f t="shared" ca="1" si="1684"/>
        <v>0.63096801698854188</v>
      </c>
      <c r="BS204" s="42">
        <f t="shared" ca="1" si="1685"/>
        <v>0.98162450344672281</v>
      </c>
      <c r="BT204" s="42">
        <f t="shared" ca="1" si="1686"/>
        <v>88.34620531020505</v>
      </c>
      <c r="BU204" s="42">
        <f t="shared" ca="1" si="1687"/>
        <v>0.98801719747153338</v>
      </c>
      <c r="BV204" s="42">
        <f t="shared" ca="1" si="1688"/>
        <v>84.376668664068958</v>
      </c>
      <c r="BW204" s="42">
        <f t="shared" ca="1" si="1689"/>
        <v>0.39499427951128013</v>
      </c>
      <c r="BX204" s="42">
        <f t="shared" ca="1" si="1690"/>
        <v>4.8540056136823466</v>
      </c>
      <c r="BY204" s="42">
        <f t="shared" ca="1" si="1691"/>
        <v>0.43860165047827548</v>
      </c>
      <c r="BZ204" s="42">
        <f t="shared" ca="1" si="1692"/>
        <v>2.3630832017624698E-2</v>
      </c>
      <c r="CA204" s="42">
        <f t="shared" ca="1" si="1578"/>
        <v>-1.9946570164958009E-2</v>
      </c>
      <c r="CB204" s="42">
        <f t="shared" ca="1" si="1693"/>
        <v>0.22694115823260852</v>
      </c>
      <c r="CC204" s="42">
        <f t="shared" ca="1" si="1694"/>
        <v>0.15116528937722107</v>
      </c>
      <c r="CD204" s="42">
        <f t="shared" ca="1" si="1695"/>
        <v>972.99719315882658</v>
      </c>
      <c r="CE204" s="40"/>
      <c r="CF204" s="36">
        <f t="shared" si="710"/>
        <v>95</v>
      </c>
      <c r="CG204" s="35">
        <f t="shared" si="1581"/>
        <v>0.28399999999999997</v>
      </c>
      <c r="CH204" s="197">
        <f t="shared" ca="1" si="1359"/>
        <v>169.23611111111677</v>
      </c>
      <c r="CI204" s="41">
        <f t="shared" ca="1" si="1582"/>
        <v>0.46366057838662128</v>
      </c>
      <c r="CJ204" s="40">
        <f t="shared" ca="1" si="1696"/>
        <v>-0.10653079080601656</v>
      </c>
      <c r="CK204" s="40">
        <f t="shared" ca="1" si="1697"/>
        <v>2.5189751902588361E-2</v>
      </c>
      <c r="CL204" s="40">
        <f t="shared" ca="1" si="1698"/>
        <v>0.19338305926412305</v>
      </c>
      <c r="CM204" s="42">
        <f t="shared" ca="1" si="1699"/>
        <v>-0.42062132646444694</v>
      </c>
      <c r="CN204" s="42">
        <f t="shared" ca="1" si="1700"/>
        <v>-0.61400438572856997</v>
      </c>
      <c r="CO204" s="42">
        <f t="shared" ca="1" si="1701"/>
        <v>0.33701580910706302</v>
      </c>
      <c r="CP204" s="42">
        <f t="shared" ca="1" si="1702"/>
        <v>0.66298419089293703</v>
      </c>
      <c r="CQ204" s="42">
        <f t="shared" ca="1" si="1703"/>
        <v>0.26960621453848232</v>
      </c>
      <c r="CR204" s="42">
        <f t="shared" ca="1" si="1704"/>
        <v>0.73039378546151768</v>
      </c>
      <c r="CS204" s="42">
        <f t="shared" ca="1" si="1705"/>
        <v>0.98162450344672281</v>
      </c>
      <c r="CT204" s="42">
        <f t="shared" ca="1" si="1706"/>
        <v>93.254327827438672</v>
      </c>
      <c r="CU204" s="42">
        <f t="shared" ca="1" si="1707"/>
        <v>0.98801719747153338</v>
      </c>
      <c r="CV204" s="42">
        <f t="shared" ca="1" si="1708"/>
        <v>84.376668664068958</v>
      </c>
      <c r="CW204" s="42">
        <f t="shared" ca="1" si="1709"/>
        <v>0.365167296678925</v>
      </c>
      <c r="CX204" s="42">
        <f t="shared" ca="1" si="1710"/>
        <v>3.2943249446933756</v>
      </c>
      <c r="CY204" s="42">
        <f t="shared" ca="1" si="1711"/>
        <v>0.33297741521756169</v>
      </c>
      <c r="CZ204" s="42">
        <f t="shared" ca="1" si="1712"/>
        <v>2.1846410172893065E-2</v>
      </c>
      <c r="DA204" s="42">
        <f t="shared" ca="1" si="1600"/>
        <v>-1.8333614860733365E-2</v>
      </c>
      <c r="DB204" s="42">
        <f t="shared" ca="1" si="1713"/>
        <v>0.20980427706325602</v>
      </c>
      <c r="DC204" s="42">
        <f t="shared" ca="1" si="1714"/>
        <v>0.11657329370125608</v>
      </c>
      <c r="DD204" s="42">
        <f t="shared" ca="1" si="1715"/>
        <v>-927.83752765331235</v>
      </c>
      <c r="DE204" s="40"/>
      <c r="DF204" s="36">
        <f t="shared" si="733"/>
        <v>200</v>
      </c>
      <c r="DG204" s="35">
        <f t="shared" si="1603"/>
        <v>0.28399999999999997</v>
      </c>
      <c r="DH204" s="197">
        <f t="shared" ca="1" si="1382"/>
        <v>169.23611111111677</v>
      </c>
      <c r="DI204" s="41">
        <f t="shared" ca="1" si="1604"/>
        <v>0.46366057838662128</v>
      </c>
      <c r="DJ204" s="40">
        <f t="shared" ca="1" si="1716"/>
        <v>-0.85097126575351234</v>
      </c>
      <c r="DK204" s="40">
        <f t="shared" ca="1" si="1717"/>
        <v>2.5189751902588361E-2</v>
      </c>
      <c r="DL204" s="40">
        <f t="shared" ca="1" si="1718"/>
        <v>0.19338305926412305</v>
      </c>
      <c r="DM204" s="42">
        <f t="shared" ca="1" si="1719"/>
        <v>-4.2701853874545943</v>
      </c>
      <c r="DN204" s="42">
        <f t="shared" ca="1" si="1720"/>
        <v>-4.4635684467187176</v>
      </c>
      <c r="DO204" s="42">
        <f t="shared" ca="1" si="1721"/>
        <v>9.7655276518789487E-6</v>
      </c>
      <c r="DP204" s="42">
        <f t="shared" ca="1" si="1722"/>
        <v>0.99999023447234814</v>
      </c>
      <c r="DQ204" s="42">
        <f t="shared" ca="1" si="1723"/>
        <v>4.0302916462733568E-6</v>
      </c>
      <c r="DR204" s="42">
        <f t="shared" ca="1" si="1724"/>
        <v>0.99999596970835369</v>
      </c>
      <c r="DS204" s="42">
        <f t="shared" ca="1" si="1725"/>
        <v>0.98162450344672281</v>
      </c>
      <c r="DT204" s="42">
        <f t="shared" ca="1" si="1726"/>
        <v>196.32490068934456</v>
      </c>
      <c r="DU204" s="42">
        <f t="shared" ca="1" si="1727"/>
        <v>0.98801719747153338</v>
      </c>
      <c r="DV204" s="42">
        <f t="shared" ca="1" si="1728"/>
        <v>84.376668664068958</v>
      </c>
      <c r="DW204" s="42">
        <f t="shared" ca="1" si="1729"/>
        <v>4.3786712472282578E-5</v>
      </c>
      <c r="DX204" s="42">
        <f t="shared" si="1730"/>
        <v>0</v>
      </c>
      <c r="DY204" s="92">
        <f t="shared" ca="1" si="1731"/>
        <v>0</v>
      </c>
      <c r="DZ204" s="42">
        <f t="shared" ca="1" si="1732"/>
        <v>0</v>
      </c>
      <c r="EA204" s="42">
        <f t="shared" ca="1" si="1622"/>
        <v>0</v>
      </c>
      <c r="EB204" s="42">
        <f t="shared" ca="1" si="1733"/>
        <v>0</v>
      </c>
      <c r="EC204" s="42">
        <f t="shared" ca="1" si="1734"/>
        <v>0</v>
      </c>
      <c r="ED204" s="42">
        <f t="shared" ca="1" si="1735"/>
        <v>0</v>
      </c>
      <c r="EE204" s="40"/>
      <c r="EF204" s="120">
        <f t="shared" ca="1" si="756"/>
        <v>85.4</v>
      </c>
      <c r="EG204" s="42">
        <f t="shared" ca="1" si="1625"/>
        <v>258.33906893413985</v>
      </c>
      <c r="EH204" s="36">
        <f t="shared" ca="1" si="1626"/>
        <v>258.33906893413985</v>
      </c>
      <c r="EI204" s="143">
        <f t="shared" ca="1" si="1627"/>
        <v>258.339</v>
      </c>
      <c r="EJ204" s="143">
        <f t="shared" ca="1" si="1635"/>
        <v>0</v>
      </c>
      <c r="EK204" s="153">
        <f t="shared" ca="1" si="1628"/>
        <v>0</v>
      </c>
      <c r="EL204" s="143">
        <f t="shared" ca="1" si="1629"/>
        <v>0</v>
      </c>
    </row>
    <row r="205" spans="1:142" x14ac:dyDescent="0.3">
      <c r="A205" s="143">
        <f t="shared" ca="1" si="1630"/>
        <v>85.4</v>
      </c>
      <c r="B205" s="144">
        <f t="shared" ca="1" si="1631"/>
        <v>0.28399999999999997</v>
      </c>
      <c r="C205" s="145">
        <f t="shared" ca="1" si="1632"/>
        <v>45295.440972222219</v>
      </c>
      <c r="D205" s="144">
        <f t="shared" ca="1" si="1633"/>
        <v>2.5999999999999999E-2</v>
      </c>
      <c r="E205" s="144">
        <f t="shared" ca="1" si="1634"/>
        <v>0.04</v>
      </c>
      <c r="F205" s="36">
        <f t="shared" si="641"/>
        <v>75</v>
      </c>
      <c r="G205" s="35">
        <f t="shared" si="1515"/>
        <v>0.28399999999999997</v>
      </c>
      <c r="H205" s="197">
        <f t="shared" ca="1" si="1290"/>
        <v>169.23611111111677</v>
      </c>
      <c r="I205" s="41">
        <f t="shared" ca="1" si="1516"/>
        <v>0.46366057838662128</v>
      </c>
      <c r="J205" s="40">
        <f t="shared" ca="1" si="1636"/>
        <v>0.12985798725821379</v>
      </c>
      <c r="K205" s="40">
        <f t="shared" ca="1" si="1637"/>
        <v>2.5189751902588361E-2</v>
      </c>
      <c r="L205" s="40">
        <f t="shared" ca="1" si="1638"/>
        <v>0.19338305926412305</v>
      </c>
      <c r="M205" s="42">
        <f t="shared" ca="1" si="1639"/>
        <v>0.80176484822818728</v>
      </c>
      <c r="N205" s="42">
        <f t="shared" ca="1" si="1640"/>
        <v>0.60838178896406425</v>
      </c>
      <c r="O205" s="42">
        <f t="shared" ca="1" si="1641"/>
        <v>0.78865550202522283</v>
      </c>
      <c r="P205" s="42">
        <f t="shared" ca="1" si="1642"/>
        <v>0.21134449797477717</v>
      </c>
      <c r="Q205" s="42">
        <f t="shared" ca="1" si="1643"/>
        <v>0.72853285658034883</v>
      </c>
      <c r="R205" s="42">
        <f t="shared" ca="1" si="1644"/>
        <v>0.27146714341965111</v>
      </c>
      <c r="S205" s="42">
        <f t="shared" ca="1" si="1645"/>
        <v>0.98162450344672281</v>
      </c>
      <c r="T205" s="42">
        <f t="shared" ca="1" si="1646"/>
        <v>73.621837758504213</v>
      </c>
      <c r="U205" s="42">
        <f t="shared" ca="1" si="1647"/>
        <v>0.98801719747153338</v>
      </c>
      <c r="V205" s="42">
        <f t="shared" ca="1" si="1648"/>
        <v>84.376668664068958</v>
      </c>
      <c r="W205" s="42">
        <f t="shared" ca="1" si="1649"/>
        <v>0.28928238154977365</v>
      </c>
      <c r="X205" s="42">
        <f t="shared" ca="1" si="1650"/>
        <v>2.153365310014383</v>
      </c>
      <c r="Y205" s="42">
        <f t="shared" ca="1" si="1651"/>
        <v>-0.20881199859006749</v>
      </c>
      <c r="Z205" s="42">
        <f t="shared" ca="1" si="1652"/>
        <v>1.7306537635226424E-2</v>
      </c>
      <c r="AA205" s="42">
        <f t="shared" ca="1" si="1534"/>
        <v>-1.302570857267049E-2</v>
      </c>
      <c r="AB205" s="42">
        <f t="shared" ca="1" si="1653"/>
        <v>0.16620513797420244</v>
      </c>
      <c r="AC205" s="42">
        <f t="shared" ca="1" si="1654"/>
        <v>-9.2666785853637385E-2</v>
      </c>
      <c r="AD205" s="42">
        <f t="shared" ca="1" si="1655"/>
        <v>-723.31734499280856</v>
      </c>
      <c r="AF205" s="36">
        <f t="shared" si="664"/>
        <v>80</v>
      </c>
      <c r="AG205" s="35">
        <f t="shared" si="1537"/>
        <v>0.28399999999999997</v>
      </c>
      <c r="AH205" s="197">
        <f t="shared" ca="1" si="1313"/>
        <v>169.23611111111677</v>
      </c>
      <c r="AI205" s="41">
        <f t="shared" ca="1" si="1538"/>
        <v>0.46366057838662128</v>
      </c>
      <c r="AJ205" s="40">
        <f t="shared" ca="1" si="1656"/>
        <v>6.5319466120642669E-2</v>
      </c>
      <c r="AK205" s="40">
        <f t="shared" ca="1" si="1657"/>
        <v>2.5189751902588361E-2</v>
      </c>
      <c r="AL205" s="40">
        <f t="shared" ca="1" si="1658"/>
        <v>0.19338305926412305</v>
      </c>
      <c r="AM205" s="42">
        <f t="shared" ca="1" si="1659"/>
        <v>0.46803074875143702</v>
      </c>
      <c r="AN205" s="42">
        <f t="shared" ca="1" si="1660"/>
        <v>0.274647689487314</v>
      </c>
      <c r="AO205" s="42">
        <f t="shared" ca="1" si="1661"/>
        <v>0.68011869960825055</v>
      </c>
      <c r="AP205" s="42">
        <f t="shared" ca="1" si="1662"/>
        <v>0.31988130039174945</v>
      </c>
      <c r="AQ205" s="42">
        <f t="shared" ca="1" si="1663"/>
        <v>0.60820653811473968</v>
      </c>
      <c r="AR205" s="42">
        <f t="shared" ca="1" si="1664"/>
        <v>0.39179346188526026</v>
      </c>
      <c r="AS205" s="42">
        <f t="shared" ca="1" si="1665"/>
        <v>0.98162450344672281</v>
      </c>
      <c r="AT205" s="42">
        <f t="shared" ca="1" si="1666"/>
        <v>78.529960275737821</v>
      </c>
      <c r="AU205" s="42">
        <f t="shared" ca="1" si="1667"/>
        <v>0.98801719747153338</v>
      </c>
      <c r="AV205" s="42">
        <f t="shared" ca="1" si="1668"/>
        <v>84.376668664068958</v>
      </c>
      <c r="AW205" s="42">
        <f t="shared" ca="1" si="1669"/>
        <v>0.3575554142041969</v>
      </c>
      <c r="AX205" s="42">
        <f t="shared" ca="1" si="1670"/>
        <v>3.777006503157132</v>
      </c>
      <c r="AY205" s="42">
        <f t="shared" ca="1" si="1671"/>
        <v>-0.31604822593660598</v>
      </c>
      <c r="AZ205" s="42">
        <f t="shared" ca="1" si="1672"/>
        <v>2.1391023537115056E-2</v>
      </c>
      <c r="BA205" s="42">
        <f t="shared" ca="1" si="1556"/>
        <v>-1.5787806699479157E-2</v>
      </c>
      <c r="BB205" s="42">
        <f t="shared" ca="1" si="1673"/>
        <v>0.20543092404335248</v>
      </c>
      <c r="BC205" s="42">
        <f t="shared" ca="1" si="1674"/>
        <v>-0.14265688436163948</v>
      </c>
      <c r="BD205" s="42">
        <f t="shared" ca="1" si="1675"/>
        <v>936.49674842143418</v>
      </c>
      <c r="BE205" s="40"/>
      <c r="BF205" s="36">
        <f t="shared" si="687"/>
        <v>90</v>
      </c>
      <c r="BG205" s="35">
        <f t="shared" si="1559"/>
        <v>0.28399999999999997</v>
      </c>
      <c r="BH205" s="197">
        <f t="shared" ca="1" si="1336"/>
        <v>169.23611111111677</v>
      </c>
      <c r="BI205" s="41">
        <f t="shared" ca="1" si="1560"/>
        <v>0.46366057838662128</v>
      </c>
      <c r="BJ205" s="40">
        <f t="shared" ca="1" si="1676"/>
        <v>-5.2463569535740766E-2</v>
      </c>
      <c r="BK205" s="40">
        <f t="shared" ca="1" si="1677"/>
        <v>2.5189751902588361E-2</v>
      </c>
      <c r="BL205" s="40">
        <f t="shared" ca="1" si="1678"/>
        <v>0.19338305926412305</v>
      </c>
      <c r="BM205" s="42">
        <f t="shared" ca="1" si="1679"/>
        <v>-0.14103519582809868</v>
      </c>
      <c r="BN205" s="42">
        <f t="shared" ca="1" si="1680"/>
        <v>-0.33441825509222173</v>
      </c>
      <c r="BO205" s="42">
        <f t="shared" ca="1" si="1681"/>
        <v>0.44392106898616246</v>
      </c>
      <c r="BP205" s="42">
        <f t="shared" ca="1" si="1682"/>
        <v>0.55607893101383754</v>
      </c>
      <c r="BQ205" s="42">
        <f t="shared" ca="1" si="1683"/>
        <v>0.36903198301145818</v>
      </c>
      <c r="BR205" s="42">
        <f t="shared" ca="1" si="1684"/>
        <v>0.63096801698854188</v>
      </c>
      <c r="BS205" s="42">
        <f t="shared" ca="1" si="1685"/>
        <v>0.98162450344672281</v>
      </c>
      <c r="BT205" s="42">
        <f t="shared" ca="1" si="1686"/>
        <v>88.34620531020505</v>
      </c>
      <c r="BU205" s="42">
        <f t="shared" ca="1" si="1687"/>
        <v>0.98801719747153338</v>
      </c>
      <c r="BV205" s="42">
        <f t="shared" ca="1" si="1688"/>
        <v>84.376668664068958</v>
      </c>
      <c r="BW205" s="42">
        <f t="shared" ca="1" si="1689"/>
        <v>0.39499427951128013</v>
      </c>
      <c r="BX205" s="42">
        <f t="shared" ca="1" si="1690"/>
        <v>4.8540056136823466</v>
      </c>
      <c r="BY205" s="42">
        <f t="shared" ca="1" si="1691"/>
        <v>0.43860165047827548</v>
      </c>
      <c r="BZ205" s="42">
        <f t="shared" ca="1" si="1692"/>
        <v>2.3630832017624698E-2</v>
      </c>
      <c r="CA205" s="42">
        <f t="shared" ca="1" si="1578"/>
        <v>-1.9946570164958009E-2</v>
      </c>
      <c r="CB205" s="42">
        <f t="shared" ca="1" si="1693"/>
        <v>0.22694115823260852</v>
      </c>
      <c r="CC205" s="42">
        <f t="shared" ca="1" si="1694"/>
        <v>0.15116528937722107</v>
      </c>
      <c r="CD205" s="42">
        <f t="shared" ca="1" si="1695"/>
        <v>972.99719315882658</v>
      </c>
      <c r="CE205" s="40"/>
      <c r="CF205" s="36">
        <f t="shared" si="710"/>
        <v>95</v>
      </c>
      <c r="CG205" s="35">
        <f t="shared" si="1581"/>
        <v>0.28399999999999997</v>
      </c>
      <c r="CH205" s="197">
        <f t="shared" ca="1" si="1359"/>
        <v>169.23611111111677</v>
      </c>
      <c r="CI205" s="41">
        <f t="shared" ca="1" si="1582"/>
        <v>0.46366057838662128</v>
      </c>
      <c r="CJ205" s="40">
        <f t="shared" ca="1" si="1696"/>
        <v>-0.10653079080601656</v>
      </c>
      <c r="CK205" s="40">
        <f t="shared" ca="1" si="1697"/>
        <v>2.5189751902588361E-2</v>
      </c>
      <c r="CL205" s="40">
        <f t="shared" ca="1" si="1698"/>
        <v>0.19338305926412305</v>
      </c>
      <c r="CM205" s="42">
        <f t="shared" ca="1" si="1699"/>
        <v>-0.42062132646444694</v>
      </c>
      <c r="CN205" s="42">
        <f t="shared" ca="1" si="1700"/>
        <v>-0.61400438572856997</v>
      </c>
      <c r="CO205" s="42">
        <f t="shared" ca="1" si="1701"/>
        <v>0.33701580910706302</v>
      </c>
      <c r="CP205" s="42">
        <f t="shared" ca="1" si="1702"/>
        <v>0.66298419089293703</v>
      </c>
      <c r="CQ205" s="42">
        <f t="shared" ca="1" si="1703"/>
        <v>0.26960621453848232</v>
      </c>
      <c r="CR205" s="42">
        <f t="shared" ca="1" si="1704"/>
        <v>0.73039378546151768</v>
      </c>
      <c r="CS205" s="42">
        <f t="shared" ca="1" si="1705"/>
        <v>0.98162450344672281</v>
      </c>
      <c r="CT205" s="42">
        <f t="shared" ca="1" si="1706"/>
        <v>93.254327827438672</v>
      </c>
      <c r="CU205" s="42">
        <f t="shared" ca="1" si="1707"/>
        <v>0.98801719747153338</v>
      </c>
      <c r="CV205" s="42">
        <f t="shared" ca="1" si="1708"/>
        <v>84.376668664068958</v>
      </c>
      <c r="CW205" s="42">
        <f t="shared" ca="1" si="1709"/>
        <v>0.365167296678925</v>
      </c>
      <c r="CX205" s="42">
        <f t="shared" ca="1" si="1710"/>
        <v>3.2943249446933756</v>
      </c>
      <c r="CY205" s="42">
        <f t="shared" ca="1" si="1711"/>
        <v>0.33297741521756169</v>
      </c>
      <c r="CZ205" s="42">
        <f t="shared" ca="1" si="1712"/>
        <v>2.1846410172893065E-2</v>
      </c>
      <c r="DA205" s="42">
        <f t="shared" ca="1" si="1600"/>
        <v>-1.8333614860733365E-2</v>
      </c>
      <c r="DB205" s="42">
        <f t="shared" ca="1" si="1713"/>
        <v>0.20980427706325602</v>
      </c>
      <c r="DC205" s="42">
        <f t="shared" ca="1" si="1714"/>
        <v>0.11657329370125608</v>
      </c>
      <c r="DD205" s="42">
        <f t="shared" ca="1" si="1715"/>
        <v>-927.83752765331235</v>
      </c>
      <c r="DE205" s="40"/>
      <c r="DF205" s="36">
        <f t="shared" si="733"/>
        <v>200</v>
      </c>
      <c r="DG205" s="35">
        <f t="shared" si="1603"/>
        <v>0.28399999999999997</v>
      </c>
      <c r="DH205" s="197">
        <f t="shared" ca="1" si="1382"/>
        <v>169.23611111111677</v>
      </c>
      <c r="DI205" s="41">
        <f t="shared" ca="1" si="1604"/>
        <v>0.46366057838662128</v>
      </c>
      <c r="DJ205" s="40">
        <f t="shared" ca="1" si="1716"/>
        <v>-0.85097126575351234</v>
      </c>
      <c r="DK205" s="40">
        <f t="shared" ca="1" si="1717"/>
        <v>2.5189751902588361E-2</v>
      </c>
      <c r="DL205" s="40">
        <f t="shared" ca="1" si="1718"/>
        <v>0.19338305926412305</v>
      </c>
      <c r="DM205" s="42">
        <f t="shared" ca="1" si="1719"/>
        <v>-4.2701853874545943</v>
      </c>
      <c r="DN205" s="42">
        <f t="shared" ca="1" si="1720"/>
        <v>-4.4635684467187176</v>
      </c>
      <c r="DO205" s="42">
        <f t="shared" ca="1" si="1721"/>
        <v>9.7655276518789487E-6</v>
      </c>
      <c r="DP205" s="42">
        <f t="shared" ca="1" si="1722"/>
        <v>0.99999023447234814</v>
      </c>
      <c r="DQ205" s="42">
        <f t="shared" ca="1" si="1723"/>
        <v>4.0302916462733568E-6</v>
      </c>
      <c r="DR205" s="42">
        <f t="shared" ca="1" si="1724"/>
        <v>0.99999596970835369</v>
      </c>
      <c r="DS205" s="42">
        <f t="shared" ca="1" si="1725"/>
        <v>0.98162450344672281</v>
      </c>
      <c r="DT205" s="42">
        <f t="shared" ca="1" si="1726"/>
        <v>196.32490068934456</v>
      </c>
      <c r="DU205" s="42">
        <f t="shared" ca="1" si="1727"/>
        <v>0.98801719747153338</v>
      </c>
      <c r="DV205" s="42">
        <f t="shared" ca="1" si="1728"/>
        <v>84.376668664068958</v>
      </c>
      <c r="DW205" s="42">
        <f t="shared" ca="1" si="1729"/>
        <v>4.3786712472282578E-5</v>
      </c>
      <c r="DX205" s="42">
        <f t="shared" si="1730"/>
        <v>0</v>
      </c>
      <c r="DY205" s="92">
        <f t="shared" ca="1" si="1731"/>
        <v>0</v>
      </c>
      <c r="DZ205" s="42">
        <f t="shared" ca="1" si="1732"/>
        <v>0</v>
      </c>
      <c r="EA205" s="42">
        <f t="shared" ca="1" si="1622"/>
        <v>0</v>
      </c>
      <c r="EB205" s="42">
        <f t="shared" ca="1" si="1733"/>
        <v>0</v>
      </c>
      <c r="EC205" s="42">
        <f t="shared" ca="1" si="1734"/>
        <v>0</v>
      </c>
      <c r="ED205" s="42">
        <f t="shared" ca="1" si="1735"/>
        <v>0</v>
      </c>
      <c r="EE205" s="40"/>
      <c r="EF205" s="120">
        <f t="shared" ca="1" si="756"/>
        <v>85.4</v>
      </c>
      <c r="EG205" s="42">
        <f t="shared" ca="1" si="1625"/>
        <v>258.33906893413985</v>
      </c>
      <c r="EH205" s="36">
        <f t="shared" ca="1" si="1626"/>
        <v>258.33906893413985</v>
      </c>
      <c r="EI205" s="143">
        <f t="shared" ca="1" si="1627"/>
        <v>258.339</v>
      </c>
      <c r="EJ205" s="143">
        <f t="shared" ca="1" si="1635"/>
        <v>0</v>
      </c>
      <c r="EK205" s="153">
        <f t="shared" ca="1" si="1628"/>
        <v>0</v>
      </c>
      <c r="EL205" s="143">
        <f t="shared" ca="1" si="1629"/>
        <v>0</v>
      </c>
    </row>
    <row r="206" spans="1:142" x14ac:dyDescent="0.3">
      <c r="A206" s="143">
        <f t="shared" ca="1" si="1630"/>
        <v>85.4</v>
      </c>
      <c r="B206" s="144">
        <f t="shared" ca="1" si="1631"/>
        <v>0.28399999999999997</v>
      </c>
      <c r="C206" s="145">
        <f t="shared" ca="1" si="1632"/>
        <v>45295.440972222219</v>
      </c>
      <c r="D206" s="144">
        <f t="shared" ca="1" si="1633"/>
        <v>2.5999999999999999E-2</v>
      </c>
      <c r="E206" s="144">
        <f t="shared" ca="1" si="1634"/>
        <v>0.04</v>
      </c>
      <c r="F206" s="36">
        <f t="shared" si="641"/>
        <v>75</v>
      </c>
      <c r="G206" s="35">
        <f t="shared" si="1515"/>
        <v>0.28399999999999997</v>
      </c>
      <c r="H206" s="197">
        <f t="shared" ca="1" si="1290"/>
        <v>169.23611111111677</v>
      </c>
      <c r="I206" s="41">
        <f t="shared" ca="1" si="1516"/>
        <v>0.46366057838662128</v>
      </c>
      <c r="J206" s="40">
        <f t="shared" ca="1" si="1636"/>
        <v>0.12985798725821379</v>
      </c>
      <c r="K206" s="40">
        <f t="shared" ca="1" si="1637"/>
        <v>2.5189751902588361E-2</v>
      </c>
      <c r="L206" s="40">
        <f t="shared" ca="1" si="1638"/>
        <v>0.19338305926412305</v>
      </c>
      <c r="M206" s="42">
        <f t="shared" ca="1" si="1639"/>
        <v>0.80176484822818728</v>
      </c>
      <c r="N206" s="42">
        <f t="shared" ca="1" si="1640"/>
        <v>0.60838178896406425</v>
      </c>
      <c r="O206" s="42">
        <f t="shared" ca="1" si="1641"/>
        <v>0.78865550202522283</v>
      </c>
      <c r="P206" s="42">
        <f t="shared" ca="1" si="1642"/>
        <v>0.21134449797477717</v>
      </c>
      <c r="Q206" s="42">
        <f t="shared" ca="1" si="1643"/>
        <v>0.72853285658034883</v>
      </c>
      <c r="R206" s="42">
        <f t="shared" ca="1" si="1644"/>
        <v>0.27146714341965111</v>
      </c>
      <c r="S206" s="42">
        <f t="shared" ca="1" si="1645"/>
        <v>0.98162450344672281</v>
      </c>
      <c r="T206" s="42">
        <f t="shared" ca="1" si="1646"/>
        <v>73.621837758504213</v>
      </c>
      <c r="U206" s="42">
        <f t="shared" ca="1" si="1647"/>
        <v>0.98801719747153338</v>
      </c>
      <c r="V206" s="42">
        <f t="shared" ca="1" si="1648"/>
        <v>84.376668664068958</v>
      </c>
      <c r="W206" s="42">
        <f t="shared" ca="1" si="1649"/>
        <v>0.28928238154977365</v>
      </c>
      <c r="X206" s="42">
        <f t="shared" ca="1" si="1650"/>
        <v>2.153365310014383</v>
      </c>
      <c r="Y206" s="42">
        <f t="shared" ca="1" si="1651"/>
        <v>-0.20881199859006749</v>
      </c>
      <c r="Z206" s="42">
        <f t="shared" ca="1" si="1652"/>
        <v>1.7306537635226424E-2</v>
      </c>
      <c r="AA206" s="42">
        <f t="shared" ca="1" si="1534"/>
        <v>-1.302570857267049E-2</v>
      </c>
      <c r="AB206" s="42">
        <f t="shared" ca="1" si="1653"/>
        <v>0.16620513797420244</v>
      </c>
      <c r="AC206" s="42">
        <f t="shared" ca="1" si="1654"/>
        <v>-9.2666785853637385E-2</v>
      </c>
      <c r="AD206" s="42">
        <f t="shared" ca="1" si="1655"/>
        <v>-723.31734499280856</v>
      </c>
      <c r="AF206" s="36">
        <f t="shared" si="664"/>
        <v>80</v>
      </c>
      <c r="AG206" s="35">
        <f t="shared" si="1537"/>
        <v>0.28399999999999997</v>
      </c>
      <c r="AH206" s="197">
        <f t="shared" ca="1" si="1313"/>
        <v>169.23611111111677</v>
      </c>
      <c r="AI206" s="41">
        <f t="shared" ca="1" si="1538"/>
        <v>0.46366057838662128</v>
      </c>
      <c r="AJ206" s="40">
        <f t="shared" ca="1" si="1656"/>
        <v>6.5319466120642669E-2</v>
      </c>
      <c r="AK206" s="40">
        <f t="shared" ca="1" si="1657"/>
        <v>2.5189751902588361E-2</v>
      </c>
      <c r="AL206" s="40">
        <f t="shared" ca="1" si="1658"/>
        <v>0.19338305926412305</v>
      </c>
      <c r="AM206" s="42">
        <f t="shared" ca="1" si="1659"/>
        <v>0.46803074875143702</v>
      </c>
      <c r="AN206" s="42">
        <f t="shared" ca="1" si="1660"/>
        <v>0.274647689487314</v>
      </c>
      <c r="AO206" s="42">
        <f t="shared" ca="1" si="1661"/>
        <v>0.68011869960825055</v>
      </c>
      <c r="AP206" s="42">
        <f t="shared" ca="1" si="1662"/>
        <v>0.31988130039174945</v>
      </c>
      <c r="AQ206" s="42">
        <f t="shared" ca="1" si="1663"/>
        <v>0.60820653811473968</v>
      </c>
      <c r="AR206" s="42">
        <f t="shared" ca="1" si="1664"/>
        <v>0.39179346188526026</v>
      </c>
      <c r="AS206" s="42">
        <f t="shared" ca="1" si="1665"/>
        <v>0.98162450344672281</v>
      </c>
      <c r="AT206" s="42">
        <f t="shared" ca="1" si="1666"/>
        <v>78.529960275737821</v>
      </c>
      <c r="AU206" s="42">
        <f t="shared" ca="1" si="1667"/>
        <v>0.98801719747153338</v>
      </c>
      <c r="AV206" s="42">
        <f t="shared" ca="1" si="1668"/>
        <v>84.376668664068958</v>
      </c>
      <c r="AW206" s="42">
        <f t="shared" ca="1" si="1669"/>
        <v>0.3575554142041969</v>
      </c>
      <c r="AX206" s="42">
        <f t="shared" ca="1" si="1670"/>
        <v>3.777006503157132</v>
      </c>
      <c r="AY206" s="42">
        <f t="shared" ca="1" si="1671"/>
        <v>-0.31604822593660598</v>
      </c>
      <c r="AZ206" s="42">
        <f t="shared" ca="1" si="1672"/>
        <v>2.1391023537115056E-2</v>
      </c>
      <c r="BA206" s="42">
        <f t="shared" ca="1" si="1556"/>
        <v>-1.5787806699479157E-2</v>
      </c>
      <c r="BB206" s="42">
        <f t="shared" ca="1" si="1673"/>
        <v>0.20543092404335248</v>
      </c>
      <c r="BC206" s="42">
        <f t="shared" ca="1" si="1674"/>
        <v>-0.14265688436163948</v>
      </c>
      <c r="BD206" s="42">
        <f t="shared" ca="1" si="1675"/>
        <v>936.49674842143418</v>
      </c>
      <c r="BE206" s="40"/>
      <c r="BF206" s="36">
        <f t="shared" si="687"/>
        <v>90</v>
      </c>
      <c r="BG206" s="35">
        <f t="shared" si="1559"/>
        <v>0.28399999999999997</v>
      </c>
      <c r="BH206" s="197">
        <f t="shared" ca="1" si="1336"/>
        <v>169.23611111111677</v>
      </c>
      <c r="BI206" s="41">
        <f t="shared" ca="1" si="1560"/>
        <v>0.46366057838662128</v>
      </c>
      <c r="BJ206" s="40">
        <f t="shared" ca="1" si="1676"/>
        <v>-5.2463569535740766E-2</v>
      </c>
      <c r="BK206" s="40">
        <f t="shared" ca="1" si="1677"/>
        <v>2.5189751902588361E-2</v>
      </c>
      <c r="BL206" s="40">
        <f t="shared" ca="1" si="1678"/>
        <v>0.19338305926412305</v>
      </c>
      <c r="BM206" s="42">
        <f t="shared" ca="1" si="1679"/>
        <v>-0.14103519582809868</v>
      </c>
      <c r="BN206" s="42">
        <f t="shared" ca="1" si="1680"/>
        <v>-0.33441825509222173</v>
      </c>
      <c r="BO206" s="42">
        <f t="shared" ca="1" si="1681"/>
        <v>0.44392106898616246</v>
      </c>
      <c r="BP206" s="42">
        <f t="shared" ca="1" si="1682"/>
        <v>0.55607893101383754</v>
      </c>
      <c r="BQ206" s="42">
        <f t="shared" ca="1" si="1683"/>
        <v>0.36903198301145818</v>
      </c>
      <c r="BR206" s="42">
        <f t="shared" ca="1" si="1684"/>
        <v>0.63096801698854188</v>
      </c>
      <c r="BS206" s="42">
        <f t="shared" ca="1" si="1685"/>
        <v>0.98162450344672281</v>
      </c>
      <c r="BT206" s="42">
        <f t="shared" ca="1" si="1686"/>
        <v>88.34620531020505</v>
      </c>
      <c r="BU206" s="42">
        <f t="shared" ca="1" si="1687"/>
        <v>0.98801719747153338</v>
      </c>
      <c r="BV206" s="42">
        <f t="shared" ca="1" si="1688"/>
        <v>84.376668664068958</v>
      </c>
      <c r="BW206" s="42">
        <f t="shared" ca="1" si="1689"/>
        <v>0.39499427951128013</v>
      </c>
      <c r="BX206" s="42">
        <f t="shared" ca="1" si="1690"/>
        <v>4.8540056136823466</v>
      </c>
      <c r="BY206" s="42">
        <f t="shared" ca="1" si="1691"/>
        <v>0.43860165047827548</v>
      </c>
      <c r="BZ206" s="42">
        <f t="shared" ca="1" si="1692"/>
        <v>2.3630832017624698E-2</v>
      </c>
      <c r="CA206" s="42">
        <f t="shared" ca="1" si="1578"/>
        <v>-1.9946570164958009E-2</v>
      </c>
      <c r="CB206" s="42">
        <f t="shared" ca="1" si="1693"/>
        <v>0.22694115823260852</v>
      </c>
      <c r="CC206" s="42">
        <f t="shared" ca="1" si="1694"/>
        <v>0.15116528937722107</v>
      </c>
      <c r="CD206" s="42">
        <f t="shared" ca="1" si="1695"/>
        <v>972.99719315882658</v>
      </c>
      <c r="CE206" s="40"/>
      <c r="CF206" s="36">
        <f t="shared" si="710"/>
        <v>95</v>
      </c>
      <c r="CG206" s="35">
        <f t="shared" si="1581"/>
        <v>0.28399999999999997</v>
      </c>
      <c r="CH206" s="197">
        <f t="shared" ca="1" si="1359"/>
        <v>169.23611111111677</v>
      </c>
      <c r="CI206" s="41">
        <f t="shared" ca="1" si="1582"/>
        <v>0.46366057838662128</v>
      </c>
      <c r="CJ206" s="40">
        <f t="shared" ca="1" si="1696"/>
        <v>-0.10653079080601656</v>
      </c>
      <c r="CK206" s="40">
        <f t="shared" ca="1" si="1697"/>
        <v>2.5189751902588361E-2</v>
      </c>
      <c r="CL206" s="40">
        <f t="shared" ca="1" si="1698"/>
        <v>0.19338305926412305</v>
      </c>
      <c r="CM206" s="42">
        <f t="shared" ca="1" si="1699"/>
        <v>-0.42062132646444694</v>
      </c>
      <c r="CN206" s="42">
        <f t="shared" ca="1" si="1700"/>
        <v>-0.61400438572856997</v>
      </c>
      <c r="CO206" s="42">
        <f t="shared" ca="1" si="1701"/>
        <v>0.33701580910706302</v>
      </c>
      <c r="CP206" s="42">
        <f t="shared" ca="1" si="1702"/>
        <v>0.66298419089293703</v>
      </c>
      <c r="CQ206" s="42">
        <f t="shared" ca="1" si="1703"/>
        <v>0.26960621453848232</v>
      </c>
      <c r="CR206" s="42">
        <f t="shared" ca="1" si="1704"/>
        <v>0.73039378546151768</v>
      </c>
      <c r="CS206" s="42">
        <f t="shared" ca="1" si="1705"/>
        <v>0.98162450344672281</v>
      </c>
      <c r="CT206" s="42">
        <f t="shared" ca="1" si="1706"/>
        <v>93.254327827438672</v>
      </c>
      <c r="CU206" s="42">
        <f t="shared" ca="1" si="1707"/>
        <v>0.98801719747153338</v>
      </c>
      <c r="CV206" s="42">
        <f t="shared" ca="1" si="1708"/>
        <v>84.376668664068958</v>
      </c>
      <c r="CW206" s="42">
        <f t="shared" ca="1" si="1709"/>
        <v>0.365167296678925</v>
      </c>
      <c r="CX206" s="42">
        <f t="shared" ca="1" si="1710"/>
        <v>3.2943249446933756</v>
      </c>
      <c r="CY206" s="42">
        <f t="shared" ca="1" si="1711"/>
        <v>0.33297741521756169</v>
      </c>
      <c r="CZ206" s="42">
        <f t="shared" ca="1" si="1712"/>
        <v>2.1846410172893065E-2</v>
      </c>
      <c r="DA206" s="42">
        <f t="shared" ca="1" si="1600"/>
        <v>-1.8333614860733365E-2</v>
      </c>
      <c r="DB206" s="42">
        <f t="shared" ca="1" si="1713"/>
        <v>0.20980427706325602</v>
      </c>
      <c r="DC206" s="42">
        <f t="shared" ca="1" si="1714"/>
        <v>0.11657329370125608</v>
      </c>
      <c r="DD206" s="42">
        <f t="shared" ca="1" si="1715"/>
        <v>-927.83752765331235</v>
      </c>
      <c r="DE206" s="40"/>
      <c r="DF206" s="36">
        <f t="shared" si="733"/>
        <v>200</v>
      </c>
      <c r="DG206" s="35">
        <f t="shared" si="1603"/>
        <v>0.28399999999999997</v>
      </c>
      <c r="DH206" s="197">
        <f t="shared" ca="1" si="1382"/>
        <v>169.23611111111677</v>
      </c>
      <c r="DI206" s="41">
        <f t="shared" ca="1" si="1604"/>
        <v>0.46366057838662128</v>
      </c>
      <c r="DJ206" s="40">
        <f t="shared" ca="1" si="1716"/>
        <v>-0.85097126575351234</v>
      </c>
      <c r="DK206" s="40">
        <f t="shared" ca="1" si="1717"/>
        <v>2.5189751902588361E-2</v>
      </c>
      <c r="DL206" s="40">
        <f t="shared" ca="1" si="1718"/>
        <v>0.19338305926412305</v>
      </c>
      <c r="DM206" s="42">
        <f t="shared" ca="1" si="1719"/>
        <v>-4.2701853874545943</v>
      </c>
      <c r="DN206" s="42">
        <f t="shared" ca="1" si="1720"/>
        <v>-4.4635684467187176</v>
      </c>
      <c r="DO206" s="42">
        <f t="shared" ca="1" si="1721"/>
        <v>9.7655276518789487E-6</v>
      </c>
      <c r="DP206" s="42">
        <f t="shared" ca="1" si="1722"/>
        <v>0.99999023447234814</v>
      </c>
      <c r="DQ206" s="42">
        <f t="shared" ca="1" si="1723"/>
        <v>4.0302916462733568E-6</v>
      </c>
      <c r="DR206" s="42">
        <f t="shared" ca="1" si="1724"/>
        <v>0.99999596970835369</v>
      </c>
      <c r="DS206" s="42">
        <f t="shared" ca="1" si="1725"/>
        <v>0.98162450344672281</v>
      </c>
      <c r="DT206" s="42">
        <f t="shared" ca="1" si="1726"/>
        <v>196.32490068934456</v>
      </c>
      <c r="DU206" s="42">
        <f t="shared" ca="1" si="1727"/>
        <v>0.98801719747153338</v>
      </c>
      <c r="DV206" s="42">
        <f t="shared" ca="1" si="1728"/>
        <v>84.376668664068958</v>
      </c>
      <c r="DW206" s="42">
        <f t="shared" ca="1" si="1729"/>
        <v>4.3786712472282578E-5</v>
      </c>
      <c r="DX206" s="42">
        <f t="shared" si="1730"/>
        <v>0</v>
      </c>
      <c r="DY206" s="92">
        <f t="shared" ca="1" si="1731"/>
        <v>0</v>
      </c>
      <c r="DZ206" s="42">
        <f t="shared" ca="1" si="1732"/>
        <v>0</v>
      </c>
      <c r="EA206" s="42">
        <f t="shared" ca="1" si="1622"/>
        <v>0</v>
      </c>
      <c r="EB206" s="42">
        <f t="shared" ca="1" si="1733"/>
        <v>0</v>
      </c>
      <c r="EC206" s="42">
        <f t="shared" ca="1" si="1734"/>
        <v>0</v>
      </c>
      <c r="ED206" s="42">
        <f t="shared" ca="1" si="1735"/>
        <v>0</v>
      </c>
      <c r="EE206" s="40"/>
      <c r="EF206" s="120">
        <f t="shared" ca="1" si="756"/>
        <v>85.4</v>
      </c>
      <c r="EG206" s="42">
        <f t="shared" ca="1" si="1625"/>
        <v>258.33906893413985</v>
      </c>
      <c r="EH206" s="36">
        <f t="shared" ca="1" si="1626"/>
        <v>258.33906893413985</v>
      </c>
      <c r="EI206" s="143">
        <f t="shared" ca="1" si="1627"/>
        <v>258.339</v>
      </c>
      <c r="EJ206" s="143">
        <f t="shared" ca="1" si="1635"/>
        <v>0</v>
      </c>
      <c r="EK206" s="153">
        <f t="shared" ca="1" si="1628"/>
        <v>0</v>
      </c>
      <c r="EL206" s="143">
        <f t="shared" ca="1" si="1629"/>
        <v>0</v>
      </c>
    </row>
    <row r="207" spans="1:142" x14ac:dyDescent="0.3">
      <c r="A207" s="143">
        <f t="shared" ca="1" si="1630"/>
        <v>85.4</v>
      </c>
      <c r="B207" s="144">
        <f t="shared" ca="1" si="1631"/>
        <v>0.28399999999999997</v>
      </c>
      <c r="C207" s="145">
        <f t="shared" ca="1" si="1632"/>
        <v>45295.440972222219</v>
      </c>
      <c r="D207" s="144">
        <f t="shared" ca="1" si="1633"/>
        <v>2.5999999999999999E-2</v>
      </c>
      <c r="E207" s="144">
        <f t="shared" ca="1" si="1634"/>
        <v>0.04</v>
      </c>
      <c r="F207" s="36">
        <f t="shared" si="641"/>
        <v>75</v>
      </c>
      <c r="G207" s="35">
        <f t="shared" si="1515"/>
        <v>0.28399999999999997</v>
      </c>
      <c r="H207" s="197">
        <f t="shared" ca="1" si="1290"/>
        <v>169.23611111111677</v>
      </c>
      <c r="I207" s="41">
        <f t="shared" ca="1" si="1516"/>
        <v>0.46366057838662128</v>
      </c>
      <c r="J207" s="40">
        <f t="shared" ca="1" si="1636"/>
        <v>0.12985798725821379</v>
      </c>
      <c r="K207" s="40">
        <f t="shared" ca="1" si="1637"/>
        <v>2.5189751902588361E-2</v>
      </c>
      <c r="L207" s="40">
        <f t="shared" ca="1" si="1638"/>
        <v>0.19338305926412305</v>
      </c>
      <c r="M207" s="42">
        <f t="shared" ca="1" si="1639"/>
        <v>0.80176484822818728</v>
      </c>
      <c r="N207" s="42">
        <f t="shared" ca="1" si="1640"/>
        <v>0.60838178896406425</v>
      </c>
      <c r="O207" s="42">
        <f t="shared" ca="1" si="1641"/>
        <v>0.78865550202522283</v>
      </c>
      <c r="P207" s="42">
        <f t="shared" ca="1" si="1642"/>
        <v>0.21134449797477717</v>
      </c>
      <c r="Q207" s="42">
        <f t="shared" ca="1" si="1643"/>
        <v>0.72853285658034883</v>
      </c>
      <c r="R207" s="42">
        <f t="shared" ca="1" si="1644"/>
        <v>0.27146714341965111</v>
      </c>
      <c r="S207" s="42">
        <f t="shared" ca="1" si="1645"/>
        <v>0.98162450344672281</v>
      </c>
      <c r="T207" s="42">
        <f t="shared" ca="1" si="1646"/>
        <v>73.621837758504213</v>
      </c>
      <c r="U207" s="42">
        <f t="shared" ca="1" si="1647"/>
        <v>0.98801719747153338</v>
      </c>
      <c r="V207" s="42">
        <f t="shared" ca="1" si="1648"/>
        <v>84.376668664068958</v>
      </c>
      <c r="W207" s="42">
        <f t="shared" ca="1" si="1649"/>
        <v>0.28928238154977365</v>
      </c>
      <c r="X207" s="42">
        <f t="shared" ca="1" si="1650"/>
        <v>2.153365310014383</v>
      </c>
      <c r="Y207" s="42">
        <f t="shared" ca="1" si="1651"/>
        <v>-0.20881199859006749</v>
      </c>
      <c r="Z207" s="42">
        <f t="shared" ca="1" si="1652"/>
        <v>1.7306537635226424E-2</v>
      </c>
      <c r="AA207" s="42">
        <f t="shared" ca="1" si="1534"/>
        <v>-1.302570857267049E-2</v>
      </c>
      <c r="AB207" s="42">
        <f t="shared" ca="1" si="1653"/>
        <v>0.16620513797420244</v>
      </c>
      <c r="AC207" s="42">
        <f t="shared" ca="1" si="1654"/>
        <v>-9.2666785853637385E-2</v>
      </c>
      <c r="AD207" s="42">
        <f t="shared" ca="1" si="1655"/>
        <v>-723.31734499280856</v>
      </c>
      <c r="AF207" s="36">
        <f t="shared" si="664"/>
        <v>80</v>
      </c>
      <c r="AG207" s="35">
        <f t="shared" si="1537"/>
        <v>0.28399999999999997</v>
      </c>
      <c r="AH207" s="197">
        <f t="shared" ca="1" si="1313"/>
        <v>169.23611111111677</v>
      </c>
      <c r="AI207" s="41">
        <f t="shared" ca="1" si="1538"/>
        <v>0.46366057838662128</v>
      </c>
      <c r="AJ207" s="40">
        <f t="shared" ca="1" si="1656"/>
        <v>6.5319466120642669E-2</v>
      </c>
      <c r="AK207" s="40">
        <f t="shared" ca="1" si="1657"/>
        <v>2.5189751902588361E-2</v>
      </c>
      <c r="AL207" s="40">
        <f t="shared" ca="1" si="1658"/>
        <v>0.19338305926412305</v>
      </c>
      <c r="AM207" s="42">
        <f t="shared" ca="1" si="1659"/>
        <v>0.46803074875143702</v>
      </c>
      <c r="AN207" s="42">
        <f t="shared" ca="1" si="1660"/>
        <v>0.274647689487314</v>
      </c>
      <c r="AO207" s="42">
        <f t="shared" ca="1" si="1661"/>
        <v>0.68011869960825055</v>
      </c>
      <c r="AP207" s="42">
        <f t="shared" ca="1" si="1662"/>
        <v>0.31988130039174945</v>
      </c>
      <c r="AQ207" s="42">
        <f t="shared" ca="1" si="1663"/>
        <v>0.60820653811473968</v>
      </c>
      <c r="AR207" s="42">
        <f t="shared" ca="1" si="1664"/>
        <v>0.39179346188526026</v>
      </c>
      <c r="AS207" s="42">
        <f t="shared" ca="1" si="1665"/>
        <v>0.98162450344672281</v>
      </c>
      <c r="AT207" s="42">
        <f t="shared" ca="1" si="1666"/>
        <v>78.529960275737821</v>
      </c>
      <c r="AU207" s="42">
        <f t="shared" ca="1" si="1667"/>
        <v>0.98801719747153338</v>
      </c>
      <c r="AV207" s="42">
        <f t="shared" ca="1" si="1668"/>
        <v>84.376668664068958</v>
      </c>
      <c r="AW207" s="42">
        <f t="shared" ca="1" si="1669"/>
        <v>0.3575554142041969</v>
      </c>
      <c r="AX207" s="42">
        <f t="shared" ca="1" si="1670"/>
        <v>3.777006503157132</v>
      </c>
      <c r="AY207" s="42">
        <f t="shared" ca="1" si="1671"/>
        <v>-0.31604822593660598</v>
      </c>
      <c r="AZ207" s="42">
        <f t="shared" ca="1" si="1672"/>
        <v>2.1391023537115056E-2</v>
      </c>
      <c r="BA207" s="42">
        <f t="shared" ca="1" si="1556"/>
        <v>-1.5787806699479157E-2</v>
      </c>
      <c r="BB207" s="42">
        <f t="shared" ca="1" si="1673"/>
        <v>0.20543092404335248</v>
      </c>
      <c r="BC207" s="42">
        <f t="shared" ca="1" si="1674"/>
        <v>-0.14265688436163948</v>
      </c>
      <c r="BD207" s="42">
        <f t="shared" ca="1" si="1675"/>
        <v>936.49674842143418</v>
      </c>
      <c r="BE207" s="40"/>
      <c r="BF207" s="36">
        <f t="shared" si="687"/>
        <v>90</v>
      </c>
      <c r="BG207" s="35">
        <f t="shared" si="1559"/>
        <v>0.28399999999999997</v>
      </c>
      <c r="BH207" s="197">
        <f t="shared" ca="1" si="1336"/>
        <v>169.23611111111677</v>
      </c>
      <c r="BI207" s="41">
        <f t="shared" ca="1" si="1560"/>
        <v>0.46366057838662128</v>
      </c>
      <c r="BJ207" s="40">
        <f t="shared" ca="1" si="1676"/>
        <v>-5.2463569535740766E-2</v>
      </c>
      <c r="BK207" s="40">
        <f t="shared" ca="1" si="1677"/>
        <v>2.5189751902588361E-2</v>
      </c>
      <c r="BL207" s="40">
        <f t="shared" ca="1" si="1678"/>
        <v>0.19338305926412305</v>
      </c>
      <c r="BM207" s="42">
        <f t="shared" ca="1" si="1679"/>
        <v>-0.14103519582809868</v>
      </c>
      <c r="BN207" s="42">
        <f t="shared" ca="1" si="1680"/>
        <v>-0.33441825509222173</v>
      </c>
      <c r="BO207" s="42">
        <f t="shared" ca="1" si="1681"/>
        <v>0.44392106898616246</v>
      </c>
      <c r="BP207" s="42">
        <f t="shared" ca="1" si="1682"/>
        <v>0.55607893101383754</v>
      </c>
      <c r="BQ207" s="42">
        <f t="shared" ca="1" si="1683"/>
        <v>0.36903198301145818</v>
      </c>
      <c r="BR207" s="42">
        <f t="shared" ca="1" si="1684"/>
        <v>0.63096801698854188</v>
      </c>
      <c r="BS207" s="42">
        <f t="shared" ca="1" si="1685"/>
        <v>0.98162450344672281</v>
      </c>
      <c r="BT207" s="42">
        <f t="shared" ca="1" si="1686"/>
        <v>88.34620531020505</v>
      </c>
      <c r="BU207" s="42">
        <f t="shared" ca="1" si="1687"/>
        <v>0.98801719747153338</v>
      </c>
      <c r="BV207" s="42">
        <f t="shared" ca="1" si="1688"/>
        <v>84.376668664068958</v>
      </c>
      <c r="BW207" s="42">
        <f t="shared" ca="1" si="1689"/>
        <v>0.39499427951128013</v>
      </c>
      <c r="BX207" s="42">
        <f t="shared" ca="1" si="1690"/>
        <v>4.8540056136823466</v>
      </c>
      <c r="BY207" s="42">
        <f t="shared" ca="1" si="1691"/>
        <v>0.43860165047827548</v>
      </c>
      <c r="BZ207" s="42">
        <f t="shared" ca="1" si="1692"/>
        <v>2.3630832017624698E-2</v>
      </c>
      <c r="CA207" s="42">
        <f t="shared" ca="1" si="1578"/>
        <v>-1.9946570164958009E-2</v>
      </c>
      <c r="CB207" s="42">
        <f t="shared" ca="1" si="1693"/>
        <v>0.22694115823260852</v>
      </c>
      <c r="CC207" s="42">
        <f t="shared" ca="1" si="1694"/>
        <v>0.15116528937722107</v>
      </c>
      <c r="CD207" s="42">
        <f t="shared" ca="1" si="1695"/>
        <v>972.99719315882658</v>
      </c>
      <c r="CE207" s="40"/>
      <c r="CF207" s="36">
        <f t="shared" si="710"/>
        <v>95</v>
      </c>
      <c r="CG207" s="35">
        <f t="shared" si="1581"/>
        <v>0.28399999999999997</v>
      </c>
      <c r="CH207" s="197">
        <f t="shared" ca="1" si="1359"/>
        <v>169.23611111111677</v>
      </c>
      <c r="CI207" s="41">
        <f t="shared" ca="1" si="1582"/>
        <v>0.46366057838662128</v>
      </c>
      <c r="CJ207" s="40">
        <f t="shared" ca="1" si="1696"/>
        <v>-0.10653079080601656</v>
      </c>
      <c r="CK207" s="40">
        <f t="shared" ca="1" si="1697"/>
        <v>2.5189751902588361E-2</v>
      </c>
      <c r="CL207" s="40">
        <f t="shared" ca="1" si="1698"/>
        <v>0.19338305926412305</v>
      </c>
      <c r="CM207" s="42">
        <f t="shared" ca="1" si="1699"/>
        <v>-0.42062132646444694</v>
      </c>
      <c r="CN207" s="42">
        <f t="shared" ca="1" si="1700"/>
        <v>-0.61400438572856997</v>
      </c>
      <c r="CO207" s="42">
        <f t="shared" ca="1" si="1701"/>
        <v>0.33701580910706302</v>
      </c>
      <c r="CP207" s="42">
        <f t="shared" ca="1" si="1702"/>
        <v>0.66298419089293703</v>
      </c>
      <c r="CQ207" s="42">
        <f t="shared" ca="1" si="1703"/>
        <v>0.26960621453848232</v>
      </c>
      <c r="CR207" s="42">
        <f t="shared" ca="1" si="1704"/>
        <v>0.73039378546151768</v>
      </c>
      <c r="CS207" s="42">
        <f t="shared" ca="1" si="1705"/>
        <v>0.98162450344672281</v>
      </c>
      <c r="CT207" s="42">
        <f t="shared" ca="1" si="1706"/>
        <v>93.254327827438672</v>
      </c>
      <c r="CU207" s="42">
        <f t="shared" ca="1" si="1707"/>
        <v>0.98801719747153338</v>
      </c>
      <c r="CV207" s="42">
        <f t="shared" ca="1" si="1708"/>
        <v>84.376668664068958</v>
      </c>
      <c r="CW207" s="42">
        <f t="shared" ca="1" si="1709"/>
        <v>0.365167296678925</v>
      </c>
      <c r="CX207" s="42">
        <f t="shared" ca="1" si="1710"/>
        <v>3.2943249446933756</v>
      </c>
      <c r="CY207" s="42">
        <f t="shared" ca="1" si="1711"/>
        <v>0.33297741521756169</v>
      </c>
      <c r="CZ207" s="42">
        <f t="shared" ca="1" si="1712"/>
        <v>2.1846410172893065E-2</v>
      </c>
      <c r="DA207" s="42">
        <f t="shared" ca="1" si="1600"/>
        <v>-1.8333614860733365E-2</v>
      </c>
      <c r="DB207" s="42">
        <f t="shared" ca="1" si="1713"/>
        <v>0.20980427706325602</v>
      </c>
      <c r="DC207" s="42">
        <f t="shared" ca="1" si="1714"/>
        <v>0.11657329370125608</v>
      </c>
      <c r="DD207" s="42">
        <f t="shared" ca="1" si="1715"/>
        <v>-927.83752765331235</v>
      </c>
      <c r="DE207" s="40"/>
      <c r="DF207" s="36">
        <f t="shared" si="733"/>
        <v>200</v>
      </c>
      <c r="DG207" s="35">
        <f t="shared" si="1603"/>
        <v>0.28399999999999997</v>
      </c>
      <c r="DH207" s="197">
        <f t="shared" ca="1" si="1382"/>
        <v>169.23611111111677</v>
      </c>
      <c r="DI207" s="41">
        <f t="shared" ca="1" si="1604"/>
        <v>0.46366057838662128</v>
      </c>
      <c r="DJ207" s="40">
        <f t="shared" ca="1" si="1716"/>
        <v>-0.85097126575351234</v>
      </c>
      <c r="DK207" s="40">
        <f t="shared" ca="1" si="1717"/>
        <v>2.5189751902588361E-2</v>
      </c>
      <c r="DL207" s="40">
        <f t="shared" ca="1" si="1718"/>
        <v>0.19338305926412305</v>
      </c>
      <c r="DM207" s="42">
        <f t="shared" ca="1" si="1719"/>
        <v>-4.2701853874545943</v>
      </c>
      <c r="DN207" s="42">
        <f t="shared" ca="1" si="1720"/>
        <v>-4.4635684467187176</v>
      </c>
      <c r="DO207" s="42">
        <f t="shared" ca="1" si="1721"/>
        <v>9.7655276518789487E-6</v>
      </c>
      <c r="DP207" s="42">
        <f t="shared" ca="1" si="1722"/>
        <v>0.99999023447234814</v>
      </c>
      <c r="DQ207" s="42">
        <f t="shared" ca="1" si="1723"/>
        <v>4.0302916462733568E-6</v>
      </c>
      <c r="DR207" s="42">
        <f t="shared" ca="1" si="1724"/>
        <v>0.99999596970835369</v>
      </c>
      <c r="DS207" s="42">
        <f t="shared" ca="1" si="1725"/>
        <v>0.98162450344672281</v>
      </c>
      <c r="DT207" s="42">
        <f t="shared" ca="1" si="1726"/>
        <v>196.32490068934456</v>
      </c>
      <c r="DU207" s="42">
        <f t="shared" ca="1" si="1727"/>
        <v>0.98801719747153338</v>
      </c>
      <c r="DV207" s="42">
        <f t="shared" ca="1" si="1728"/>
        <v>84.376668664068958</v>
      </c>
      <c r="DW207" s="42">
        <f t="shared" ca="1" si="1729"/>
        <v>4.3786712472282578E-5</v>
      </c>
      <c r="DX207" s="42">
        <f t="shared" si="1730"/>
        <v>0</v>
      </c>
      <c r="DY207" s="92">
        <f t="shared" ca="1" si="1731"/>
        <v>0</v>
      </c>
      <c r="DZ207" s="42">
        <f t="shared" ca="1" si="1732"/>
        <v>0</v>
      </c>
      <c r="EA207" s="42">
        <f t="shared" ca="1" si="1622"/>
        <v>0</v>
      </c>
      <c r="EB207" s="42">
        <f t="shared" ca="1" si="1733"/>
        <v>0</v>
      </c>
      <c r="EC207" s="42">
        <f t="shared" ca="1" si="1734"/>
        <v>0</v>
      </c>
      <c r="ED207" s="42">
        <f t="shared" ca="1" si="1735"/>
        <v>0</v>
      </c>
      <c r="EE207" s="40"/>
      <c r="EF207" s="120">
        <f t="shared" ca="1" si="756"/>
        <v>85.4</v>
      </c>
      <c r="EG207" s="42">
        <f t="shared" ca="1" si="1625"/>
        <v>258.33906893413985</v>
      </c>
      <c r="EH207" s="36">
        <f t="shared" ca="1" si="1626"/>
        <v>258.33906893413985</v>
      </c>
      <c r="EI207" s="143">
        <f t="shared" ca="1" si="1627"/>
        <v>258.339</v>
      </c>
      <c r="EJ207" s="143">
        <f t="shared" ca="1" si="1635"/>
        <v>0</v>
      </c>
      <c r="EK207" s="153">
        <f t="shared" ca="1" si="1628"/>
        <v>0</v>
      </c>
      <c r="EL207" s="143">
        <f t="shared" ca="1" si="1629"/>
        <v>0</v>
      </c>
    </row>
    <row r="208" spans="1:142" x14ac:dyDescent="0.3">
      <c r="A208" s="152">
        <v>5</v>
      </c>
      <c r="B208" s="149" t="e">
        <f ca="1">MATCH($A208,$EN$53:$EN$149,0)</f>
        <v>#N/A</v>
      </c>
      <c r="C208" s="150" t="str">
        <f ca="1">IF(ISNUMBER($B208),INDEX($EL$53:$EL$149,$B208),"")</f>
        <v/>
      </c>
      <c r="D208" s="163" t="str">
        <f ca="1">IF($C208="","",LEFT($C208,3))</f>
        <v/>
      </c>
      <c r="E208" s="150" t="str">
        <f ca="1">IF($C208="","",MID($C208,5,3))</f>
        <v/>
      </c>
      <c r="F208" s="150" t="str">
        <f ca="1">IF(ISNUMBER($B208),IF($E208="BEG",INDEX($EF$51:$EF$147,$B208),INDEX($EF$52:$EF$148,$B208)),"")</f>
        <v/>
      </c>
      <c r="G208" s="150" t="str">
        <f ca="1">IF($D208="MAX",MAX($EI209:$EI221),IF($D208="MIN",MIN($EI209:$EI221),""))</f>
        <v/>
      </c>
      <c r="H208" s="150" t="str">
        <f ca="1">IF($D208="B/E",MAX($EL210:$EL221),IF($G208="","",SUM($EK209:$EK221)))</f>
        <v/>
      </c>
      <c r="I208" s="150" t="str">
        <f ca="1">IF($D208="B/E",MATCH($H208,$EL210:$EL221,0)+1,IF($E208="END",$H208,IF($E208="BEG",14-$H208,IF($E208="MID",MATCH(1,$EK209:$EK221,0),""))))</f>
        <v/>
      </c>
      <c r="J208" s="150" t="str">
        <f ca="1">IF($I208="","",INDEX($EF209:$EF221,$I208))</f>
        <v/>
      </c>
      <c r="K208" s="150" t="str">
        <f ca="1">IF($D208="B/E",INDEX($EI209:$EI221,$I208-1),"")</f>
        <v/>
      </c>
      <c r="L208" s="150" t="str">
        <f ca="1">IF($D208="B/E",INDEX($EI209:$EI221,$I208),"")</f>
        <v/>
      </c>
      <c r="M208" s="150" t="str">
        <f ca="1">IF($E208="BEG",INDEX($EJ209:$EJ221,$I208-1),"")</f>
        <v/>
      </c>
      <c r="N208" s="150" t="str">
        <f ca="1">IF(OR($E208="BEG",$E208="MID"),INDEX($EJ209:$EJ221,$I208),"")</f>
        <v/>
      </c>
      <c r="O208" s="150" t="str">
        <f ca="1">IF(OR($E208="MID",$E208="END"),INDEX($EJ209:$EJ221,$I208+1),"")</f>
        <v/>
      </c>
      <c r="P208" s="150" t="str">
        <f ca="1">IF($E208="END",INDEX($EJ209:$EJ221,$I208+2),"")</f>
        <v/>
      </c>
      <c r="Q208" s="150" t="str">
        <f ca="1">IF($D208="B/E",IF($H208=1,$J208,IF($H208=2,$J208+$EF$48*(ABS($K208/($L208-$K208))-1),$J208)),"")</f>
        <v/>
      </c>
      <c r="R208" s="150" t="str">
        <f ca="1">IF($E208="BEG",$J208-IF(AND(ISNUMBER($M208),$M208&lt;&gt;0),$EF$48*(1-$N208/$M208),0),"")</f>
        <v/>
      </c>
      <c r="S208" s="150" t="str">
        <f ca="1">IF($E208="MID",$J208+$EF$48*(ABS($N208)-ABS($O208))/MAX(ABS($N208),ABS($O208))/2,"")</f>
        <v/>
      </c>
      <c r="T208" s="150" t="str">
        <f ca="1">IF($E208="END",$J208+IF(AND(ISNUMBER($P208),$P208&lt;&gt;0),$EF$48*(1-$O208/$P208),0),"")</f>
        <v/>
      </c>
      <c r="U208" s="150" t="str">
        <f ca="1">IF($D208="B/E",$Q208,IF($E208="BEG",$R208,IF($E208="MID",$S208,IF($E208="END",$T208,""))))</f>
        <v/>
      </c>
      <c r="V208" s="163" t="str">
        <f ca="1">IF(ISNUMBER($U208),$U208,IF($D208="","",$F208))</f>
        <v/>
      </c>
      <c r="W208" s="163" t="str">
        <f ca="1">IF(AND(ISNUMBER($V208),ISNUMBER($EI$241)),$EI$241,"")</f>
        <v/>
      </c>
      <c r="AH208" s="201"/>
      <c r="BH208" s="201"/>
      <c r="CH208" s="201"/>
      <c r="DH208" s="201"/>
      <c r="EF208" s="120"/>
      <c r="EG208" s="42"/>
      <c r="EH208" s="36"/>
      <c r="EI208" s="155" t="s">
        <v>109</v>
      </c>
      <c r="EJ208" s="155" t="s">
        <v>110</v>
      </c>
      <c r="EK208" s="155" t="s">
        <v>112</v>
      </c>
      <c r="EL208" s="155" t="s">
        <v>116</v>
      </c>
    </row>
    <row r="209" spans="1:142" x14ac:dyDescent="0.3">
      <c r="A209" s="146">
        <f ca="1">IF(AND($M$22=1,ISNUMBER($B$208)),$F$208-$EF$48,A$48)</f>
        <v>85.4</v>
      </c>
      <c r="B209" s="147">
        <f ca="1">IF(AND($M$22=2,ISNUMBER($B$208)),$F$208-$EF$48,B$48)</f>
        <v>0.28399999999999997</v>
      </c>
      <c r="C209" s="148">
        <f ca="1">IF(AND($M$22=3,ISNUMBER($B$208)),$F$208-$EF$48,C$48)</f>
        <v>45295.440972222219</v>
      </c>
      <c r="D209" s="147">
        <f ca="1">IF(AND($M$22=4,ISNUMBER($B$208)),$F$208-$EF$48,D$48)</f>
        <v>2.5999999999999999E-2</v>
      </c>
      <c r="E209" s="147">
        <f ca="1">IF(AND($M$22=5,ISNUMBER($B$208)),$F$208-$EF$48,E$48)</f>
        <v>0.04</v>
      </c>
      <c r="F209" s="36">
        <f t="shared" si="641"/>
        <v>75</v>
      </c>
      <c r="G209" s="35">
        <f t="shared" ref="G209:G221" si="1736">IF($M$22=2,$B209,G$48)</f>
        <v>0.28399999999999997</v>
      </c>
      <c r="H209" s="197">
        <f t="shared" ca="1" si="1290"/>
        <v>169.23611111111677</v>
      </c>
      <c r="I209" s="41">
        <f t="shared" ref="I209:I221" ca="1" si="1737">H209/365</f>
        <v>0.46366057838662128</v>
      </c>
      <c r="J209" s="40">
        <f t="shared" ref="J209:J211" ca="1" si="1738">LN($A209/F209)</f>
        <v>0.12985798725821379</v>
      </c>
      <c r="K209" s="40">
        <f t="shared" ref="K209:K211" ca="1" si="1739">($E209-$D209+POWER(G209,2)/2)*I209</f>
        <v>2.5189751902588361E-2</v>
      </c>
      <c r="L209" s="40">
        <f t="shared" ref="L209:L211" ca="1" si="1740">MAX(0,0.000000000001,G209*SQRT(I209))</f>
        <v>0.19338305926412305</v>
      </c>
      <c r="M209" s="42">
        <f t="shared" ref="M209:M211" ca="1" si="1741">(J209+K209)/L209</f>
        <v>0.80176484822818728</v>
      </c>
      <c r="N209" s="42">
        <f t="shared" ref="N209:N211" ca="1" si="1742">M209-L209</f>
        <v>0.60838178896406425</v>
      </c>
      <c r="O209" s="42">
        <f t="shared" ref="O209:O211" ca="1" si="1743">_xlfn.NORM.DIST(M209,0,1,TRUE)</f>
        <v>0.78865550202522283</v>
      </c>
      <c r="P209" s="42">
        <f t="shared" ref="P209:P211" ca="1" si="1744">_xlfn.NORM.DIST(-M209,0,1,TRUE)</f>
        <v>0.21134449797477717</v>
      </c>
      <c r="Q209" s="42">
        <f t="shared" ref="Q209:Q211" ca="1" si="1745">_xlfn.NORM.DIST(N209,0,1,TRUE)</f>
        <v>0.72853285658034883</v>
      </c>
      <c r="R209" s="42">
        <f t="shared" ref="R209:R211" ca="1" si="1746">_xlfn.NORM.DIST(-N209,0,1,TRUE)</f>
        <v>0.27146714341965111</v>
      </c>
      <c r="S209" s="42">
        <f t="shared" ref="S209:S211" ca="1" si="1747">EXP(-$E209*I209)</f>
        <v>0.98162450344672281</v>
      </c>
      <c r="T209" s="42">
        <f t="shared" ref="T209:T211" ca="1" si="1748">F209*S209</f>
        <v>73.621837758504213</v>
      </c>
      <c r="U209" s="42">
        <f t="shared" ref="U209:U211" ca="1" si="1749">EXP(-$D209*I209)</f>
        <v>0.98801719747153338</v>
      </c>
      <c r="V209" s="42">
        <f t="shared" ref="V209:V211" ca="1" si="1750">$A209*U209</f>
        <v>84.376668664068958</v>
      </c>
      <c r="W209" s="42">
        <f t="shared" ref="W209:W211" ca="1" si="1751">EXP(-1*POWER(M209,2)/2)/SQRT(2*PI())</f>
        <v>0.28928238154977365</v>
      </c>
      <c r="X209" s="42">
        <f t="shared" ref="X209:X211" ca="1" si="1752">IF($F$8=1,0,IF($F$8=2,$A209,IF($F$8=3,V209*O209-T209*Q209,T209*R209-V209*P209)))</f>
        <v>2.153365310014383</v>
      </c>
      <c r="Y209" s="42">
        <f t="shared" ref="Y209:Y211" ca="1" si="1753">IF($F$8=2,1,IF(OR($F$8=1,I209&lt;=0),0,IF($F$8=3,O209*U209,(O209-1)*U209)))</f>
        <v>-0.20881199859006749</v>
      </c>
      <c r="Z209" s="42">
        <f t="shared" ref="Z209:Z211" ca="1" si="1754">IF(OR($F$8&lt;=2,I209&lt;=0),0,W209*U209/($A209*L209))</f>
        <v>1.7306537635226424E-2</v>
      </c>
      <c r="AA209" s="42">
        <f t="shared" ref="AA209:AA221" ca="1" si="1755">IF(OR($F$8&lt;=2,I209&lt;=0),0,(IF($F$8=3,-1*$E209*F209*S209*Q209+$D209*$A209*U209*O209,$E209*F209*S209*R209-$D209*$A209*U209*P209)-(W209*$A209*G209*U209/(2*SQRT(I209))))/365)</f>
        <v>-1.302570857267049E-2</v>
      </c>
      <c r="AB209" s="42">
        <f t="shared" ref="AB209:AB211" ca="1" si="1756">IF(OR($F$8&lt;=2,I209&lt;=0),0,(W209*$A209*U209*SQRT(I209))/100)</f>
        <v>0.16620513797420244</v>
      </c>
      <c r="AC209" s="42">
        <f t="shared" ref="AC209:AC211" ca="1" si="1757">IF(OR($F$8&lt;=2,I209&lt;=0),0,IF($F$8=3,Q209,-1*R209)*F209*I209*S209/100)</f>
        <v>-9.2666785853637385E-2</v>
      </c>
      <c r="AD209" s="42">
        <f ca="1">IF($F$8=1,0,IF($M$28=1,X209-$G$8,OFFSET(V209,0,$M$28))*IF($M$30=1,SIGN($B$8),$T$8))</f>
        <v>-723.31734499280856</v>
      </c>
      <c r="AF209" s="36">
        <f t="shared" si="664"/>
        <v>80</v>
      </c>
      <c r="AG209" s="35">
        <f t="shared" ref="AG209:AG221" si="1758">IF($M$22=2,$B209,AG$48)</f>
        <v>0.28399999999999997</v>
      </c>
      <c r="AH209" s="197">
        <f t="shared" ca="1" si="1313"/>
        <v>169.23611111111677</v>
      </c>
      <c r="AI209" s="41">
        <f t="shared" ref="AI209:AI221" ca="1" si="1759">AH209/365</f>
        <v>0.46366057838662128</v>
      </c>
      <c r="AJ209" s="40">
        <f t="shared" ref="AJ209:AJ211" ca="1" si="1760">LN($A209/AF209)</f>
        <v>6.5319466120642669E-2</v>
      </c>
      <c r="AK209" s="40">
        <f t="shared" ref="AK209:AK211" ca="1" si="1761">($E209-$D209+POWER(AG209,2)/2)*AI209</f>
        <v>2.5189751902588361E-2</v>
      </c>
      <c r="AL209" s="40">
        <f t="shared" ref="AL209:AL211" ca="1" si="1762">MAX(0,0.000000000001,AG209*SQRT(AI209))</f>
        <v>0.19338305926412305</v>
      </c>
      <c r="AM209" s="42">
        <f t="shared" ref="AM209:AM211" ca="1" si="1763">(AJ209+AK209)/AL209</f>
        <v>0.46803074875143702</v>
      </c>
      <c r="AN209" s="42">
        <f t="shared" ref="AN209:AN211" ca="1" si="1764">AM209-AL209</f>
        <v>0.274647689487314</v>
      </c>
      <c r="AO209" s="42">
        <f t="shared" ref="AO209:AO211" ca="1" si="1765">_xlfn.NORM.DIST(AM209,0,1,TRUE)</f>
        <v>0.68011869960825055</v>
      </c>
      <c r="AP209" s="42">
        <f t="shared" ref="AP209:AP211" ca="1" si="1766">_xlfn.NORM.DIST(-AM209,0,1,TRUE)</f>
        <v>0.31988130039174945</v>
      </c>
      <c r="AQ209" s="42">
        <f t="shared" ref="AQ209:AQ211" ca="1" si="1767">_xlfn.NORM.DIST(AN209,0,1,TRUE)</f>
        <v>0.60820653811473968</v>
      </c>
      <c r="AR209" s="42">
        <f t="shared" ref="AR209:AR211" ca="1" si="1768">_xlfn.NORM.DIST(-AN209,0,1,TRUE)</f>
        <v>0.39179346188526026</v>
      </c>
      <c r="AS209" s="42">
        <f t="shared" ref="AS209:AS211" ca="1" si="1769">EXP(-$E209*AI209)</f>
        <v>0.98162450344672281</v>
      </c>
      <c r="AT209" s="42">
        <f t="shared" ref="AT209:AT211" ca="1" si="1770">AF209*AS209</f>
        <v>78.529960275737821</v>
      </c>
      <c r="AU209" s="42">
        <f t="shared" ref="AU209:AU211" ca="1" si="1771">EXP(-$D209*AI209)</f>
        <v>0.98801719747153338</v>
      </c>
      <c r="AV209" s="42">
        <f t="shared" ref="AV209:AV211" ca="1" si="1772">$A209*AU209</f>
        <v>84.376668664068958</v>
      </c>
      <c r="AW209" s="42">
        <f t="shared" ref="AW209:AW211" ca="1" si="1773">EXP(-1*POWER(AM209,2)/2)/SQRT(2*PI())</f>
        <v>0.3575554142041969</v>
      </c>
      <c r="AX209" s="42">
        <f t="shared" ref="AX209:AX211" ca="1" si="1774">IF($F$10=1,0,IF($F$10=2,$A209,IF($F$10=3,AV209*AO209-AT209*AQ209,AT209*AR209-AV209*AP209)))</f>
        <v>3.777006503157132</v>
      </c>
      <c r="AY209" s="42">
        <f t="shared" ref="AY209:AY211" ca="1" si="1775">IF($F$10=2,1,IF(OR($F$10=1,AI209&lt;=0),0,IF($F$10=3,AO209*AU209,(AO209-1)*AU209)))</f>
        <v>-0.31604822593660598</v>
      </c>
      <c r="AZ209" s="42">
        <f t="shared" ref="AZ209:AZ211" ca="1" si="1776">IF(OR($F$10&lt;=2,AI209&lt;=0),0,AW209*AU209/($A209*AL209))</f>
        <v>2.1391023537115056E-2</v>
      </c>
      <c r="BA209" s="42">
        <f t="shared" ref="BA209:BA221" ca="1" si="1777">IF(OR($F$10&lt;=2,AI209&lt;=0),0,(IF($F$10=3,-1*$E209*AF209*AS209*AQ209+$D209*$A209*AU209*AO209,$E209*AF209*AS209*AR209-$D209*$A209*AU209*AP209)-(AW209*$A209*AG209*AU209/(2*SQRT(AI209))))/365)</f>
        <v>-1.5787806699479157E-2</v>
      </c>
      <c r="BB209" s="42">
        <f t="shared" ref="BB209:BB211" ca="1" si="1778">IF(OR($F$10&lt;=2,AI209&lt;=0),0,(AW209*$A209*AU209*SQRT(AI209))/100)</f>
        <v>0.20543092404335248</v>
      </c>
      <c r="BC209" s="42">
        <f t="shared" ref="BC209:BC211" ca="1" si="1779">IF(OR($F$10&lt;=2,AI209&lt;=0),0,IF($F$10=3,AQ209,-1*AR209)*AF209*AI209*AS209/100)</f>
        <v>-0.14265688436163948</v>
      </c>
      <c r="BD209" s="42">
        <f ca="1">IF($F$10=1,0,IF($M$28=1,AX209-$G$10,OFFSET(AV209,0,$M$28))*IF($M$30=1,SIGN($B$10),$T$10))</f>
        <v>936.49674842143418</v>
      </c>
      <c r="BE209" s="40"/>
      <c r="BF209" s="36">
        <f t="shared" si="687"/>
        <v>90</v>
      </c>
      <c r="BG209" s="35">
        <f t="shared" ref="BG209:BG221" si="1780">IF($M$22=2,$B209,BG$48)</f>
        <v>0.28399999999999997</v>
      </c>
      <c r="BH209" s="197">
        <f t="shared" ca="1" si="1336"/>
        <v>169.23611111111677</v>
      </c>
      <c r="BI209" s="41">
        <f t="shared" ref="BI209:BI221" ca="1" si="1781">BH209/365</f>
        <v>0.46366057838662128</v>
      </c>
      <c r="BJ209" s="40">
        <f t="shared" ref="BJ209:BJ211" ca="1" si="1782">LN($A209/BF209)</f>
        <v>-5.2463569535740766E-2</v>
      </c>
      <c r="BK209" s="40">
        <f t="shared" ref="BK209:BK211" ca="1" si="1783">($E209-$D209+POWER(BG209,2)/2)*BI209</f>
        <v>2.5189751902588361E-2</v>
      </c>
      <c r="BL209" s="40">
        <f t="shared" ref="BL209:BL211" ca="1" si="1784">MAX(0,0.000000000001,BG209*SQRT(BI209))</f>
        <v>0.19338305926412305</v>
      </c>
      <c r="BM209" s="42">
        <f t="shared" ref="BM209:BM211" ca="1" si="1785">(BJ209+BK209)/BL209</f>
        <v>-0.14103519582809868</v>
      </c>
      <c r="BN209" s="42">
        <f t="shared" ref="BN209:BN211" ca="1" si="1786">BM209-BL209</f>
        <v>-0.33441825509222173</v>
      </c>
      <c r="BO209" s="42">
        <f t="shared" ref="BO209:BO211" ca="1" si="1787">_xlfn.NORM.DIST(BM209,0,1,TRUE)</f>
        <v>0.44392106898616246</v>
      </c>
      <c r="BP209" s="42">
        <f t="shared" ref="BP209:BP211" ca="1" si="1788">_xlfn.NORM.DIST(-BM209,0,1,TRUE)</f>
        <v>0.55607893101383754</v>
      </c>
      <c r="BQ209" s="42">
        <f t="shared" ref="BQ209:BQ211" ca="1" si="1789">_xlfn.NORM.DIST(BN209,0,1,TRUE)</f>
        <v>0.36903198301145818</v>
      </c>
      <c r="BR209" s="42">
        <f t="shared" ref="BR209:BR211" ca="1" si="1790">_xlfn.NORM.DIST(-BN209,0,1,TRUE)</f>
        <v>0.63096801698854188</v>
      </c>
      <c r="BS209" s="42">
        <f t="shared" ref="BS209:BS211" ca="1" si="1791">EXP(-$E209*BI209)</f>
        <v>0.98162450344672281</v>
      </c>
      <c r="BT209" s="42">
        <f t="shared" ref="BT209:BT211" ca="1" si="1792">BF209*BS209</f>
        <v>88.34620531020505</v>
      </c>
      <c r="BU209" s="42">
        <f t="shared" ref="BU209:BU211" ca="1" si="1793">EXP(-$D209*BI209)</f>
        <v>0.98801719747153338</v>
      </c>
      <c r="BV209" s="42">
        <f t="shared" ref="BV209:BV211" ca="1" si="1794">$A209*BU209</f>
        <v>84.376668664068958</v>
      </c>
      <c r="BW209" s="42">
        <f t="shared" ref="BW209:BW211" ca="1" si="1795">EXP(-1*POWER(BM209,2)/2)/SQRT(2*PI())</f>
        <v>0.39499427951128013</v>
      </c>
      <c r="BX209" s="42">
        <f t="shared" ref="BX209:BX211" ca="1" si="1796">IF($F$12=1,0,IF($F$12=2,$A209,IF($F$12=3,BV209*BO209-BT209*BQ209,BT209*BR209-BV209*BP209)))</f>
        <v>4.8540056136823466</v>
      </c>
      <c r="BY209" s="42">
        <f t="shared" ref="BY209:BY211" ca="1" si="1797">IF($F$12=2,1,IF(OR($F$12=1,BI209&lt;=0),0,IF($F$12=3,BO209*BU209,(BO209-1)*BU209)))</f>
        <v>0.43860165047827548</v>
      </c>
      <c r="BZ209" s="42">
        <f t="shared" ref="BZ209:BZ211" ca="1" si="1798">IF(OR($F$12&lt;=2,BI209&lt;=0),0,BW209*BU209/($A209*BL209))</f>
        <v>2.3630832017624698E-2</v>
      </c>
      <c r="CA209" s="42">
        <f t="shared" ref="CA209:CA221" ca="1" si="1799">IF(OR($F$12&lt;=2,BI209&lt;=0),0,(IF($F$12=3,-1*$E209*BF209*BS209*BQ209+$D209*$A209*BU209*BO209,$E209*BF209*BS209*BR209-$D209*$A209*BU209*BP209)-(BW209*$A209*BG209*BU209/(2*SQRT(BI209))))/365)</f>
        <v>-1.9946570164958009E-2</v>
      </c>
      <c r="CB209" s="42">
        <f t="shared" ref="CB209:CB211" ca="1" si="1800">IF(OR($F$12&lt;=2,BI209&lt;=0),0,(BW209*$A209*BU209*SQRT(BI209))/100)</f>
        <v>0.22694115823260852</v>
      </c>
      <c r="CC209" s="42">
        <f t="shared" ref="CC209:CC211" ca="1" si="1801">IF(OR($F$12&lt;=2,BI209&lt;=0),0,IF($F$12=3,BQ209,-1*BR209)*BF209*BI209*BS209/100)</f>
        <v>0.15116528937722107</v>
      </c>
      <c r="CD209" s="42">
        <f ca="1">IF($F$12=1,0,IF($M$28=1,BX209-$G$12,OFFSET(BV209,0,$M$28))*IF($M$30=1,SIGN($B$12),$T$12))</f>
        <v>972.99719315882658</v>
      </c>
      <c r="CE209" s="40"/>
      <c r="CF209" s="36">
        <f t="shared" si="710"/>
        <v>95</v>
      </c>
      <c r="CG209" s="35">
        <f t="shared" ref="CG209:CG221" si="1802">IF($M$22=2,$B209,CG$48)</f>
        <v>0.28399999999999997</v>
      </c>
      <c r="CH209" s="197">
        <f t="shared" ca="1" si="1359"/>
        <v>169.23611111111677</v>
      </c>
      <c r="CI209" s="41">
        <f t="shared" ref="CI209:CI221" ca="1" si="1803">CH209/365</f>
        <v>0.46366057838662128</v>
      </c>
      <c r="CJ209" s="40">
        <f t="shared" ref="CJ209:CJ211" ca="1" si="1804">LN($A209/CF209)</f>
        <v>-0.10653079080601656</v>
      </c>
      <c r="CK209" s="40">
        <f t="shared" ref="CK209:CK211" ca="1" si="1805">($E209-$D209+POWER(CG209,2)/2)*CI209</f>
        <v>2.5189751902588361E-2</v>
      </c>
      <c r="CL209" s="40">
        <f t="shared" ref="CL209:CL211" ca="1" si="1806">MAX(0,0.000000000001,CG209*SQRT(CI209))</f>
        <v>0.19338305926412305</v>
      </c>
      <c r="CM209" s="42">
        <f t="shared" ref="CM209:CM211" ca="1" si="1807">(CJ209+CK209)/CL209</f>
        <v>-0.42062132646444694</v>
      </c>
      <c r="CN209" s="42">
        <f t="shared" ref="CN209:CN211" ca="1" si="1808">CM209-CL209</f>
        <v>-0.61400438572856997</v>
      </c>
      <c r="CO209" s="42">
        <f t="shared" ref="CO209:CO211" ca="1" si="1809">_xlfn.NORM.DIST(CM209,0,1,TRUE)</f>
        <v>0.33701580910706302</v>
      </c>
      <c r="CP209" s="42">
        <f t="shared" ref="CP209:CP211" ca="1" si="1810">_xlfn.NORM.DIST(-CM209,0,1,TRUE)</f>
        <v>0.66298419089293703</v>
      </c>
      <c r="CQ209" s="42">
        <f t="shared" ref="CQ209:CQ211" ca="1" si="1811">_xlfn.NORM.DIST(CN209,0,1,TRUE)</f>
        <v>0.26960621453848232</v>
      </c>
      <c r="CR209" s="42">
        <f t="shared" ref="CR209:CR211" ca="1" si="1812">_xlfn.NORM.DIST(-CN209,0,1,TRUE)</f>
        <v>0.73039378546151768</v>
      </c>
      <c r="CS209" s="42">
        <f t="shared" ref="CS209:CS211" ca="1" si="1813">EXP(-$E209*CI209)</f>
        <v>0.98162450344672281</v>
      </c>
      <c r="CT209" s="42">
        <f t="shared" ref="CT209:CT211" ca="1" si="1814">CF209*CS209</f>
        <v>93.254327827438672</v>
      </c>
      <c r="CU209" s="42">
        <f t="shared" ref="CU209:CU211" ca="1" si="1815">EXP(-$D209*CI209)</f>
        <v>0.98801719747153338</v>
      </c>
      <c r="CV209" s="42">
        <f t="shared" ref="CV209:CV211" ca="1" si="1816">$A209*CU209</f>
        <v>84.376668664068958</v>
      </c>
      <c r="CW209" s="42">
        <f t="shared" ref="CW209:CW211" ca="1" si="1817">EXP(-1*POWER(CM209,2)/2)/SQRT(2*PI())</f>
        <v>0.365167296678925</v>
      </c>
      <c r="CX209" s="42">
        <f t="shared" ref="CX209:CX211" ca="1" si="1818">IF($F$14=1,0,IF($F$14=2,$A209,IF($F$14=3,CV209*CO209-CT209*CQ209,CT209*CR209-CV209*CP209)))</f>
        <v>3.2943249446933756</v>
      </c>
      <c r="CY209" s="42">
        <f t="shared" ref="CY209:CY211" ca="1" si="1819">IF($F$14=2,1,IF(OR($F$14=1,CI209&lt;=0),0,IF($F$14=3,CO209*CU209,(CO209-1)*CU209)))</f>
        <v>0.33297741521756169</v>
      </c>
      <c r="CZ209" s="42">
        <f t="shared" ref="CZ209:CZ211" ca="1" si="1820">IF(OR($F$14&lt;=2,CI209&lt;=0),0,CW209*CU209/($A209*CL209))</f>
        <v>2.1846410172893065E-2</v>
      </c>
      <c r="DA209" s="42">
        <f t="shared" ref="DA209:DA221" ca="1" si="1821">IF(OR($F$14&lt;=2,CI209&lt;=0),0,(IF($F$14=3,-1*$E209*CF209*CS209*CQ209+$D209*$A209*CU209*CO209,$E209*CF209*CS209*CR209-$D209*$A209*CU209*CP209)-(CW209*$A209*CG209*CU209/(2*SQRT(CI209))))/365)</f>
        <v>-1.8333614860733365E-2</v>
      </c>
      <c r="DB209" s="42">
        <f t="shared" ref="DB209:DB211" ca="1" si="1822">IF(OR($F$14&lt;=2,CI209&lt;=0),0,(CW209*$A209*CU209*SQRT(CI209))/100)</f>
        <v>0.20980427706325602</v>
      </c>
      <c r="DC209" s="42">
        <f t="shared" ref="DC209:DC211" ca="1" si="1823">IF(OR($F$14&lt;=2,CI209&lt;=0),0,IF($F$14=3,CQ209,-1*CR209)*CF209*CI209*CS209/100)</f>
        <v>0.11657329370125608</v>
      </c>
      <c r="DD209" s="42">
        <f ca="1">IF($F$14=1,0,IF($M$28=1,CX209-$G$14,OFFSET(CV209,0,$M$28))*IF($M$30=1,SIGN($B$14),$T$14))</f>
        <v>-927.83752765331235</v>
      </c>
      <c r="DE209" s="40"/>
      <c r="DF209" s="36">
        <f t="shared" si="733"/>
        <v>200</v>
      </c>
      <c r="DG209" s="35">
        <f t="shared" ref="DG209:DG221" si="1824">IF($M$22=2,$B209,DG$48)</f>
        <v>0.28399999999999997</v>
      </c>
      <c r="DH209" s="197">
        <f t="shared" ca="1" si="1382"/>
        <v>169.23611111111677</v>
      </c>
      <c r="DI209" s="41">
        <f t="shared" ref="DI209:DI221" ca="1" si="1825">DH209/365</f>
        <v>0.46366057838662128</v>
      </c>
      <c r="DJ209" s="40">
        <f t="shared" ref="DJ209:DJ211" ca="1" si="1826">LN($A209/DF209)</f>
        <v>-0.85097126575351234</v>
      </c>
      <c r="DK209" s="40">
        <f t="shared" ref="DK209:DK211" ca="1" si="1827">($E209-$D209+POWER(DG209,2)/2)*DI209</f>
        <v>2.5189751902588361E-2</v>
      </c>
      <c r="DL209" s="40">
        <f t="shared" ref="DL209:DL211" ca="1" si="1828">MAX(0,0.000000000001,DG209*SQRT(DI209))</f>
        <v>0.19338305926412305</v>
      </c>
      <c r="DM209" s="42">
        <f t="shared" ref="DM209:DM211" ca="1" si="1829">(DJ209+DK209)/DL209</f>
        <v>-4.2701853874545943</v>
      </c>
      <c r="DN209" s="42">
        <f t="shared" ref="DN209:DN211" ca="1" si="1830">DM209-DL209</f>
        <v>-4.4635684467187176</v>
      </c>
      <c r="DO209" s="42">
        <f t="shared" ref="DO209:DO211" ca="1" si="1831">_xlfn.NORM.DIST(DM209,0,1,TRUE)</f>
        <v>9.7655276518789487E-6</v>
      </c>
      <c r="DP209" s="42">
        <f t="shared" ref="DP209:DP211" ca="1" si="1832">_xlfn.NORM.DIST(-DM209,0,1,TRUE)</f>
        <v>0.99999023447234814</v>
      </c>
      <c r="DQ209" s="42">
        <f t="shared" ref="DQ209:DQ211" ca="1" si="1833">_xlfn.NORM.DIST(DN209,0,1,TRUE)</f>
        <v>4.0302916462733568E-6</v>
      </c>
      <c r="DR209" s="42">
        <f t="shared" ref="DR209:DR211" ca="1" si="1834">_xlfn.NORM.DIST(-DN209,0,1,TRUE)</f>
        <v>0.99999596970835369</v>
      </c>
      <c r="DS209" s="42">
        <f t="shared" ref="DS209:DS211" ca="1" si="1835">EXP(-$E209*DI209)</f>
        <v>0.98162450344672281</v>
      </c>
      <c r="DT209" s="42">
        <f t="shared" ref="DT209:DT211" ca="1" si="1836">DF209*DS209</f>
        <v>196.32490068934456</v>
      </c>
      <c r="DU209" s="42">
        <f t="shared" ref="DU209:DU211" ca="1" si="1837">EXP(-$D209*DI209)</f>
        <v>0.98801719747153338</v>
      </c>
      <c r="DV209" s="42">
        <f t="shared" ref="DV209:DV211" ca="1" si="1838">$A209*DU209</f>
        <v>84.376668664068958</v>
      </c>
      <c r="DW209" s="42">
        <f t="shared" ref="DW209:DW211" ca="1" si="1839">EXP(-1*POWER(DM209,2)/2)/SQRT(2*PI())</f>
        <v>4.3786712472282578E-5</v>
      </c>
      <c r="DX209" s="42">
        <f t="shared" ref="DX209:DX211" si="1840">IF($F$16=1,0,IF($F$16=2,$A209,IF($F$16=3,DV209*DO209-DT209*DQ209,DT209*DR209-DV209*DP209)))</f>
        <v>0</v>
      </c>
      <c r="DY209" s="92">
        <f t="shared" ref="DY209:DY211" ca="1" si="1841">IF($F$16=2,1,IF(OR($F$16=1,DI209&lt;=0),0,IF($F$16=3,DO209*DU209,(DO209-1)*DU209)))</f>
        <v>0</v>
      </c>
      <c r="DZ209" s="42">
        <f t="shared" ref="DZ209:DZ211" ca="1" si="1842">IF(OR($F$16&lt;=2,DI209&lt;=0),0,DW209*DU209/($A209*DL209))</f>
        <v>0</v>
      </c>
      <c r="EA209" s="42">
        <f t="shared" ref="EA209:EA221" ca="1" si="1843">IF(OR($F$16&lt;=2,DI209&lt;=0),0,(IF($F$16=3,-1*$E209*DF209*DS209*DQ209+$D209*$A209*DU209*DO209,$E209*DF209*DS209*DR209-$D209*$A209*DU209*DP209)-(DW209*$A209*DG209*DU209/(2*SQRT(DI209))))/365)</f>
        <v>0</v>
      </c>
      <c r="EB209" s="42">
        <f t="shared" ref="EB209:EB211" ca="1" si="1844">IF(OR($F$16&lt;=2,DI209&lt;=0),0,(DW209*$A209*DU209*SQRT(DI209))/100)</f>
        <v>0</v>
      </c>
      <c r="EC209" s="42">
        <f t="shared" ref="EC209:EC211" ca="1" si="1845">IF(OR($F$16&lt;=2,DI209&lt;=0),0,IF($F$16=3,DQ209,-1*DR209)*DF209*DI209*DS209/100)</f>
        <v>0</v>
      </c>
      <c r="ED209" s="42">
        <f ca="1">IF($F$16=1,0,IF($M$28=1,DX209-$G$16,OFFSET(DV209,0,$M$28))*IF($M$30=1,SIGN($B$16),$T$16))</f>
        <v>0</v>
      </c>
      <c r="EE209" s="40"/>
      <c r="EF209" s="120">
        <f t="shared" ca="1" si="756"/>
        <v>85.4</v>
      </c>
      <c r="EG209" s="42">
        <f t="shared" ref="EG209:EG221" ca="1" si="1846">AD209+BD209+CD209+DD209+ED209</f>
        <v>258.33906893413985</v>
      </c>
      <c r="EH209" s="36">
        <f t="shared" ref="EH209:EH221" ca="1" si="1847">IF($M$26=1,EG209,OFFSET($AD209,0,$M$26*26-52))</f>
        <v>258.33906893413985</v>
      </c>
      <c r="EI209" s="143">
        <f ca="1">ROUND(EH209,EI$49)</f>
        <v>258.339</v>
      </c>
      <c r="EJ209" s="88"/>
      <c r="EK209" s="153">
        <f ca="1">IF(EI209=$G$208,1,0)</f>
        <v>0</v>
      </c>
      <c r="EL209" s="88"/>
    </row>
    <row r="210" spans="1:142" x14ac:dyDescent="0.3">
      <c r="A210" s="128">
        <f ca="1">IF(AND($M$22=1,ISNUMBER($B$208)),$F$208,A$48)</f>
        <v>85.4</v>
      </c>
      <c r="B210" s="127">
        <f ca="1">IF(AND($M$22=2,ISNUMBER($B$208)),$F$208,B$48)</f>
        <v>0.28399999999999997</v>
      </c>
      <c r="C210" s="141">
        <f ca="1">IF(AND($M$22=3,ISNUMBER($B$208)),$F$208,C$48)</f>
        <v>45295.440972222219</v>
      </c>
      <c r="D210" s="127">
        <f ca="1">IF(AND($M$22=4,ISNUMBER($B$208)),$F$208,D$48)</f>
        <v>2.5999999999999999E-2</v>
      </c>
      <c r="E210" s="127">
        <f ca="1">IF(AND($M$22=5,ISNUMBER($B$208)),$F$208,E$48)</f>
        <v>0.04</v>
      </c>
      <c r="F210" s="36">
        <f t="shared" si="641"/>
        <v>75</v>
      </c>
      <c r="G210" s="35">
        <f t="shared" si="1736"/>
        <v>0.28399999999999997</v>
      </c>
      <c r="H210" s="197">
        <f t="shared" ca="1" si="1290"/>
        <v>169.23611111111677</v>
      </c>
      <c r="I210" s="41">
        <f t="shared" ca="1" si="1737"/>
        <v>0.46366057838662128</v>
      </c>
      <c r="J210" s="40">
        <f t="shared" ca="1" si="1738"/>
        <v>0.12985798725821379</v>
      </c>
      <c r="K210" s="40">
        <f t="shared" ca="1" si="1739"/>
        <v>2.5189751902588361E-2</v>
      </c>
      <c r="L210" s="40">
        <f t="shared" ca="1" si="1740"/>
        <v>0.19338305926412305</v>
      </c>
      <c r="M210" s="42">
        <f t="shared" ca="1" si="1741"/>
        <v>0.80176484822818728</v>
      </c>
      <c r="N210" s="42">
        <f t="shared" ca="1" si="1742"/>
        <v>0.60838178896406425</v>
      </c>
      <c r="O210" s="42">
        <f t="shared" ca="1" si="1743"/>
        <v>0.78865550202522283</v>
      </c>
      <c r="P210" s="42">
        <f t="shared" ca="1" si="1744"/>
        <v>0.21134449797477717</v>
      </c>
      <c r="Q210" s="42">
        <f t="shared" ca="1" si="1745"/>
        <v>0.72853285658034883</v>
      </c>
      <c r="R210" s="42">
        <f t="shared" ca="1" si="1746"/>
        <v>0.27146714341965111</v>
      </c>
      <c r="S210" s="42">
        <f t="shared" ca="1" si="1747"/>
        <v>0.98162450344672281</v>
      </c>
      <c r="T210" s="42">
        <f t="shared" ca="1" si="1748"/>
        <v>73.621837758504213</v>
      </c>
      <c r="U210" s="42">
        <f t="shared" ca="1" si="1749"/>
        <v>0.98801719747153338</v>
      </c>
      <c r="V210" s="42">
        <f t="shared" ca="1" si="1750"/>
        <v>84.376668664068958</v>
      </c>
      <c r="W210" s="42">
        <f t="shared" ca="1" si="1751"/>
        <v>0.28928238154977365</v>
      </c>
      <c r="X210" s="42">
        <f t="shared" ca="1" si="1752"/>
        <v>2.153365310014383</v>
      </c>
      <c r="Y210" s="42">
        <f t="shared" ca="1" si="1753"/>
        <v>-0.20881199859006749</v>
      </c>
      <c r="Z210" s="42">
        <f t="shared" ca="1" si="1754"/>
        <v>1.7306537635226424E-2</v>
      </c>
      <c r="AA210" s="42">
        <f t="shared" ca="1" si="1755"/>
        <v>-1.302570857267049E-2</v>
      </c>
      <c r="AB210" s="42">
        <f t="shared" ca="1" si="1756"/>
        <v>0.16620513797420244</v>
      </c>
      <c r="AC210" s="42">
        <f t="shared" ca="1" si="1757"/>
        <v>-9.2666785853637385E-2</v>
      </c>
      <c r="AD210" s="42">
        <f ca="1">IF($F$8=1,0,IF($M$28=1,X210-$G$8,OFFSET(V210,0,$M$28))*IF($M$30=1,SIGN($B$8),$T$8))</f>
        <v>-723.31734499280856</v>
      </c>
      <c r="AF210" s="36">
        <f t="shared" si="664"/>
        <v>80</v>
      </c>
      <c r="AG210" s="35">
        <f t="shared" si="1758"/>
        <v>0.28399999999999997</v>
      </c>
      <c r="AH210" s="197">
        <f t="shared" ca="1" si="1313"/>
        <v>169.23611111111677</v>
      </c>
      <c r="AI210" s="41">
        <f t="shared" ca="1" si="1759"/>
        <v>0.46366057838662128</v>
      </c>
      <c r="AJ210" s="40">
        <f t="shared" ca="1" si="1760"/>
        <v>6.5319466120642669E-2</v>
      </c>
      <c r="AK210" s="40">
        <f t="shared" ca="1" si="1761"/>
        <v>2.5189751902588361E-2</v>
      </c>
      <c r="AL210" s="40">
        <f t="shared" ca="1" si="1762"/>
        <v>0.19338305926412305</v>
      </c>
      <c r="AM210" s="42">
        <f t="shared" ca="1" si="1763"/>
        <v>0.46803074875143702</v>
      </c>
      <c r="AN210" s="42">
        <f t="shared" ca="1" si="1764"/>
        <v>0.274647689487314</v>
      </c>
      <c r="AO210" s="42">
        <f t="shared" ca="1" si="1765"/>
        <v>0.68011869960825055</v>
      </c>
      <c r="AP210" s="42">
        <f t="shared" ca="1" si="1766"/>
        <v>0.31988130039174945</v>
      </c>
      <c r="AQ210" s="42">
        <f t="shared" ca="1" si="1767"/>
        <v>0.60820653811473968</v>
      </c>
      <c r="AR210" s="42">
        <f t="shared" ca="1" si="1768"/>
        <v>0.39179346188526026</v>
      </c>
      <c r="AS210" s="42">
        <f t="shared" ca="1" si="1769"/>
        <v>0.98162450344672281</v>
      </c>
      <c r="AT210" s="42">
        <f t="shared" ca="1" si="1770"/>
        <v>78.529960275737821</v>
      </c>
      <c r="AU210" s="42">
        <f t="shared" ca="1" si="1771"/>
        <v>0.98801719747153338</v>
      </c>
      <c r="AV210" s="42">
        <f t="shared" ca="1" si="1772"/>
        <v>84.376668664068958</v>
      </c>
      <c r="AW210" s="42">
        <f t="shared" ca="1" si="1773"/>
        <v>0.3575554142041969</v>
      </c>
      <c r="AX210" s="42">
        <f t="shared" ca="1" si="1774"/>
        <v>3.777006503157132</v>
      </c>
      <c r="AY210" s="42">
        <f t="shared" ca="1" si="1775"/>
        <v>-0.31604822593660598</v>
      </c>
      <c r="AZ210" s="42">
        <f t="shared" ca="1" si="1776"/>
        <v>2.1391023537115056E-2</v>
      </c>
      <c r="BA210" s="42">
        <f t="shared" ca="1" si="1777"/>
        <v>-1.5787806699479157E-2</v>
      </c>
      <c r="BB210" s="42">
        <f t="shared" ca="1" si="1778"/>
        <v>0.20543092404335248</v>
      </c>
      <c r="BC210" s="42">
        <f t="shared" ca="1" si="1779"/>
        <v>-0.14265688436163948</v>
      </c>
      <c r="BD210" s="42">
        <f ca="1">IF($F$10=1,0,IF($M$28=1,AX210-$G$10,OFFSET(AV210,0,$M$28))*IF($M$30=1,SIGN($B$10),$T$10))</f>
        <v>936.49674842143418</v>
      </c>
      <c r="BE210" s="40"/>
      <c r="BF210" s="36">
        <f t="shared" si="687"/>
        <v>90</v>
      </c>
      <c r="BG210" s="35">
        <f t="shared" si="1780"/>
        <v>0.28399999999999997</v>
      </c>
      <c r="BH210" s="197">
        <f t="shared" ca="1" si="1336"/>
        <v>169.23611111111677</v>
      </c>
      <c r="BI210" s="41">
        <f t="shared" ca="1" si="1781"/>
        <v>0.46366057838662128</v>
      </c>
      <c r="BJ210" s="40">
        <f t="shared" ca="1" si="1782"/>
        <v>-5.2463569535740766E-2</v>
      </c>
      <c r="BK210" s="40">
        <f t="shared" ca="1" si="1783"/>
        <v>2.5189751902588361E-2</v>
      </c>
      <c r="BL210" s="40">
        <f t="shared" ca="1" si="1784"/>
        <v>0.19338305926412305</v>
      </c>
      <c r="BM210" s="42">
        <f t="shared" ca="1" si="1785"/>
        <v>-0.14103519582809868</v>
      </c>
      <c r="BN210" s="42">
        <f t="shared" ca="1" si="1786"/>
        <v>-0.33441825509222173</v>
      </c>
      <c r="BO210" s="42">
        <f t="shared" ca="1" si="1787"/>
        <v>0.44392106898616246</v>
      </c>
      <c r="BP210" s="42">
        <f t="shared" ca="1" si="1788"/>
        <v>0.55607893101383754</v>
      </c>
      <c r="BQ210" s="42">
        <f t="shared" ca="1" si="1789"/>
        <v>0.36903198301145818</v>
      </c>
      <c r="BR210" s="42">
        <f t="shared" ca="1" si="1790"/>
        <v>0.63096801698854188</v>
      </c>
      <c r="BS210" s="42">
        <f t="shared" ca="1" si="1791"/>
        <v>0.98162450344672281</v>
      </c>
      <c r="BT210" s="42">
        <f t="shared" ca="1" si="1792"/>
        <v>88.34620531020505</v>
      </c>
      <c r="BU210" s="42">
        <f t="shared" ca="1" si="1793"/>
        <v>0.98801719747153338</v>
      </c>
      <c r="BV210" s="42">
        <f t="shared" ca="1" si="1794"/>
        <v>84.376668664068958</v>
      </c>
      <c r="BW210" s="42">
        <f t="shared" ca="1" si="1795"/>
        <v>0.39499427951128013</v>
      </c>
      <c r="BX210" s="42">
        <f t="shared" ca="1" si="1796"/>
        <v>4.8540056136823466</v>
      </c>
      <c r="BY210" s="42">
        <f t="shared" ca="1" si="1797"/>
        <v>0.43860165047827548</v>
      </c>
      <c r="BZ210" s="42">
        <f t="shared" ca="1" si="1798"/>
        <v>2.3630832017624698E-2</v>
      </c>
      <c r="CA210" s="42">
        <f t="shared" ca="1" si="1799"/>
        <v>-1.9946570164958009E-2</v>
      </c>
      <c r="CB210" s="42">
        <f t="shared" ca="1" si="1800"/>
        <v>0.22694115823260852</v>
      </c>
      <c r="CC210" s="42">
        <f t="shared" ca="1" si="1801"/>
        <v>0.15116528937722107</v>
      </c>
      <c r="CD210" s="42">
        <f ca="1">IF($F$12=1,0,IF($M$28=1,BX210-$G$12,OFFSET(BV210,0,$M$28))*IF($M$30=1,SIGN($B$12),$T$12))</f>
        <v>972.99719315882658</v>
      </c>
      <c r="CE210" s="40"/>
      <c r="CF210" s="36">
        <f t="shared" si="710"/>
        <v>95</v>
      </c>
      <c r="CG210" s="35">
        <f t="shared" si="1802"/>
        <v>0.28399999999999997</v>
      </c>
      <c r="CH210" s="197">
        <f t="shared" ca="1" si="1359"/>
        <v>169.23611111111677</v>
      </c>
      <c r="CI210" s="41">
        <f t="shared" ca="1" si="1803"/>
        <v>0.46366057838662128</v>
      </c>
      <c r="CJ210" s="40">
        <f t="shared" ca="1" si="1804"/>
        <v>-0.10653079080601656</v>
      </c>
      <c r="CK210" s="40">
        <f t="shared" ca="1" si="1805"/>
        <v>2.5189751902588361E-2</v>
      </c>
      <c r="CL210" s="40">
        <f t="shared" ca="1" si="1806"/>
        <v>0.19338305926412305</v>
      </c>
      <c r="CM210" s="42">
        <f t="shared" ca="1" si="1807"/>
        <v>-0.42062132646444694</v>
      </c>
      <c r="CN210" s="42">
        <f t="shared" ca="1" si="1808"/>
        <v>-0.61400438572856997</v>
      </c>
      <c r="CO210" s="42">
        <f t="shared" ca="1" si="1809"/>
        <v>0.33701580910706302</v>
      </c>
      <c r="CP210" s="42">
        <f t="shared" ca="1" si="1810"/>
        <v>0.66298419089293703</v>
      </c>
      <c r="CQ210" s="42">
        <f t="shared" ca="1" si="1811"/>
        <v>0.26960621453848232</v>
      </c>
      <c r="CR210" s="42">
        <f t="shared" ca="1" si="1812"/>
        <v>0.73039378546151768</v>
      </c>
      <c r="CS210" s="42">
        <f t="shared" ca="1" si="1813"/>
        <v>0.98162450344672281</v>
      </c>
      <c r="CT210" s="42">
        <f t="shared" ca="1" si="1814"/>
        <v>93.254327827438672</v>
      </c>
      <c r="CU210" s="42">
        <f t="shared" ca="1" si="1815"/>
        <v>0.98801719747153338</v>
      </c>
      <c r="CV210" s="42">
        <f t="shared" ca="1" si="1816"/>
        <v>84.376668664068958</v>
      </c>
      <c r="CW210" s="42">
        <f t="shared" ca="1" si="1817"/>
        <v>0.365167296678925</v>
      </c>
      <c r="CX210" s="42">
        <f t="shared" ca="1" si="1818"/>
        <v>3.2943249446933756</v>
      </c>
      <c r="CY210" s="42">
        <f t="shared" ca="1" si="1819"/>
        <v>0.33297741521756169</v>
      </c>
      <c r="CZ210" s="42">
        <f t="shared" ca="1" si="1820"/>
        <v>2.1846410172893065E-2</v>
      </c>
      <c r="DA210" s="42">
        <f t="shared" ca="1" si="1821"/>
        <v>-1.8333614860733365E-2</v>
      </c>
      <c r="DB210" s="42">
        <f t="shared" ca="1" si="1822"/>
        <v>0.20980427706325602</v>
      </c>
      <c r="DC210" s="42">
        <f t="shared" ca="1" si="1823"/>
        <v>0.11657329370125608</v>
      </c>
      <c r="DD210" s="42">
        <f ca="1">IF($F$14=1,0,IF($M$28=1,CX210-$G$14,OFFSET(CV210,0,$M$28))*IF($M$30=1,SIGN($B$14),$T$14))</f>
        <v>-927.83752765331235</v>
      </c>
      <c r="DE210" s="40"/>
      <c r="DF210" s="36">
        <f t="shared" si="733"/>
        <v>200</v>
      </c>
      <c r="DG210" s="35">
        <f t="shared" si="1824"/>
        <v>0.28399999999999997</v>
      </c>
      <c r="DH210" s="197">
        <f t="shared" ca="1" si="1382"/>
        <v>169.23611111111677</v>
      </c>
      <c r="DI210" s="41">
        <f t="shared" ca="1" si="1825"/>
        <v>0.46366057838662128</v>
      </c>
      <c r="DJ210" s="40">
        <f t="shared" ca="1" si="1826"/>
        <v>-0.85097126575351234</v>
      </c>
      <c r="DK210" s="40">
        <f t="shared" ca="1" si="1827"/>
        <v>2.5189751902588361E-2</v>
      </c>
      <c r="DL210" s="40">
        <f t="shared" ca="1" si="1828"/>
        <v>0.19338305926412305</v>
      </c>
      <c r="DM210" s="42">
        <f t="shared" ca="1" si="1829"/>
        <v>-4.2701853874545943</v>
      </c>
      <c r="DN210" s="42">
        <f t="shared" ca="1" si="1830"/>
        <v>-4.4635684467187176</v>
      </c>
      <c r="DO210" s="42">
        <f t="shared" ca="1" si="1831"/>
        <v>9.7655276518789487E-6</v>
      </c>
      <c r="DP210" s="42">
        <f t="shared" ca="1" si="1832"/>
        <v>0.99999023447234814</v>
      </c>
      <c r="DQ210" s="42">
        <f t="shared" ca="1" si="1833"/>
        <v>4.0302916462733568E-6</v>
      </c>
      <c r="DR210" s="42">
        <f t="shared" ca="1" si="1834"/>
        <v>0.99999596970835369</v>
      </c>
      <c r="DS210" s="42">
        <f t="shared" ca="1" si="1835"/>
        <v>0.98162450344672281</v>
      </c>
      <c r="DT210" s="42">
        <f t="shared" ca="1" si="1836"/>
        <v>196.32490068934456</v>
      </c>
      <c r="DU210" s="42">
        <f t="shared" ca="1" si="1837"/>
        <v>0.98801719747153338</v>
      </c>
      <c r="DV210" s="42">
        <f t="shared" ca="1" si="1838"/>
        <v>84.376668664068958</v>
      </c>
      <c r="DW210" s="42">
        <f t="shared" ca="1" si="1839"/>
        <v>4.3786712472282578E-5</v>
      </c>
      <c r="DX210" s="42">
        <f t="shared" si="1840"/>
        <v>0</v>
      </c>
      <c r="DY210" s="92">
        <f t="shared" ca="1" si="1841"/>
        <v>0</v>
      </c>
      <c r="DZ210" s="42">
        <f t="shared" ca="1" si="1842"/>
        <v>0</v>
      </c>
      <c r="EA210" s="42">
        <f t="shared" ca="1" si="1843"/>
        <v>0</v>
      </c>
      <c r="EB210" s="42">
        <f t="shared" ca="1" si="1844"/>
        <v>0</v>
      </c>
      <c r="EC210" s="42">
        <f t="shared" ca="1" si="1845"/>
        <v>0</v>
      </c>
      <c r="ED210" s="42">
        <f ca="1">IF($F$16=1,0,IF($M$28=1,DX210-$G$16,OFFSET(DV210,0,$M$28))*IF($M$30=1,SIGN($B$16),$T$16))</f>
        <v>0</v>
      </c>
      <c r="EE210" s="40"/>
      <c r="EF210" s="120">
        <f t="shared" ca="1" si="756"/>
        <v>85.4</v>
      </c>
      <c r="EG210" s="42">
        <f t="shared" ca="1" si="1846"/>
        <v>258.33906893413985</v>
      </c>
      <c r="EH210" s="36">
        <f t="shared" ca="1" si="1847"/>
        <v>258.33906893413985</v>
      </c>
      <c r="EI210" s="143">
        <f t="shared" ref="EI210:EI221" ca="1" si="1848">ROUND(EH210,EI$49)</f>
        <v>258.339</v>
      </c>
      <c r="EJ210" s="143">
        <f ca="1">EI210-EI209</f>
        <v>0</v>
      </c>
      <c r="EK210" s="153">
        <f t="shared" ref="EK210:EK221" ca="1" si="1849">IF(EI210=$G$208,1,0)</f>
        <v>0</v>
      </c>
      <c r="EL210" s="143">
        <f t="shared" ref="EL210:EL221" ca="1" si="1850">IF(EI209=0,IF(EI210&lt;&gt;0,2,0),IF(EI210=0,IF(EI209&lt;&gt;0,1,0),IF(SIGN(EI210)=-SIGN(EI209),2,0)))</f>
        <v>0</v>
      </c>
    </row>
    <row r="211" spans="1:142" x14ac:dyDescent="0.3">
      <c r="A211" s="143">
        <f t="shared" ref="A211:A221" ca="1" si="1851">IF(AND($M$22=1,ISNUMBER($B$208)),A210+$EF$48,A$48)</f>
        <v>85.4</v>
      </c>
      <c r="B211" s="144">
        <f t="shared" ref="B211:B221" ca="1" si="1852">IF(AND($M$22=2,ISNUMBER($B$208)),B210+$EF$48,B$48)</f>
        <v>0.28399999999999997</v>
      </c>
      <c r="C211" s="145">
        <f t="shared" ref="C211:C221" ca="1" si="1853">IF(AND($M$22=3,ISNUMBER($B$208)),C210+$EF$48,C$48)</f>
        <v>45295.440972222219</v>
      </c>
      <c r="D211" s="144">
        <f t="shared" ref="D211:D221" ca="1" si="1854">IF(AND($M$22=4,ISNUMBER($B$208)),D210+$EF$48,D$48)</f>
        <v>2.5999999999999999E-2</v>
      </c>
      <c r="E211" s="144">
        <f t="shared" ref="E211:E221" ca="1" si="1855">IF(AND($M$22=5,ISNUMBER($B$208)),E210+$EF$48,E$48)</f>
        <v>0.04</v>
      </c>
      <c r="F211" s="36">
        <f t="shared" si="641"/>
        <v>75</v>
      </c>
      <c r="G211" s="35">
        <f t="shared" si="1736"/>
        <v>0.28399999999999997</v>
      </c>
      <c r="H211" s="197">
        <f t="shared" ca="1" si="1290"/>
        <v>169.23611111111677</v>
      </c>
      <c r="I211" s="41">
        <f t="shared" ca="1" si="1737"/>
        <v>0.46366057838662128</v>
      </c>
      <c r="J211" s="40">
        <f t="shared" ca="1" si="1738"/>
        <v>0.12985798725821379</v>
      </c>
      <c r="K211" s="40">
        <f t="shared" ca="1" si="1739"/>
        <v>2.5189751902588361E-2</v>
      </c>
      <c r="L211" s="40">
        <f t="shared" ca="1" si="1740"/>
        <v>0.19338305926412305</v>
      </c>
      <c r="M211" s="42">
        <f t="shared" ca="1" si="1741"/>
        <v>0.80176484822818728</v>
      </c>
      <c r="N211" s="42">
        <f t="shared" ca="1" si="1742"/>
        <v>0.60838178896406425</v>
      </c>
      <c r="O211" s="42">
        <f t="shared" ca="1" si="1743"/>
        <v>0.78865550202522283</v>
      </c>
      <c r="P211" s="42">
        <f t="shared" ca="1" si="1744"/>
        <v>0.21134449797477717</v>
      </c>
      <c r="Q211" s="42">
        <f t="shared" ca="1" si="1745"/>
        <v>0.72853285658034883</v>
      </c>
      <c r="R211" s="42">
        <f t="shared" ca="1" si="1746"/>
        <v>0.27146714341965111</v>
      </c>
      <c r="S211" s="42">
        <f t="shared" ca="1" si="1747"/>
        <v>0.98162450344672281</v>
      </c>
      <c r="T211" s="42">
        <f t="shared" ca="1" si="1748"/>
        <v>73.621837758504213</v>
      </c>
      <c r="U211" s="42">
        <f t="shared" ca="1" si="1749"/>
        <v>0.98801719747153338</v>
      </c>
      <c r="V211" s="42">
        <f t="shared" ca="1" si="1750"/>
        <v>84.376668664068958</v>
      </c>
      <c r="W211" s="42">
        <f t="shared" ca="1" si="1751"/>
        <v>0.28928238154977365</v>
      </c>
      <c r="X211" s="42">
        <f t="shared" ca="1" si="1752"/>
        <v>2.153365310014383</v>
      </c>
      <c r="Y211" s="42">
        <f t="shared" ca="1" si="1753"/>
        <v>-0.20881199859006749</v>
      </c>
      <c r="Z211" s="42">
        <f t="shared" ca="1" si="1754"/>
        <v>1.7306537635226424E-2</v>
      </c>
      <c r="AA211" s="42">
        <f t="shared" ca="1" si="1755"/>
        <v>-1.302570857267049E-2</v>
      </c>
      <c r="AB211" s="42">
        <f t="shared" ca="1" si="1756"/>
        <v>0.16620513797420244</v>
      </c>
      <c r="AC211" s="42">
        <f t="shared" ca="1" si="1757"/>
        <v>-9.2666785853637385E-2</v>
      </c>
      <c r="AD211" s="42">
        <f ca="1">IF($F$8=1,0,IF($M$28=1,X211-$G$8,OFFSET(V211,0,$M$28))*IF($M$30=1,SIGN($B$8),$T$8))</f>
        <v>-723.31734499280856</v>
      </c>
      <c r="AF211" s="36">
        <f t="shared" si="664"/>
        <v>80</v>
      </c>
      <c r="AG211" s="35">
        <f t="shared" si="1758"/>
        <v>0.28399999999999997</v>
      </c>
      <c r="AH211" s="197">
        <f t="shared" ca="1" si="1313"/>
        <v>169.23611111111677</v>
      </c>
      <c r="AI211" s="41">
        <f t="shared" ca="1" si="1759"/>
        <v>0.46366057838662128</v>
      </c>
      <c r="AJ211" s="40">
        <f t="shared" ca="1" si="1760"/>
        <v>6.5319466120642669E-2</v>
      </c>
      <c r="AK211" s="40">
        <f t="shared" ca="1" si="1761"/>
        <v>2.5189751902588361E-2</v>
      </c>
      <c r="AL211" s="40">
        <f t="shared" ca="1" si="1762"/>
        <v>0.19338305926412305</v>
      </c>
      <c r="AM211" s="42">
        <f t="shared" ca="1" si="1763"/>
        <v>0.46803074875143702</v>
      </c>
      <c r="AN211" s="42">
        <f t="shared" ca="1" si="1764"/>
        <v>0.274647689487314</v>
      </c>
      <c r="AO211" s="42">
        <f t="shared" ca="1" si="1765"/>
        <v>0.68011869960825055</v>
      </c>
      <c r="AP211" s="42">
        <f t="shared" ca="1" si="1766"/>
        <v>0.31988130039174945</v>
      </c>
      <c r="AQ211" s="42">
        <f t="shared" ca="1" si="1767"/>
        <v>0.60820653811473968</v>
      </c>
      <c r="AR211" s="42">
        <f t="shared" ca="1" si="1768"/>
        <v>0.39179346188526026</v>
      </c>
      <c r="AS211" s="42">
        <f t="shared" ca="1" si="1769"/>
        <v>0.98162450344672281</v>
      </c>
      <c r="AT211" s="42">
        <f t="shared" ca="1" si="1770"/>
        <v>78.529960275737821</v>
      </c>
      <c r="AU211" s="42">
        <f t="shared" ca="1" si="1771"/>
        <v>0.98801719747153338</v>
      </c>
      <c r="AV211" s="42">
        <f t="shared" ca="1" si="1772"/>
        <v>84.376668664068958</v>
      </c>
      <c r="AW211" s="42">
        <f t="shared" ca="1" si="1773"/>
        <v>0.3575554142041969</v>
      </c>
      <c r="AX211" s="42">
        <f t="shared" ca="1" si="1774"/>
        <v>3.777006503157132</v>
      </c>
      <c r="AY211" s="42">
        <f t="shared" ca="1" si="1775"/>
        <v>-0.31604822593660598</v>
      </c>
      <c r="AZ211" s="42">
        <f t="shared" ca="1" si="1776"/>
        <v>2.1391023537115056E-2</v>
      </c>
      <c r="BA211" s="42">
        <f t="shared" ca="1" si="1777"/>
        <v>-1.5787806699479157E-2</v>
      </c>
      <c r="BB211" s="42">
        <f t="shared" ca="1" si="1778"/>
        <v>0.20543092404335248</v>
      </c>
      <c r="BC211" s="42">
        <f t="shared" ca="1" si="1779"/>
        <v>-0.14265688436163948</v>
      </c>
      <c r="BD211" s="42">
        <f ca="1">IF($F$10=1,0,IF($M$28=1,AX211-$G$10,OFFSET(AV211,0,$M$28))*IF($M$30=1,SIGN($B$10),$T$10))</f>
        <v>936.49674842143418</v>
      </c>
      <c r="BE211" s="40"/>
      <c r="BF211" s="36">
        <f t="shared" si="687"/>
        <v>90</v>
      </c>
      <c r="BG211" s="35">
        <f t="shared" si="1780"/>
        <v>0.28399999999999997</v>
      </c>
      <c r="BH211" s="197">
        <f t="shared" ca="1" si="1336"/>
        <v>169.23611111111677</v>
      </c>
      <c r="BI211" s="41">
        <f t="shared" ca="1" si="1781"/>
        <v>0.46366057838662128</v>
      </c>
      <c r="BJ211" s="40">
        <f t="shared" ca="1" si="1782"/>
        <v>-5.2463569535740766E-2</v>
      </c>
      <c r="BK211" s="40">
        <f t="shared" ca="1" si="1783"/>
        <v>2.5189751902588361E-2</v>
      </c>
      <c r="BL211" s="40">
        <f t="shared" ca="1" si="1784"/>
        <v>0.19338305926412305</v>
      </c>
      <c r="BM211" s="42">
        <f t="shared" ca="1" si="1785"/>
        <v>-0.14103519582809868</v>
      </c>
      <c r="BN211" s="42">
        <f t="shared" ca="1" si="1786"/>
        <v>-0.33441825509222173</v>
      </c>
      <c r="BO211" s="42">
        <f t="shared" ca="1" si="1787"/>
        <v>0.44392106898616246</v>
      </c>
      <c r="BP211" s="42">
        <f t="shared" ca="1" si="1788"/>
        <v>0.55607893101383754</v>
      </c>
      <c r="BQ211" s="42">
        <f t="shared" ca="1" si="1789"/>
        <v>0.36903198301145818</v>
      </c>
      <c r="BR211" s="42">
        <f t="shared" ca="1" si="1790"/>
        <v>0.63096801698854188</v>
      </c>
      <c r="BS211" s="42">
        <f t="shared" ca="1" si="1791"/>
        <v>0.98162450344672281</v>
      </c>
      <c r="BT211" s="42">
        <f t="shared" ca="1" si="1792"/>
        <v>88.34620531020505</v>
      </c>
      <c r="BU211" s="42">
        <f t="shared" ca="1" si="1793"/>
        <v>0.98801719747153338</v>
      </c>
      <c r="BV211" s="42">
        <f t="shared" ca="1" si="1794"/>
        <v>84.376668664068958</v>
      </c>
      <c r="BW211" s="42">
        <f t="shared" ca="1" si="1795"/>
        <v>0.39499427951128013</v>
      </c>
      <c r="BX211" s="42">
        <f t="shared" ca="1" si="1796"/>
        <v>4.8540056136823466</v>
      </c>
      <c r="BY211" s="42">
        <f t="shared" ca="1" si="1797"/>
        <v>0.43860165047827548</v>
      </c>
      <c r="BZ211" s="42">
        <f t="shared" ca="1" si="1798"/>
        <v>2.3630832017624698E-2</v>
      </c>
      <c r="CA211" s="42">
        <f t="shared" ca="1" si="1799"/>
        <v>-1.9946570164958009E-2</v>
      </c>
      <c r="CB211" s="42">
        <f t="shared" ca="1" si="1800"/>
        <v>0.22694115823260852</v>
      </c>
      <c r="CC211" s="42">
        <f t="shared" ca="1" si="1801"/>
        <v>0.15116528937722107</v>
      </c>
      <c r="CD211" s="42">
        <f ca="1">IF($F$12=1,0,IF($M$28=1,BX211-$G$12,OFFSET(BV211,0,$M$28))*IF($M$30=1,SIGN($B$12),$T$12))</f>
        <v>972.99719315882658</v>
      </c>
      <c r="CE211" s="40"/>
      <c r="CF211" s="36">
        <f t="shared" si="710"/>
        <v>95</v>
      </c>
      <c r="CG211" s="35">
        <f t="shared" si="1802"/>
        <v>0.28399999999999997</v>
      </c>
      <c r="CH211" s="197">
        <f t="shared" ca="1" si="1359"/>
        <v>169.23611111111677</v>
      </c>
      <c r="CI211" s="41">
        <f t="shared" ca="1" si="1803"/>
        <v>0.46366057838662128</v>
      </c>
      <c r="CJ211" s="40">
        <f t="shared" ca="1" si="1804"/>
        <v>-0.10653079080601656</v>
      </c>
      <c r="CK211" s="40">
        <f t="shared" ca="1" si="1805"/>
        <v>2.5189751902588361E-2</v>
      </c>
      <c r="CL211" s="40">
        <f t="shared" ca="1" si="1806"/>
        <v>0.19338305926412305</v>
      </c>
      <c r="CM211" s="42">
        <f t="shared" ca="1" si="1807"/>
        <v>-0.42062132646444694</v>
      </c>
      <c r="CN211" s="42">
        <f t="shared" ca="1" si="1808"/>
        <v>-0.61400438572856997</v>
      </c>
      <c r="CO211" s="42">
        <f t="shared" ca="1" si="1809"/>
        <v>0.33701580910706302</v>
      </c>
      <c r="CP211" s="42">
        <f t="shared" ca="1" si="1810"/>
        <v>0.66298419089293703</v>
      </c>
      <c r="CQ211" s="42">
        <f t="shared" ca="1" si="1811"/>
        <v>0.26960621453848232</v>
      </c>
      <c r="CR211" s="42">
        <f t="shared" ca="1" si="1812"/>
        <v>0.73039378546151768</v>
      </c>
      <c r="CS211" s="42">
        <f t="shared" ca="1" si="1813"/>
        <v>0.98162450344672281</v>
      </c>
      <c r="CT211" s="42">
        <f t="shared" ca="1" si="1814"/>
        <v>93.254327827438672</v>
      </c>
      <c r="CU211" s="42">
        <f t="shared" ca="1" si="1815"/>
        <v>0.98801719747153338</v>
      </c>
      <c r="CV211" s="42">
        <f t="shared" ca="1" si="1816"/>
        <v>84.376668664068958</v>
      </c>
      <c r="CW211" s="42">
        <f t="shared" ca="1" si="1817"/>
        <v>0.365167296678925</v>
      </c>
      <c r="CX211" s="42">
        <f t="shared" ca="1" si="1818"/>
        <v>3.2943249446933756</v>
      </c>
      <c r="CY211" s="42">
        <f t="shared" ca="1" si="1819"/>
        <v>0.33297741521756169</v>
      </c>
      <c r="CZ211" s="42">
        <f t="shared" ca="1" si="1820"/>
        <v>2.1846410172893065E-2</v>
      </c>
      <c r="DA211" s="42">
        <f t="shared" ca="1" si="1821"/>
        <v>-1.8333614860733365E-2</v>
      </c>
      <c r="DB211" s="42">
        <f t="shared" ca="1" si="1822"/>
        <v>0.20980427706325602</v>
      </c>
      <c r="DC211" s="42">
        <f t="shared" ca="1" si="1823"/>
        <v>0.11657329370125608</v>
      </c>
      <c r="DD211" s="42">
        <f ca="1">IF($F$14=1,0,IF($M$28=1,CX211-$G$14,OFFSET(CV211,0,$M$28))*IF($M$30=1,SIGN($B$14),$T$14))</f>
        <v>-927.83752765331235</v>
      </c>
      <c r="DE211" s="40"/>
      <c r="DF211" s="36">
        <f t="shared" si="733"/>
        <v>200</v>
      </c>
      <c r="DG211" s="35">
        <f t="shared" si="1824"/>
        <v>0.28399999999999997</v>
      </c>
      <c r="DH211" s="197">
        <f t="shared" ca="1" si="1382"/>
        <v>169.23611111111677</v>
      </c>
      <c r="DI211" s="41">
        <f t="shared" ca="1" si="1825"/>
        <v>0.46366057838662128</v>
      </c>
      <c r="DJ211" s="40">
        <f t="shared" ca="1" si="1826"/>
        <v>-0.85097126575351234</v>
      </c>
      <c r="DK211" s="40">
        <f t="shared" ca="1" si="1827"/>
        <v>2.5189751902588361E-2</v>
      </c>
      <c r="DL211" s="40">
        <f t="shared" ca="1" si="1828"/>
        <v>0.19338305926412305</v>
      </c>
      <c r="DM211" s="42">
        <f t="shared" ca="1" si="1829"/>
        <v>-4.2701853874545943</v>
      </c>
      <c r="DN211" s="42">
        <f t="shared" ca="1" si="1830"/>
        <v>-4.4635684467187176</v>
      </c>
      <c r="DO211" s="42">
        <f t="shared" ca="1" si="1831"/>
        <v>9.7655276518789487E-6</v>
      </c>
      <c r="DP211" s="42">
        <f t="shared" ca="1" si="1832"/>
        <v>0.99999023447234814</v>
      </c>
      <c r="DQ211" s="42">
        <f t="shared" ca="1" si="1833"/>
        <v>4.0302916462733568E-6</v>
      </c>
      <c r="DR211" s="42">
        <f t="shared" ca="1" si="1834"/>
        <v>0.99999596970835369</v>
      </c>
      <c r="DS211" s="42">
        <f t="shared" ca="1" si="1835"/>
        <v>0.98162450344672281</v>
      </c>
      <c r="DT211" s="42">
        <f t="shared" ca="1" si="1836"/>
        <v>196.32490068934456</v>
      </c>
      <c r="DU211" s="42">
        <f t="shared" ca="1" si="1837"/>
        <v>0.98801719747153338</v>
      </c>
      <c r="DV211" s="42">
        <f t="shared" ca="1" si="1838"/>
        <v>84.376668664068958</v>
      </c>
      <c r="DW211" s="42">
        <f t="shared" ca="1" si="1839"/>
        <v>4.3786712472282578E-5</v>
      </c>
      <c r="DX211" s="42">
        <f t="shared" si="1840"/>
        <v>0</v>
      </c>
      <c r="DY211" s="92">
        <f t="shared" ca="1" si="1841"/>
        <v>0</v>
      </c>
      <c r="DZ211" s="42">
        <f t="shared" ca="1" si="1842"/>
        <v>0</v>
      </c>
      <c r="EA211" s="42">
        <f t="shared" ca="1" si="1843"/>
        <v>0</v>
      </c>
      <c r="EB211" s="42">
        <f t="shared" ca="1" si="1844"/>
        <v>0</v>
      </c>
      <c r="EC211" s="42">
        <f t="shared" ca="1" si="1845"/>
        <v>0</v>
      </c>
      <c r="ED211" s="42">
        <f ca="1">IF($F$16=1,0,IF($M$28=1,DX211-$G$16,OFFSET(DV211,0,$M$28))*IF($M$30=1,SIGN($B$16),$T$16))</f>
        <v>0</v>
      </c>
      <c r="EE211" s="40"/>
      <c r="EF211" s="120">
        <f t="shared" ca="1" si="756"/>
        <v>85.4</v>
      </c>
      <c r="EG211" s="42">
        <f t="shared" ca="1" si="1846"/>
        <v>258.33906893413985</v>
      </c>
      <c r="EH211" s="36">
        <f t="shared" ca="1" si="1847"/>
        <v>258.33906893413985</v>
      </c>
      <c r="EI211" s="143">
        <f t="shared" ca="1" si="1848"/>
        <v>258.339</v>
      </c>
      <c r="EJ211" s="143">
        <f t="shared" ref="EJ211:EJ221" ca="1" si="1856">EI211-EI210</f>
        <v>0</v>
      </c>
      <c r="EK211" s="153">
        <f t="shared" ca="1" si="1849"/>
        <v>0</v>
      </c>
      <c r="EL211" s="143">
        <f t="shared" ca="1" si="1850"/>
        <v>0</v>
      </c>
    </row>
    <row r="212" spans="1:142" x14ac:dyDescent="0.3">
      <c r="A212" s="143">
        <f t="shared" ca="1" si="1851"/>
        <v>85.4</v>
      </c>
      <c r="B212" s="144">
        <f t="shared" ca="1" si="1852"/>
        <v>0.28399999999999997</v>
      </c>
      <c r="C212" s="145">
        <f t="shared" ca="1" si="1853"/>
        <v>45295.440972222219</v>
      </c>
      <c r="D212" s="144">
        <f t="shared" ca="1" si="1854"/>
        <v>2.5999999999999999E-2</v>
      </c>
      <c r="E212" s="144">
        <f t="shared" ca="1" si="1855"/>
        <v>0.04</v>
      </c>
      <c r="F212" s="36">
        <f t="shared" si="641"/>
        <v>75</v>
      </c>
      <c r="G212" s="35">
        <f t="shared" si="1736"/>
        <v>0.28399999999999997</v>
      </c>
      <c r="H212" s="197">
        <f t="shared" ca="1" si="1290"/>
        <v>169.23611111111677</v>
      </c>
      <c r="I212" s="41">
        <f t="shared" ca="1" si="1737"/>
        <v>0.46366057838662128</v>
      </c>
      <c r="J212" s="40">
        <f t="shared" ref="J212:J221" ca="1" si="1857">LN($A212/F212)</f>
        <v>0.12985798725821379</v>
      </c>
      <c r="K212" s="40">
        <f t="shared" ref="K212:K221" ca="1" si="1858">($E212-$D212+POWER(G212,2)/2)*I212</f>
        <v>2.5189751902588361E-2</v>
      </c>
      <c r="L212" s="40">
        <f t="shared" ref="L212:L221" ca="1" si="1859">MAX(0,0.000000000001,G212*SQRT(I212))</f>
        <v>0.19338305926412305</v>
      </c>
      <c r="M212" s="42">
        <f t="shared" ref="M212:M221" ca="1" si="1860">(J212+K212)/L212</f>
        <v>0.80176484822818728</v>
      </c>
      <c r="N212" s="42">
        <f t="shared" ref="N212:N221" ca="1" si="1861">M212-L212</f>
        <v>0.60838178896406425</v>
      </c>
      <c r="O212" s="42">
        <f t="shared" ref="O212:O221" ca="1" si="1862">_xlfn.NORM.DIST(M212,0,1,TRUE)</f>
        <v>0.78865550202522283</v>
      </c>
      <c r="P212" s="42">
        <f t="shared" ref="P212:P221" ca="1" si="1863">_xlfn.NORM.DIST(-M212,0,1,TRUE)</f>
        <v>0.21134449797477717</v>
      </c>
      <c r="Q212" s="42">
        <f t="shared" ref="Q212:Q221" ca="1" si="1864">_xlfn.NORM.DIST(N212,0,1,TRUE)</f>
        <v>0.72853285658034883</v>
      </c>
      <c r="R212" s="42">
        <f t="shared" ref="R212:R221" ca="1" si="1865">_xlfn.NORM.DIST(-N212,0,1,TRUE)</f>
        <v>0.27146714341965111</v>
      </c>
      <c r="S212" s="42">
        <f t="shared" ref="S212:S221" ca="1" si="1866">EXP(-$E212*I212)</f>
        <v>0.98162450344672281</v>
      </c>
      <c r="T212" s="42">
        <f t="shared" ref="T212:T221" ca="1" si="1867">F212*S212</f>
        <v>73.621837758504213</v>
      </c>
      <c r="U212" s="42">
        <f t="shared" ref="U212:U221" ca="1" si="1868">EXP(-$D212*I212)</f>
        <v>0.98801719747153338</v>
      </c>
      <c r="V212" s="42">
        <f t="shared" ref="V212:V221" ca="1" si="1869">$A212*U212</f>
        <v>84.376668664068958</v>
      </c>
      <c r="W212" s="42">
        <f t="shared" ref="W212:W221" ca="1" si="1870">EXP(-1*POWER(M212,2)/2)/SQRT(2*PI())</f>
        <v>0.28928238154977365</v>
      </c>
      <c r="X212" s="42">
        <f t="shared" ref="X212:X221" ca="1" si="1871">IF($F$8=1,0,IF($F$8=2,$A212,IF($F$8=3,V212*O212-T212*Q212,T212*R212-V212*P212)))</f>
        <v>2.153365310014383</v>
      </c>
      <c r="Y212" s="42">
        <f t="shared" ref="Y212:Y221" ca="1" si="1872">IF($F$8=2,1,IF(OR($F$8=1,I212&lt;=0),0,IF($F$8=3,O212*U212,(O212-1)*U212)))</f>
        <v>-0.20881199859006749</v>
      </c>
      <c r="Z212" s="42">
        <f t="shared" ref="Z212:Z221" ca="1" si="1873">IF(OR($F$8&lt;=2,I212&lt;=0),0,W212*U212/($A212*L212))</f>
        <v>1.7306537635226424E-2</v>
      </c>
      <c r="AA212" s="42">
        <f t="shared" ca="1" si="1755"/>
        <v>-1.302570857267049E-2</v>
      </c>
      <c r="AB212" s="42">
        <f t="shared" ref="AB212:AB221" ca="1" si="1874">IF(OR($F$8&lt;=2,I212&lt;=0),0,(W212*$A212*U212*SQRT(I212))/100)</f>
        <v>0.16620513797420244</v>
      </c>
      <c r="AC212" s="42">
        <f t="shared" ref="AC212:AC221" ca="1" si="1875">IF(OR($F$8&lt;=2,I212&lt;=0),0,IF($F$8=3,Q212,-1*R212)*F212*I212*S212/100)</f>
        <v>-9.2666785853637385E-2</v>
      </c>
      <c r="AD212" s="42">
        <f t="shared" ref="AD212:AD221" ca="1" si="1876">IF($F$8=1,0,IF($M$28=1,X212-$G$8,OFFSET(V212,0,$M$28))*IF($M$30=1,SIGN($B$8),$T$8))</f>
        <v>-723.31734499280856</v>
      </c>
      <c r="AF212" s="36">
        <f t="shared" si="664"/>
        <v>80</v>
      </c>
      <c r="AG212" s="35">
        <f t="shared" si="1758"/>
        <v>0.28399999999999997</v>
      </c>
      <c r="AH212" s="197">
        <f t="shared" ca="1" si="1313"/>
        <v>169.23611111111677</v>
      </c>
      <c r="AI212" s="41">
        <f t="shared" ca="1" si="1759"/>
        <v>0.46366057838662128</v>
      </c>
      <c r="AJ212" s="40">
        <f t="shared" ref="AJ212:AJ221" ca="1" si="1877">LN($A212/AF212)</f>
        <v>6.5319466120642669E-2</v>
      </c>
      <c r="AK212" s="40">
        <f t="shared" ref="AK212:AK221" ca="1" si="1878">($E212-$D212+POWER(AG212,2)/2)*AI212</f>
        <v>2.5189751902588361E-2</v>
      </c>
      <c r="AL212" s="40">
        <f t="shared" ref="AL212:AL221" ca="1" si="1879">MAX(0,0.000000000001,AG212*SQRT(AI212))</f>
        <v>0.19338305926412305</v>
      </c>
      <c r="AM212" s="42">
        <f t="shared" ref="AM212:AM221" ca="1" si="1880">(AJ212+AK212)/AL212</f>
        <v>0.46803074875143702</v>
      </c>
      <c r="AN212" s="42">
        <f t="shared" ref="AN212:AN221" ca="1" si="1881">AM212-AL212</f>
        <v>0.274647689487314</v>
      </c>
      <c r="AO212" s="42">
        <f t="shared" ref="AO212:AO221" ca="1" si="1882">_xlfn.NORM.DIST(AM212,0,1,TRUE)</f>
        <v>0.68011869960825055</v>
      </c>
      <c r="AP212" s="42">
        <f t="shared" ref="AP212:AP221" ca="1" si="1883">_xlfn.NORM.DIST(-AM212,0,1,TRUE)</f>
        <v>0.31988130039174945</v>
      </c>
      <c r="AQ212" s="42">
        <f t="shared" ref="AQ212:AQ221" ca="1" si="1884">_xlfn.NORM.DIST(AN212,0,1,TRUE)</f>
        <v>0.60820653811473968</v>
      </c>
      <c r="AR212" s="42">
        <f t="shared" ref="AR212:AR221" ca="1" si="1885">_xlfn.NORM.DIST(-AN212,0,1,TRUE)</f>
        <v>0.39179346188526026</v>
      </c>
      <c r="AS212" s="42">
        <f t="shared" ref="AS212:AS221" ca="1" si="1886">EXP(-$E212*AI212)</f>
        <v>0.98162450344672281</v>
      </c>
      <c r="AT212" s="42">
        <f t="shared" ref="AT212:AT221" ca="1" si="1887">AF212*AS212</f>
        <v>78.529960275737821</v>
      </c>
      <c r="AU212" s="42">
        <f t="shared" ref="AU212:AU221" ca="1" si="1888">EXP(-$D212*AI212)</f>
        <v>0.98801719747153338</v>
      </c>
      <c r="AV212" s="42">
        <f t="shared" ref="AV212:AV221" ca="1" si="1889">$A212*AU212</f>
        <v>84.376668664068958</v>
      </c>
      <c r="AW212" s="42">
        <f t="shared" ref="AW212:AW221" ca="1" si="1890">EXP(-1*POWER(AM212,2)/2)/SQRT(2*PI())</f>
        <v>0.3575554142041969</v>
      </c>
      <c r="AX212" s="42">
        <f t="shared" ref="AX212:AX221" ca="1" si="1891">IF($F$10=1,0,IF($F$10=2,$A212,IF($F$10=3,AV212*AO212-AT212*AQ212,AT212*AR212-AV212*AP212)))</f>
        <v>3.777006503157132</v>
      </c>
      <c r="AY212" s="42">
        <f t="shared" ref="AY212:AY221" ca="1" si="1892">IF($F$10=2,1,IF(OR($F$10=1,AI212&lt;=0),0,IF($F$10=3,AO212*AU212,(AO212-1)*AU212)))</f>
        <v>-0.31604822593660598</v>
      </c>
      <c r="AZ212" s="42">
        <f t="shared" ref="AZ212:AZ221" ca="1" si="1893">IF(OR($F$10&lt;=2,AI212&lt;=0),0,AW212*AU212/($A212*AL212))</f>
        <v>2.1391023537115056E-2</v>
      </c>
      <c r="BA212" s="42">
        <f t="shared" ca="1" si="1777"/>
        <v>-1.5787806699479157E-2</v>
      </c>
      <c r="BB212" s="42">
        <f t="shared" ref="BB212:BB221" ca="1" si="1894">IF(OR($F$10&lt;=2,AI212&lt;=0),0,(AW212*$A212*AU212*SQRT(AI212))/100)</f>
        <v>0.20543092404335248</v>
      </c>
      <c r="BC212" s="42">
        <f t="shared" ref="BC212:BC221" ca="1" si="1895">IF(OR($F$10&lt;=2,AI212&lt;=0),0,IF($F$10=3,AQ212,-1*AR212)*AF212*AI212*AS212/100)</f>
        <v>-0.14265688436163948</v>
      </c>
      <c r="BD212" s="42">
        <f t="shared" ref="BD212:BD221" ca="1" si="1896">IF($F$10=1,0,IF($M$28=1,AX212-$G$10,OFFSET(AV212,0,$M$28))*IF($M$30=1,SIGN($B$10),$T$10))</f>
        <v>936.49674842143418</v>
      </c>
      <c r="BE212" s="40"/>
      <c r="BF212" s="36">
        <f t="shared" si="687"/>
        <v>90</v>
      </c>
      <c r="BG212" s="35">
        <f t="shared" si="1780"/>
        <v>0.28399999999999997</v>
      </c>
      <c r="BH212" s="197">
        <f t="shared" ca="1" si="1336"/>
        <v>169.23611111111677</v>
      </c>
      <c r="BI212" s="41">
        <f t="shared" ca="1" si="1781"/>
        <v>0.46366057838662128</v>
      </c>
      <c r="BJ212" s="40">
        <f t="shared" ref="BJ212:BJ221" ca="1" si="1897">LN($A212/BF212)</f>
        <v>-5.2463569535740766E-2</v>
      </c>
      <c r="BK212" s="40">
        <f t="shared" ref="BK212:BK221" ca="1" si="1898">($E212-$D212+POWER(BG212,2)/2)*BI212</f>
        <v>2.5189751902588361E-2</v>
      </c>
      <c r="BL212" s="40">
        <f t="shared" ref="BL212:BL221" ca="1" si="1899">MAX(0,0.000000000001,BG212*SQRT(BI212))</f>
        <v>0.19338305926412305</v>
      </c>
      <c r="BM212" s="42">
        <f t="shared" ref="BM212:BM221" ca="1" si="1900">(BJ212+BK212)/BL212</f>
        <v>-0.14103519582809868</v>
      </c>
      <c r="BN212" s="42">
        <f t="shared" ref="BN212:BN221" ca="1" si="1901">BM212-BL212</f>
        <v>-0.33441825509222173</v>
      </c>
      <c r="BO212" s="42">
        <f t="shared" ref="BO212:BO221" ca="1" si="1902">_xlfn.NORM.DIST(BM212,0,1,TRUE)</f>
        <v>0.44392106898616246</v>
      </c>
      <c r="BP212" s="42">
        <f t="shared" ref="BP212:BP221" ca="1" si="1903">_xlfn.NORM.DIST(-BM212,0,1,TRUE)</f>
        <v>0.55607893101383754</v>
      </c>
      <c r="BQ212" s="42">
        <f t="shared" ref="BQ212:BQ221" ca="1" si="1904">_xlfn.NORM.DIST(BN212,0,1,TRUE)</f>
        <v>0.36903198301145818</v>
      </c>
      <c r="BR212" s="42">
        <f t="shared" ref="BR212:BR221" ca="1" si="1905">_xlfn.NORM.DIST(-BN212,0,1,TRUE)</f>
        <v>0.63096801698854188</v>
      </c>
      <c r="BS212" s="42">
        <f t="shared" ref="BS212:BS221" ca="1" si="1906">EXP(-$E212*BI212)</f>
        <v>0.98162450344672281</v>
      </c>
      <c r="BT212" s="42">
        <f t="shared" ref="BT212:BT221" ca="1" si="1907">BF212*BS212</f>
        <v>88.34620531020505</v>
      </c>
      <c r="BU212" s="42">
        <f t="shared" ref="BU212:BU221" ca="1" si="1908">EXP(-$D212*BI212)</f>
        <v>0.98801719747153338</v>
      </c>
      <c r="BV212" s="42">
        <f t="shared" ref="BV212:BV221" ca="1" si="1909">$A212*BU212</f>
        <v>84.376668664068958</v>
      </c>
      <c r="BW212" s="42">
        <f t="shared" ref="BW212:BW221" ca="1" si="1910">EXP(-1*POWER(BM212,2)/2)/SQRT(2*PI())</f>
        <v>0.39499427951128013</v>
      </c>
      <c r="BX212" s="42">
        <f t="shared" ref="BX212:BX221" ca="1" si="1911">IF($F$12=1,0,IF($F$12=2,$A212,IF($F$12=3,BV212*BO212-BT212*BQ212,BT212*BR212-BV212*BP212)))</f>
        <v>4.8540056136823466</v>
      </c>
      <c r="BY212" s="42">
        <f t="shared" ref="BY212:BY221" ca="1" si="1912">IF($F$12=2,1,IF(OR($F$12=1,BI212&lt;=0),0,IF($F$12=3,BO212*BU212,(BO212-1)*BU212)))</f>
        <v>0.43860165047827548</v>
      </c>
      <c r="BZ212" s="42">
        <f t="shared" ref="BZ212:BZ221" ca="1" si="1913">IF(OR($F$12&lt;=2,BI212&lt;=0),0,BW212*BU212/($A212*BL212))</f>
        <v>2.3630832017624698E-2</v>
      </c>
      <c r="CA212" s="42">
        <f t="shared" ca="1" si="1799"/>
        <v>-1.9946570164958009E-2</v>
      </c>
      <c r="CB212" s="42">
        <f t="shared" ref="CB212:CB221" ca="1" si="1914">IF(OR($F$12&lt;=2,BI212&lt;=0),0,(BW212*$A212*BU212*SQRT(BI212))/100)</f>
        <v>0.22694115823260852</v>
      </c>
      <c r="CC212" s="42">
        <f t="shared" ref="CC212:CC221" ca="1" si="1915">IF(OR($F$12&lt;=2,BI212&lt;=0),0,IF($F$12=3,BQ212,-1*BR212)*BF212*BI212*BS212/100)</f>
        <v>0.15116528937722107</v>
      </c>
      <c r="CD212" s="42">
        <f t="shared" ref="CD212:CD221" ca="1" si="1916">IF($F$12=1,0,IF($M$28=1,BX212-$G$12,OFFSET(BV212,0,$M$28))*IF($M$30=1,SIGN($B$12),$T$12))</f>
        <v>972.99719315882658</v>
      </c>
      <c r="CE212" s="40"/>
      <c r="CF212" s="36">
        <f t="shared" si="710"/>
        <v>95</v>
      </c>
      <c r="CG212" s="35">
        <f t="shared" si="1802"/>
        <v>0.28399999999999997</v>
      </c>
      <c r="CH212" s="197">
        <f t="shared" ca="1" si="1359"/>
        <v>169.23611111111677</v>
      </c>
      <c r="CI212" s="41">
        <f t="shared" ca="1" si="1803"/>
        <v>0.46366057838662128</v>
      </c>
      <c r="CJ212" s="40">
        <f t="shared" ref="CJ212:CJ221" ca="1" si="1917">LN($A212/CF212)</f>
        <v>-0.10653079080601656</v>
      </c>
      <c r="CK212" s="40">
        <f t="shared" ref="CK212:CK221" ca="1" si="1918">($E212-$D212+POWER(CG212,2)/2)*CI212</f>
        <v>2.5189751902588361E-2</v>
      </c>
      <c r="CL212" s="40">
        <f t="shared" ref="CL212:CL221" ca="1" si="1919">MAX(0,0.000000000001,CG212*SQRT(CI212))</f>
        <v>0.19338305926412305</v>
      </c>
      <c r="CM212" s="42">
        <f t="shared" ref="CM212:CM221" ca="1" si="1920">(CJ212+CK212)/CL212</f>
        <v>-0.42062132646444694</v>
      </c>
      <c r="CN212" s="42">
        <f t="shared" ref="CN212:CN221" ca="1" si="1921">CM212-CL212</f>
        <v>-0.61400438572856997</v>
      </c>
      <c r="CO212" s="42">
        <f t="shared" ref="CO212:CO221" ca="1" si="1922">_xlfn.NORM.DIST(CM212,0,1,TRUE)</f>
        <v>0.33701580910706302</v>
      </c>
      <c r="CP212" s="42">
        <f t="shared" ref="CP212:CP221" ca="1" si="1923">_xlfn.NORM.DIST(-CM212,0,1,TRUE)</f>
        <v>0.66298419089293703</v>
      </c>
      <c r="CQ212" s="42">
        <f t="shared" ref="CQ212:CQ221" ca="1" si="1924">_xlfn.NORM.DIST(CN212,0,1,TRUE)</f>
        <v>0.26960621453848232</v>
      </c>
      <c r="CR212" s="42">
        <f t="shared" ref="CR212:CR221" ca="1" si="1925">_xlfn.NORM.DIST(-CN212,0,1,TRUE)</f>
        <v>0.73039378546151768</v>
      </c>
      <c r="CS212" s="42">
        <f t="shared" ref="CS212:CS221" ca="1" si="1926">EXP(-$E212*CI212)</f>
        <v>0.98162450344672281</v>
      </c>
      <c r="CT212" s="42">
        <f t="shared" ref="CT212:CT221" ca="1" si="1927">CF212*CS212</f>
        <v>93.254327827438672</v>
      </c>
      <c r="CU212" s="42">
        <f t="shared" ref="CU212:CU221" ca="1" si="1928">EXP(-$D212*CI212)</f>
        <v>0.98801719747153338</v>
      </c>
      <c r="CV212" s="42">
        <f t="shared" ref="CV212:CV221" ca="1" si="1929">$A212*CU212</f>
        <v>84.376668664068958</v>
      </c>
      <c r="CW212" s="42">
        <f t="shared" ref="CW212:CW221" ca="1" si="1930">EXP(-1*POWER(CM212,2)/2)/SQRT(2*PI())</f>
        <v>0.365167296678925</v>
      </c>
      <c r="CX212" s="42">
        <f t="shared" ref="CX212:CX221" ca="1" si="1931">IF($F$14=1,0,IF($F$14=2,$A212,IF($F$14=3,CV212*CO212-CT212*CQ212,CT212*CR212-CV212*CP212)))</f>
        <v>3.2943249446933756</v>
      </c>
      <c r="CY212" s="42">
        <f t="shared" ref="CY212:CY221" ca="1" si="1932">IF($F$14=2,1,IF(OR($F$14=1,CI212&lt;=0),0,IF($F$14=3,CO212*CU212,(CO212-1)*CU212)))</f>
        <v>0.33297741521756169</v>
      </c>
      <c r="CZ212" s="42">
        <f t="shared" ref="CZ212:CZ221" ca="1" si="1933">IF(OR($F$14&lt;=2,CI212&lt;=0),0,CW212*CU212/($A212*CL212))</f>
        <v>2.1846410172893065E-2</v>
      </c>
      <c r="DA212" s="42">
        <f t="shared" ca="1" si="1821"/>
        <v>-1.8333614860733365E-2</v>
      </c>
      <c r="DB212" s="42">
        <f t="shared" ref="DB212:DB221" ca="1" si="1934">IF(OR($F$14&lt;=2,CI212&lt;=0),0,(CW212*$A212*CU212*SQRT(CI212))/100)</f>
        <v>0.20980427706325602</v>
      </c>
      <c r="DC212" s="42">
        <f t="shared" ref="DC212:DC221" ca="1" si="1935">IF(OR($F$14&lt;=2,CI212&lt;=0),0,IF($F$14=3,CQ212,-1*CR212)*CF212*CI212*CS212/100)</f>
        <v>0.11657329370125608</v>
      </c>
      <c r="DD212" s="42">
        <f t="shared" ref="DD212:DD221" ca="1" si="1936">IF($F$14=1,0,IF($M$28=1,CX212-$G$14,OFFSET(CV212,0,$M$28))*IF($M$30=1,SIGN($B$14),$T$14))</f>
        <v>-927.83752765331235</v>
      </c>
      <c r="DE212" s="40"/>
      <c r="DF212" s="36">
        <f t="shared" si="733"/>
        <v>200</v>
      </c>
      <c r="DG212" s="35">
        <f t="shared" si="1824"/>
        <v>0.28399999999999997</v>
      </c>
      <c r="DH212" s="197">
        <f t="shared" ca="1" si="1382"/>
        <v>169.23611111111677</v>
      </c>
      <c r="DI212" s="41">
        <f t="shared" ca="1" si="1825"/>
        <v>0.46366057838662128</v>
      </c>
      <c r="DJ212" s="40">
        <f t="shared" ref="DJ212:DJ221" ca="1" si="1937">LN($A212/DF212)</f>
        <v>-0.85097126575351234</v>
      </c>
      <c r="DK212" s="40">
        <f t="shared" ref="DK212:DK221" ca="1" si="1938">($E212-$D212+POWER(DG212,2)/2)*DI212</f>
        <v>2.5189751902588361E-2</v>
      </c>
      <c r="DL212" s="40">
        <f t="shared" ref="DL212:DL221" ca="1" si="1939">MAX(0,0.000000000001,DG212*SQRT(DI212))</f>
        <v>0.19338305926412305</v>
      </c>
      <c r="DM212" s="42">
        <f t="shared" ref="DM212:DM221" ca="1" si="1940">(DJ212+DK212)/DL212</f>
        <v>-4.2701853874545943</v>
      </c>
      <c r="DN212" s="42">
        <f t="shared" ref="DN212:DN221" ca="1" si="1941">DM212-DL212</f>
        <v>-4.4635684467187176</v>
      </c>
      <c r="DO212" s="42">
        <f t="shared" ref="DO212:DO221" ca="1" si="1942">_xlfn.NORM.DIST(DM212,0,1,TRUE)</f>
        <v>9.7655276518789487E-6</v>
      </c>
      <c r="DP212" s="42">
        <f t="shared" ref="DP212:DP221" ca="1" si="1943">_xlfn.NORM.DIST(-DM212,0,1,TRUE)</f>
        <v>0.99999023447234814</v>
      </c>
      <c r="DQ212" s="42">
        <f t="shared" ref="DQ212:DQ221" ca="1" si="1944">_xlfn.NORM.DIST(DN212,0,1,TRUE)</f>
        <v>4.0302916462733568E-6</v>
      </c>
      <c r="DR212" s="42">
        <f t="shared" ref="DR212:DR221" ca="1" si="1945">_xlfn.NORM.DIST(-DN212,0,1,TRUE)</f>
        <v>0.99999596970835369</v>
      </c>
      <c r="DS212" s="42">
        <f t="shared" ref="DS212:DS221" ca="1" si="1946">EXP(-$E212*DI212)</f>
        <v>0.98162450344672281</v>
      </c>
      <c r="DT212" s="42">
        <f t="shared" ref="DT212:DT221" ca="1" si="1947">DF212*DS212</f>
        <v>196.32490068934456</v>
      </c>
      <c r="DU212" s="42">
        <f t="shared" ref="DU212:DU221" ca="1" si="1948">EXP(-$D212*DI212)</f>
        <v>0.98801719747153338</v>
      </c>
      <c r="DV212" s="42">
        <f t="shared" ref="DV212:DV221" ca="1" si="1949">$A212*DU212</f>
        <v>84.376668664068958</v>
      </c>
      <c r="DW212" s="42">
        <f t="shared" ref="DW212:DW221" ca="1" si="1950">EXP(-1*POWER(DM212,2)/2)/SQRT(2*PI())</f>
        <v>4.3786712472282578E-5</v>
      </c>
      <c r="DX212" s="42">
        <f t="shared" ref="DX212:DX221" si="1951">IF($F$16=1,0,IF($F$16=2,$A212,IF($F$16=3,DV212*DO212-DT212*DQ212,DT212*DR212-DV212*DP212)))</f>
        <v>0</v>
      </c>
      <c r="DY212" s="92">
        <f t="shared" ref="DY212:DY221" ca="1" si="1952">IF($F$16=2,1,IF(OR($F$16=1,DI212&lt;=0),0,IF($F$16=3,DO212*DU212,(DO212-1)*DU212)))</f>
        <v>0</v>
      </c>
      <c r="DZ212" s="42">
        <f t="shared" ref="DZ212:DZ221" ca="1" si="1953">IF(OR($F$16&lt;=2,DI212&lt;=0),0,DW212*DU212/($A212*DL212))</f>
        <v>0</v>
      </c>
      <c r="EA212" s="42">
        <f t="shared" ca="1" si="1843"/>
        <v>0</v>
      </c>
      <c r="EB212" s="42">
        <f t="shared" ref="EB212:EB221" ca="1" si="1954">IF(OR($F$16&lt;=2,DI212&lt;=0),0,(DW212*$A212*DU212*SQRT(DI212))/100)</f>
        <v>0</v>
      </c>
      <c r="EC212" s="42">
        <f t="shared" ref="EC212:EC221" ca="1" si="1955">IF(OR($F$16&lt;=2,DI212&lt;=0),0,IF($F$16=3,DQ212,-1*DR212)*DF212*DI212*DS212/100)</f>
        <v>0</v>
      </c>
      <c r="ED212" s="42">
        <f t="shared" ref="ED212:ED221" ca="1" si="1956">IF($F$16=1,0,IF($M$28=1,DX212-$G$16,OFFSET(DV212,0,$M$28))*IF($M$30=1,SIGN($B$16),$T$16))</f>
        <v>0</v>
      </c>
      <c r="EE212" s="40"/>
      <c r="EF212" s="120">
        <f t="shared" ca="1" si="756"/>
        <v>85.4</v>
      </c>
      <c r="EG212" s="42">
        <f t="shared" ca="1" si="1846"/>
        <v>258.33906893413985</v>
      </c>
      <c r="EH212" s="36">
        <f t="shared" ca="1" si="1847"/>
        <v>258.33906893413985</v>
      </c>
      <c r="EI212" s="143">
        <f t="shared" ca="1" si="1848"/>
        <v>258.339</v>
      </c>
      <c r="EJ212" s="143">
        <f t="shared" ca="1" si="1856"/>
        <v>0</v>
      </c>
      <c r="EK212" s="153">
        <f t="shared" ca="1" si="1849"/>
        <v>0</v>
      </c>
      <c r="EL212" s="143">
        <f t="shared" ca="1" si="1850"/>
        <v>0</v>
      </c>
    </row>
    <row r="213" spans="1:142" x14ac:dyDescent="0.3">
      <c r="A213" s="143">
        <f t="shared" ca="1" si="1851"/>
        <v>85.4</v>
      </c>
      <c r="B213" s="144">
        <f t="shared" ca="1" si="1852"/>
        <v>0.28399999999999997</v>
      </c>
      <c r="C213" s="145">
        <f t="shared" ca="1" si="1853"/>
        <v>45295.440972222219</v>
      </c>
      <c r="D213" s="144">
        <f t="shared" ca="1" si="1854"/>
        <v>2.5999999999999999E-2</v>
      </c>
      <c r="E213" s="144">
        <f t="shared" ca="1" si="1855"/>
        <v>0.04</v>
      </c>
      <c r="F213" s="36">
        <f t="shared" si="641"/>
        <v>75</v>
      </c>
      <c r="G213" s="35">
        <f t="shared" si="1736"/>
        <v>0.28399999999999997</v>
      </c>
      <c r="H213" s="197">
        <f t="shared" ca="1" si="1290"/>
        <v>169.23611111111677</v>
      </c>
      <c r="I213" s="41">
        <f t="shared" ca="1" si="1737"/>
        <v>0.46366057838662128</v>
      </c>
      <c r="J213" s="40">
        <f t="shared" ca="1" si="1857"/>
        <v>0.12985798725821379</v>
      </c>
      <c r="K213" s="40">
        <f t="shared" ca="1" si="1858"/>
        <v>2.5189751902588361E-2</v>
      </c>
      <c r="L213" s="40">
        <f t="shared" ca="1" si="1859"/>
        <v>0.19338305926412305</v>
      </c>
      <c r="M213" s="42">
        <f t="shared" ca="1" si="1860"/>
        <v>0.80176484822818728</v>
      </c>
      <c r="N213" s="42">
        <f t="shared" ca="1" si="1861"/>
        <v>0.60838178896406425</v>
      </c>
      <c r="O213" s="42">
        <f t="shared" ca="1" si="1862"/>
        <v>0.78865550202522283</v>
      </c>
      <c r="P213" s="42">
        <f t="shared" ca="1" si="1863"/>
        <v>0.21134449797477717</v>
      </c>
      <c r="Q213" s="42">
        <f t="shared" ca="1" si="1864"/>
        <v>0.72853285658034883</v>
      </c>
      <c r="R213" s="42">
        <f t="shared" ca="1" si="1865"/>
        <v>0.27146714341965111</v>
      </c>
      <c r="S213" s="42">
        <f t="shared" ca="1" si="1866"/>
        <v>0.98162450344672281</v>
      </c>
      <c r="T213" s="42">
        <f t="shared" ca="1" si="1867"/>
        <v>73.621837758504213</v>
      </c>
      <c r="U213" s="42">
        <f t="shared" ca="1" si="1868"/>
        <v>0.98801719747153338</v>
      </c>
      <c r="V213" s="42">
        <f t="shared" ca="1" si="1869"/>
        <v>84.376668664068958</v>
      </c>
      <c r="W213" s="42">
        <f t="shared" ca="1" si="1870"/>
        <v>0.28928238154977365</v>
      </c>
      <c r="X213" s="42">
        <f t="shared" ca="1" si="1871"/>
        <v>2.153365310014383</v>
      </c>
      <c r="Y213" s="42">
        <f t="shared" ca="1" si="1872"/>
        <v>-0.20881199859006749</v>
      </c>
      <c r="Z213" s="42">
        <f t="shared" ca="1" si="1873"/>
        <v>1.7306537635226424E-2</v>
      </c>
      <c r="AA213" s="42">
        <f t="shared" ca="1" si="1755"/>
        <v>-1.302570857267049E-2</v>
      </c>
      <c r="AB213" s="42">
        <f t="shared" ca="1" si="1874"/>
        <v>0.16620513797420244</v>
      </c>
      <c r="AC213" s="42">
        <f t="shared" ca="1" si="1875"/>
        <v>-9.2666785853637385E-2</v>
      </c>
      <c r="AD213" s="42">
        <f t="shared" ca="1" si="1876"/>
        <v>-723.31734499280856</v>
      </c>
      <c r="AF213" s="36">
        <f t="shared" si="664"/>
        <v>80</v>
      </c>
      <c r="AG213" s="35">
        <f t="shared" si="1758"/>
        <v>0.28399999999999997</v>
      </c>
      <c r="AH213" s="197">
        <f t="shared" ca="1" si="1313"/>
        <v>169.23611111111677</v>
      </c>
      <c r="AI213" s="41">
        <f t="shared" ca="1" si="1759"/>
        <v>0.46366057838662128</v>
      </c>
      <c r="AJ213" s="40">
        <f t="shared" ca="1" si="1877"/>
        <v>6.5319466120642669E-2</v>
      </c>
      <c r="AK213" s="40">
        <f t="shared" ca="1" si="1878"/>
        <v>2.5189751902588361E-2</v>
      </c>
      <c r="AL213" s="40">
        <f t="shared" ca="1" si="1879"/>
        <v>0.19338305926412305</v>
      </c>
      <c r="AM213" s="42">
        <f t="shared" ca="1" si="1880"/>
        <v>0.46803074875143702</v>
      </c>
      <c r="AN213" s="42">
        <f t="shared" ca="1" si="1881"/>
        <v>0.274647689487314</v>
      </c>
      <c r="AO213" s="42">
        <f t="shared" ca="1" si="1882"/>
        <v>0.68011869960825055</v>
      </c>
      <c r="AP213" s="42">
        <f t="shared" ca="1" si="1883"/>
        <v>0.31988130039174945</v>
      </c>
      <c r="AQ213" s="42">
        <f t="shared" ca="1" si="1884"/>
        <v>0.60820653811473968</v>
      </c>
      <c r="AR213" s="42">
        <f t="shared" ca="1" si="1885"/>
        <v>0.39179346188526026</v>
      </c>
      <c r="AS213" s="42">
        <f t="shared" ca="1" si="1886"/>
        <v>0.98162450344672281</v>
      </c>
      <c r="AT213" s="42">
        <f t="shared" ca="1" si="1887"/>
        <v>78.529960275737821</v>
      </c>
      <c r="AU213" s="42">
        <f t="shared" ca="1" si="1888"/>
        <v>0.98801719747153338</v>
      </c>
      <c r="AV213" s="42">
        <f t="shared" ca="1" si="1889"/>
        <v>84.376668664068958</v>
      </c>
      <c r="AW213" s="42">
        <f t="shared" ca="1" si="1890"/>
        <v>0.3575554142041969</v>
      </c>
      <c r="AX213" s="42">
        <f t="shared" ca="1" si="1891"/>
        <v>3.777006503157132</v>
      </c>
      <c r="AY213" s="42">
        <f t="shared" ca="1" si="1892"/>
        <v>-0.31604822593660598</v>
      </c>
      <c r="AZ213" s="42">
        <f t="shared" ca="1" si="1893"/>
        <v>2.1391023537115056E-2</v>
      </c>
      <c r="BA213" s="42">
        <f t="shared" ca="1" si="1777"/>
        <v>-1.5787806699479157E-2</v>
      </c>
      <c r="BB213" s="42">
        <f t="shared" ca="1" si="1894"/>
        <v>0.20543092404335248</v>
      </c>
      <c r="BC213" s="42">
        <f t="shared" ca="1" si="1895"/>
        <v>-0.14265688436163948</v>
      </c>
      <c r="BD213" s="42">
        <f t="shared" ca="1" si="1896"/>
        <v>936.49674842143418</v>
      </c>
      <c r="BE213" s="40"/>
      <c r="BF213" s="36">
        <f t="shared" si="687"/>
        <v>90</v>
      </c>
      <c r="BG213" s="35">
        <f t="shared" si="1780"/>
        <v>0.28399999999999997</v>
      </c>
      <c r="BH213" s="197">
        <f t="shared" ca="1" si="1336"/>
        <v>169.23611111111677</v>
      </c>
      <c r="BI213" s="41">
        <f t="shared" ca="1" si="1781"/>
        <v>0.46366057838662128</v>
      </c>
      <c r="BJ213" s="40">
        <f t="shared" ca="1" si="1897"/>
        <v>-5.2463569535740766E-2</v>
      </c>
      <c r="BK213" s="40">
        <f t="shared" ca="1" si="1898"/>
        <v>2.5189751902588361E-2</v>
      </c>
      <c r="BL213" s="40">
        <f t="shared" ca="1" si="1899"/>
        <v>0.19338305926412305</v>
      </c>
      <c r="BM213" s="42">
        <f t="shared" ca="1" si="1900"/>
        <v>-0.14103519582809868</v>
      </c>
      <c r="BN213" s="42">
        <f t="shared" ca="1" si="1901"/>
        <v>-0.33441825509222173</v>
      </c>
      <c r="BO213" s="42">
        <f t="shared" ca="1" si="1902"/>
        <v>0.44392106898616246</v>
      </c>
      <c r="BP213" s="42">
        <f t="shared" ca="1" si="1903"/>
        <v>0.55607893101383754</v>
      </c>
      <c r="BQ213" s="42">
        <f t="shared" ca="1" si="1904"/>
        <v>0.36903198301145818</v>
      </c>
      <c r="BR213" s="42">
        <f t="shared" ca="1" si="1905"/>
        <v>0.63096801698854188</v>
      </c>
      <c r="BS213" s="42">
        <f t="shared" ca="1" si="1906"/>
        <v>0.98162450344672281</v>
      </c>
      <c r="BT213" s="42">
        <f t="shared" ca="1" si="1907"/>
        <v>88.34620531020505</v>
      </c>
      <c r="BU213" s="42">
        <f t="shared" ca="1" si="1908"/>
        <v>0.98801719747153338</v>
      </c>
      <c r="BV213" s="42">
        <f t="shared" ca="1" si="1909"/>
        <v>84.376668664068958</v>
      </c>
      <c r="BW213" s="42">
        <f t="shared" ca="1" si="1910"/>
        <v>0.39499427951128013</v>
      </c>
      <c r="BX213" s="42">
        <f t="shared" ca="1" si="1911"/>
        <v>4.8540056136823466</v>
      </c>
      <c r="BY213" s="42">
        <f t="shared" ca="1" si="1912"/>
        <v>0.43860165047827548</v>
      </c>
      <c r="BZ213" s="42">
        <f t="shared" ca="1" si="1913"/>
        <v>2.3630832017624698E-2</v>
      </c>
      <c r="CA213" s="42">
        <f t="shared" ca="1" si="1799"/>
        <v>-1.9946570164958009E-2</v>
      </c>
      <c r="CB213" s="42">
        <f t="shared" ca="1" si="1914"/>
        <v>0.22694115823260852</v>
      </c>
      <c r="CC213" s="42">
        <f t="shared" ca="1" si="1915"/>
        <v>0.15116528937722107</v>
      </c>
      <c r="CD213" s="42">
        <f t="shared" ca="1" si="1916"/>
        <v>972.99719315882658</v>
      </c>
      <c r="CE213" s="40"/>
      <c r="CF213" s="36">
        <f t="shared" si="710"/>
        <v>95</v>
      </c>
      <c r="CG213" s="35">
        <f t="shared" si="1802"/>
        <v>0.28399999999999997</v>
      </c>
      <c r="CH213" s="197">
        <f t="shared" ca="1" si="1359"/>
        <v>169.23611111111677</v>
      </c>
      <c r="CI213" s="41">
        <f t="shared" ca="1" si="1803"/>
        <v>0.46366057838662128</v>
      </c>
      <c r="CJ213" s="40">
        <f t="shared" ca="1" si="1917"/>
        <v>-0.10653079080601656</v>
      </c>
      <c r="CK213" s="40">
        <f t="shared" ca="1" si="1918"/>
        <v>2.5189751902588361E-2</v>
      </c>
      <c r="CL213" s="40">
        <f t="shared" ca="1" si="1919"/>
        <v>0.19338305926412305</v>
      </c>
      <c r="CM213" s="42">
        <f t="shared" ca="1" si="1920"/>
        <v>-0.42062132646444694</v>
      </c>
      <c r="CN213" s="42">
        <f t="shared" ca="1" si="1921"/>
        <v>-0.61400438572856997</v>
      </c>
      <c r="CO213" s="42">
        <f t="shared" ca="1" si="1922"/>
        <v>0.33701580910706302</v>
      </c>
      <c r="CP213" s="42">
        <f t="shared" ca="1" si="1923"/>
        <v>0.66298419089293703</v>
      </c>
      <c r="CQ213" s="42">
        <f t="shared" ca="1" si="1924"/>
        <v>0.26960621453848232</v>
      </c>
      <c r="CR213" s="42">
        <f t="shared" ca="1" si="1925"/>
        <v>0.73039378546151768</v>
      </c>
      <c r="CS213" s="42">
        <f t="shared" ca="1" si="1926"/>
        <v>0.98162450344672281</v>
      </c>
      <c r="CT213" s="42">
        <f t="shared" ca="1" si="1927"/>
        <v>93.254327827438672</v>
      </c>
      <c r="CU213" s="42">
        <f t="shared" ca="1" si="1928"/>
        <v>0.98801719747153338</v>
      </c>
      <c r="CV213" s="42">
        <f t="shared" ca="1" si="1929"/>
        <v>84.376668664068958</v>
      </c>
      <c r="CW213" s="42">
        <f t="shared" ca="1" si="1930"/>
        <v>0.365167296678925</v>
      </c>
      <c r="CX213" s="42">
        <f t="shared" ca="1" si="1931"/>
        <v>3.2943249446933756</v>
      </c>
      <c r="CY213" s="42">
        <f t="shared" ca="1" si="1932"/>
        <v>0.33297741521756169</v>
      </c>
      <c r="CZ213" s="42">
        <f t="shared" ca="1" si="1933"/>
        <v>2.1846410172893065E-2</v>
      </c>
      <c r="DA213" s="42">
        <f t="shared" ca="1" si="1821"/>
        <v>-1.8333614860733365E-2</v>
      </c>
      <c r="DB213" s="42">
        <f t="shared" ca="1" si="1934"/>
        <v>0.20980427706325602</v>
      </c>
      <c r="DC213" s="42">
        <f t="shared" ca="1" si="1935"/>
        <v>0.11657329370125608</v>
      </c>
      <c r="DD213" s="42">
        <f t="shared" ca="1" si="1936"/>
        <v>-927.83752765331235</v>
      </c>
      <c r="DE213" s="40"/>
      <c r="DF213" s="36">
        <f t="shared" si="733"/>
        <v>200</v>
      </c>
      <c r="DG213" s="35">
        <f t="shared" si="1824"/>
        <v>0.28399999999999997</v>
      </c>
      <c r="DH213" s="197">
        <f t="shared" ca="1" si="1382"/>
        <v>169.23611111111677</v>
      </c>
      <c r="DI213" s="41">
        <f t="shared" ca="1" si="1825"/>
        <v>0.46366057838662128</v>
      </c>
      <c r="DJ213" s="40">
        <f t="shared" ca="1" si="1937"/>
        <v>-0.85097126575351234</v>
      </c>
      <c r="DK213" s="40">
        <f t="shared" ca="1" si="1938"/>
        <v>2.5189751902588361E-2</v>
      </c>
      <c r="DL213" s="40">
        <f t="shared" ca="1" si="1939"/>
        <v>0.19338305926412305</v>
      </c>
      <c r="DM213" s="42">
        <f t="shared" ca="1" si="1940"/>
        <v>-4.2701853874545943</v>
      </c>
      <c r="DN213" s="42">
        <f t="shared" ca="1" si="1941"/>
        <v>-4.4635684467187176</v>
      </c>
      <c r="DO213" s="42">
        <f t="shared" ca="1" si="1942"/>
        <v>9.7655276518789487E-6</v>
      </c>
      <c r="DP213" s="42">
        <f t="shared" ca="1" si="1943"/>
        <v>0.99999023447234814</v>
      </c>
      <c r="DQ213" s="42">
        <f t="shared" ca="1" si="1944"/>
        <v>4.0302916462733568E-6</v>
      </c>
      <c r="DR213" s="42">
        <f t="shared" ca="1" si="1945"/>
        <v>0.99999596970835369</v>
      </c>
      <c r="DS213" s="42">
        <f t="shared" ca="1" si="1946"/>
        <v>0.98162450344672281</v>
      </c>
      <c r="DT213" s="42">
        <f t="shared" ca="1" si="1947"/>
        <v>196.32490068934456</v>
      </c>
      <c r="DU213" s="42">
        <f t="shared" ca="1" si="1948"/>
        <v>0.98801719747153338</v>
      </c>
      <c r="DV213" s="42">
        <f t="shared" ca="1" si="1949"/>
        <v>84.376668664068958</v>
      </c>
      <c r="DW213" s="42">
        <f t="shared" ca="1" si="1950"/>
        <v>4.3786712472282578E-5</v>
      </c>
      <c r="DX213" s="42">
        <f t="shared" si="1951"/>
        <v>0</v>
      </c>
      <c r="DY213" s="92">
        <f t="shared" ca="1" si="1952"/>
        <v>0</v>
      </c>
      <c r="DZ213" s="42">
        <f t="shared" ca="1" si="1953"/>
        <v>0</v>
      </c>
      <c r="EA213" s="42">
        <f t="shared" ca="1" si="1843"/>
        <v>0</v>
      </c>
      <c r="EB213" s="42">
        <f t="shared" ca="1" si="1954"/>
        <v>0</v>
      </c>
      <c r="EC213" s="42">
        <f t="shared" ca="1" si="1955"/>
        <v>0</v>
      </c>
      <c r="ED213" s="42">
        <f t="shared" ca="1" si="1956"/>
        <v>0</v>
      </c>
      <c r="EE213" s="40"/>
      <c r="EF213" s="120">
        <f t="shared" ca="1" si="756"/>
        <v>85.4</v>
      </c>
      <c r="EG213" s="42">
        <f t="shared" ca="1" si="1846"/>
        <v>258.33906893413985</v>
      </c>
      <c r="EH213" s="36">
        <f t="shared" ca="1" si="1847"/>
        <v>258.33906893413985</v>
      </c>
      <c r="EI213" s="143">
        <f t="shared" ca="1" si="1848"/>
        <v>258.339</v>
      </c>
      <c r="EJ213" s="143">
        <f t="shared" ca="1" si="1856"/>
        <v>0</v>
      </c>
      <c r="EK213" s="153">
        <f t="shared" ca="1" si="1849"/>
        <v>0</v>
      </c>
      <c r="EL213" s="143">
        <f t="shared" ca="1" si="1850"/>
        <v>0</v>
      </c>
    </row>
    <row r="214" spans="1:142" x14ac:dyDescent="0.3">
      <c r="A214" s="143">
        <f t="shared" ca="1" si="1851"/>
        <v>85.4</v>
      </c>
      <c r="B214" s="144">
        <f t="shared" ca="1" si="1852"/>
        <v>0.28399999999999997</v>
      </c>
      <c r="C214" s="145">
        <f t="shared" ca="1" si="1853"/>
        <v>45295.440972222219</v>
      </c>
      <c r="D214" s="144">
        <f t="shared" ca="1" si="1854"/>
        <v>2.5999999999999999E-2</v>
      </c>
      <c r="E214" s="144">
        <f t="shared" ca="1" si="1855"/>
        <v>0.04</v>
      </c>
      <c r="F214" s="36">
        <f t="shared" si="641"/>
        <v>75</v>
      </c>
      <c r="G214" s="35">
        <f t="shared" si="1736"/>
        <v>0.28399999999999997</v>
      </c>
      <c r="H214" s="197">
        <f t="shared" ca="1" si="1290"/>
        <v>169.23611111111677</v>
      </c>
      <c r="I214" s="41">
        <f t="shared" ca="1" si="1737"/>
        <v>0.46366057838662128</v>
      </c>
      <c r="J214" s="40">
        <f t="shared" ca="1" si="1857"/>
        <v>0.12985798725821379</v>
      </c>
      <c r="K214" s="40">
        <f t="shared" ca="1" si="1858"/>
        <v>2.5189751902588361E-2</v>
      </c>
      <c r="L214" s="40">
        <f t="shared" ca="1" si="1859"/>
        <v>0.19338305926412305</v>
      </c>
      <c r="M214" s="42">
        <f t="shared" ca="1" si="1860"/>
        <v>0.80176484822818728</v>
      </c>
      <c r="N214" s="42">
        <f t="shared" ca="1" si="1861"/>
        <v>0.60838178896406425</v>
      </c>
      <c r="O214" s="42">
        <f t="shared" ca="1" si="1862"/>
        <v>0.78865550202522283</v>
      </c>
      <c r="P214" s="42">
        <f t="shared" ca="1" si="1863"/>
        <v>0.21134449797477717</v>
      </c>
      <c r="Q214" s="42">
        <f t="shared" ca="1" si="1864"/>
        <v>0.72853285658034883</v>
      </c>
      <c r="R214" s="42">
        <f t="shared" ca="1" si="1865"/>
        <v>0.27146714341965111</v>
      </c>
      <c r="S214" s="42">
        <f t="shared" ca="1" si="1866"/>
        <v>0.98162450344672281</v>
      </c>
      <c r="T214" s="42">
        <f t="shared" ca="1" si="1867"/>
        <v>73.621837758504213</v>
      </c>
      <c r="U214" s="42">
        <f t="shared" ca="1" si="1868"/>
        <v>0.98801719747153338</v>
      </c>
      <c r="V214" s="42">
        <f t="shared" ca="1" si="1869"/>
        <v>84.376668664068958</v>
      </c>
      <c r="W214" s="42">
        <f t="shared" ca="1" si="1870"/>
        <v>0.28928238154977365</v>
      </c>
      <c r="X214" s="42">
        <f t="shared" ca="1" si="1871"/>
        <v>2.153365310014383</v>
      </c>
      <c r="Y214" s="42">
        <f t="shared" ca="1" si="1872"/>
        <v>-0.20881199859006749</v>
      </c>
      <c r="Z214" s="42">
        <f t="shared" ca="1" si="1873"/>
        <v>1.7306537635226424E-2</v>
      </c>
      <c r="AA214" s="42">
        <f t="shared" ca="1" si="1755"/>
        <v>-1.302570857267049E-2</v>
      </c>
      <c r="AB214" s="42">
        <f t="shared" ca="1" si="1874"/>
        <v>0.16620513797420244</v>
      </c>
      <c r="AC214" s="42">
        <f t="shared" ca="1" si="1875"/>
        <v>-9.2666785853637385E-2</v>
      </c>
      <c r="AD214" s="42">
        <f t="shared" ca="1" si="1876"/>
        <v>-723.31734499280856</v>
      </c>
      <c r="AF214" s="36">
        <f t="shared" si="664"/>
        <v>80</v>
      </c>
      <c r="AG214" s="35">
        <f t="shared" si="1758"/>
        <v>0.28399999999999997</v>
      </c>
      <c r="AH214" s="197">
        <f t="shared" ca="1" si="1313"/>
        <v>169.23611111111677</v>
      </c>
      <c r="AI214" s="41">
        <f t="shared" ca="1" si="1759"/>
        <v>0.46366057838662128</v>
      </c>
      <c r="AJ214" s="40">
        <f t="shared" ca="1" si="1877"/>
        <v>6.5319466120642669E-2</v>
      </c>
      <c r="AK214" s="40">
        <f t="shared" ca="1" si="1878"/>
        <v>2.5189751902588361E-2</v>
      </c>
      <c r="AL214" s="40">
        <f t="shared" ca="1" si="1879"/>
        <v>0.19338305926412305</v>
      </c>
      <c r="AM214" s="42">
        <f t="shared" ca="1" si="1880"/>
        <v>0.46803074875143702</v>
      </c>
      <c r="AN214" s="42">
        <f t="shared" ca="1" si="1881"/>
        <v>0.274647689487314</v>
      </c>
      <c r="AO214" s="42">
        <f t="shared" ca="1" si="1882"/>
        <v>0.68011869960825055</v>
      </c>
      <c r="AP214" s="42">
        <f t="shared" ca="1" si="1883"/>
        <v>0.31988130039174945</v>
      </c>
      <c r="AQ214" s="42">
        <f t="shared" ca="1" si="1884"/>
        <v>0.60820653811473968</v>
      </c>
      <c r="AR214" s="42">
        <f t="shared" ca="1" si="1885"/>
        <v>0.39179346188526026</v>
      </c>
      <c r="AS214" s="42">
        <f t="shared" ca="1" si="1886"/>
        <v>0.98162450344672281</v>
      </c>
      <c r="AT214" s="42">
        <f t="shared" ca="1" si="1887"/>
        <v>78.529960275737821</v>
      </c>
      <c r="AU214" s="42">
        <f t="shared" ca="1" si="1888"/>
        <v>0.98801719747153338</v>
      </c>
      <c r="AV214" s="42">
        <f t="shared" ca="1" si="1889"/>
        <v>84.376668664068958</v>
      </c>
      <c r="AW214" s="42">
        <f t="shared" ca="1" si="1890"/>
        <v>0.3575554142041969</v>
      </c>
      <c r="AX214" s="42">
        <f t="shared" ca="1" si="1891"/>
        <v>3.777006503157132</v>
      </c>
      <c r="AY214" s="42">
        <f t="shared" ca="1" si="1892"/>
        <v>-0.31604822593660598</v>
      </c>
      <c r="AZ214" s="42">
        <f t="shared" ca="1" si="1893"/>
        <v>2.1391023537115056E-2</v>
      </c>
      <c r="BA214" s="42">
        <f t="shared" ca="1" si="1777"/>
        <v>-1.5787806699479157E-2</v>
      </c>
      <c r="BB214" s="42">
        <f t="shared" ca="1" si="1894"/>
        <v>0.20543092404335248</v>
      </c>
      <c r="BC214" s="42">
        <f t="shared" ca="1" si="1895"/>
        <v>-0.14265688436163948</v>
      </c>
      <c r="BD214" s="42">
        <f t="shared" ca="1" si="1896"/>
        <v>936.49674842143418</v>
      </c>
      <c r="BE214" s="40"/>
      <c r="BF214" s="36">
        <f t="shared" si="687"/>
        <v>90</v>
      </c>
      <c r="BG214" s="35">
        <f t="shared" si="1780"/>
        <v>0.28399999999999997</v>
      </c>
      <c r="BH214" s="197">
        <f t="shared" ca="1" si="1336"/>
        <v>169.23611111111677</v>
      </c>
      <c r="BI214" s="41">
        <f t="shared" ca="1" si="1781"/>
        <v>0.46366057838662128</v>
      </c>
      <c r="BJ214" s="40">
        <f t="shared" ca="1" si="1897"/>
        <v>-5.2463569535740766E-2</v>
      </c>
      <c r="BK214" s="40">
        <f t="shared" ca="1" si="1898"/>
        <v>2.5189751902588361E-2</v>
      </c>
      <c r="BL214" s="40">
        <f t="shared" ca="1" si="1899"/>
        <v>0.19338305926412305</v>
      </c>
      <c r="BM214" s="42">
        <f t="shared" ca="1" si="1900"/>
        <v>-0.14103519582809868</v>
      </c>
      <c r="BN214" s="42">
        <f t="shared" ca="1" si="1901"/>
        <v>-0.33441825509222173</v>
      </c>
      <c r="BO214" s="42">
        <f t="shared" ca="1" si="1902"/>
        <v>0.44392106898616246</v>
      </c>
      <c r="BP214" s="42">
        <f t="shared" ca="1" si="1903"/>
        <v>0.55607893101383754</v>
      </c>
      <c r="BQ214" s="42">
        <f t="shared" ca="1" si="1904"/>
        <v>0.36903198301145818</v>
      </c>
      <c r="BR214" s="42">
        <f t="shared" ca="1" si="1905"/>
        <v>0.63096801698854188</v>
      </c>
      <c r="BS214" s="42">
        <f t="shared" ca="1" si="1906"/>
        <v>0.98162450344672281</v>
      </c>
      <c r="BT214" s="42">
        <f t="shared" ca="1" si="1907"/>
        <v>88.34620531020505</v>
      </c>
      <c r="BU214" s="42">
        <f t="shared" ca="1" si="1908"/>
        <v>0.98801719747153338</v>
      </c>
      <c r="BV214" s="42">
        <f t="shared" ca="1" si="1909"/>
        <v>84.376668664068958</v>
      </c>
      <c r="BW214" s="42">
        <f t="shared" ca="1" si="1910"/>
        <v>0.39499427951128013</v>
      </c>
      <c r="BX214" s="42">
        <f t="shared" ca="1" si="1911"/>
        <v>4.8540056136823466</v>
      </c>
      <c r="BY214" s="42">
        <f t="shared" ca="1" si="1912"/>
        <v>0.43860165047827548</v>
      </c>
      <c r="BZ214" s="42">
        <f t="shared" ca="1" si="1913"/>
        <v>2.3630832017624698E-2</v>
      </c>
      <c r="CA214" s="42">
        <f t="shared" ca="1" si="1799"/>
        <v>-1.9946570164958009E-2</v>
      </c>
      <c r="CB214" s="42">
        <f t="shared" ca="1" si="1914"/>
        <v>0.22694115823260852</v>
      </c>
      <c r="CC214" s="42">
        <f t="shared" ca="1" si="1915"/>
        <v>0.15116528937722107</v>
      </c>
      <c r="CD214" s="42">
        <f t="shared" ca="1" si="1916"/>
        <v>972.99719315882658</v>
      </c>
      <c r="CE214" s="40"/>
      <c r="CF214" s="36">
        <f t="shared" si="710"/>
        <v>95</v>
      </c>
      <c r="CG214" s="35">
        <f t="shared" si="1802"/>
        <v>0.28399999999999997</v>
      </c>
      <c r="CH214" s="197">
        <f t="shared" ca="1" si="1359"/>
        <v>169.23611111111677</v>
      </c>
      <c r="CI214" s="41">
        <f t="shared" ca="1" si="1803"/>
        <v>0.46366057838662128</v>
      </c>
      <c r="CJ214" s="40">
        <f t="shared" ca="1" si="1917"/>
        <v>-0.10653079080601656</v>
      </c>
      <c r="CK214" s="40">
        <f t="shared" ca="1" si="1918"/>
        <v>2.5189751902588361E-2</v>
      </c>
      <c r="CL214" s="40">
        <f t="shared" ca="1" si="1919"/>
        <v>0.19338305926412305</v>
      </c>
      <c r="CM214" s="42">
        <f t="shared" ca="1" si="1920"/>
        <v>-0.42062132646444694</v>
      </c>
      <c r="CN214" s="42">
        <f t="shared" ca="1" si="1921"/>
        <v>-0.61400438572856997</v>
      </c>
      <c r="CO214" s="42">
        <f t="shared" ca="1" si="1922"/>
        <v>0.33701580910706302</v>
      </c>
      <c r="CP214" s="42">
        <f t="shared" ca="1" si="1923"/>
        <v>0.66298419089293703</v>
      </c>
      <c r="CQ214" s="42">
        <f t="shared" ca="1" si="1924"/>
        <v>0.26960621453848232</v>
      </c>
      <c r="CR214" s="42">
        <f t="shared" ca="1" si="1925"/>
        <v>0.73039378546151768</v>
      </c>
      <c r="CS214" s="42">
        <f t="shared" ca="1" si="1926"/>
        <v>0.98162450344672281</v>
      </c>
      <c r="CT214" s="42">
        <f t="shared" ca="1" si="1927"/>
        <v>93.254327827438672</v>
      </c>
      <c r="CU214" s="42">
        <f t="shared" ca="1" si="1928"/>
        <v>0.98801719747153338</v>
      </c>
      <c r="CV214" s="42">
        <f t="shared" ca="1" si="1929"/>
        <v>84.376668664068958</v>
      </c>
      <c r="CW214" s="42">
        <f t="shared" ca="1" si="1930"/>
        <v>0.365167296678925</v>
      </c>
      <c r="CX214" s="42">
        <f t="shared" ca="1" si="1931"/>
        <v>3.2943249446933756</v>
      </c>
      <c r="CY214" s="42">
        <f t="shared" ca="1" si="1932"/>
        <v>0.33297741521756169</v>
      </c>
      <c r="CZ214" s="42">
        <f t="shared" ca="1" si="1933"/>
        <v>2.1846410172893065E-2</v>
      </c>
      <c r="DA214" s="42">
        <f t="shared" ca="1" si="1821"/>
        <v>-1.8333614860733365E-2</v>
      </c>
      <c r="DB214" s="42">
        <f t="shared" ca="1" si="1934"/>
        <v>0.20980427706325602</v>
      </c>
      <c r="DC214" s="42">
        <f t="shared" ca="1" si="1935"/>
        <v>0.11657329370125608</v>
      </c>
      <c r="DD214" s="42">
        <f t="shared" ca="1" si="1936"/>
        <v>-927.83752765331235</v>
      </c>
      <c r="DE214" s="40"/>
      <c r="DF214" s="36">
        <f t="shared" si="733"/>
        <v>200</v>
      </c>
      <c r="DG214" s="35">
        <f t="shared" si="1824"/>
        <v>0.28399999999999997</v>
      </c>
      <c r="DH214" s="197">
        <f t="shared" ca="1" si="1382"/>
        <v>169.23611111111677</v>
      </c>
      <c r="DI214" s="41">
        <f t="shared" ca="1" si="1825"/>
        <v>0.46366057838662128</v>
      </c>
      <c r="DJ214" s="40">
        <f t="shared" ca="1" si="1937"/>
        <v>-0.85097126575351234</v>
      </c>
      <c r="DK214" s="40">
        <f t="shared" ca="1" si="1938"/>
        <v>2.5189751902588361E-2</v>
      </c>
      <c r="DL214" s="40">
        <f t="shared" ca="1" si="1939"/>
        <v>0.19338305926412305</v>
      </c>
      <c r="DM214" s="42">
        <f t="shared" ca="1" si="1940"/>
        <v>-4.2701853874545943</v>
      </c>
      <c r="DN214" s="42">
        <f t="shared" ca="1" si="1941"/>
        <v>-4.4635684467187176</v>
      </c>
      <c r="DO214" s="42">
        <f t="shared" ca="1" si="1942"/>
        <v>9.7655276518789487E-6</v>
      </c>
      <c r="DP214" s="42">
        <f t="shared" ca="1" si="1943"/>
        <v>0.99999023447234814</v>
      </c>
      <c r="DQ214" s="42">
        <f t="shared" ca="1" si="1944"/>
        <v>4.0302916462733568E-6</v>
      </c>
      <c r="DR214" s="42">
        <f t="shared" ca="1" si="1945"/>
        <v>0.99999596970835369</v>
      </c>
      <c r="DS214" s="42">
        <f t="shared" ca="1" si="1946"/>
        <v>0.98162450344672281</v>
      </c>
      <c r="DT214" s="42">
        <f t="shared" ca="1" si="1947"/>
        <v>196.32490068934456</v>
      </c>
      <c r="DU214" s="42">
        <f t="shared" ca="1" si="1948"/>
        <v>0.98801719747153338</v>
      </c>
      <c r="DV214" s="42">
        <f t="shared" ca="1" si="1949"/>
        <v>84.376668664068958</v>
      </c>
      <c r="DW214" s="42">
        <f t="shared" ca="1" si="1950"/>
        <v>4.3786712472282578E-5</v>
      </c>
      <c r="DX214" s="42">
        <f t="shared" si="1951"/>
        <v>0</v>
      </c>
      <c r="DY214" s="92">
        <f t="shared" ca="1" si="1952"/>
        <v>0</v>
      </c>
      <c r="DZ214" s="42">
        <f t="shared" ca="1" si="1953"/>
        <v>0</v>
      </c>
      <c r="EA214" s="42">
        <f t="shared" ca="1" si="1843"/>
        <v>0</v>
      </c>
      <c r="EB214" s="42">
        <f t="shared" ca="1" si="1954"/>
        <v>0</v>
      </c>
      <c r="EC214" s="42">
        <f t="shared" ca="1" si="1955"/>
        <v>0</v>
      </c>
      <c r="ED214" s="42">
        <f t="shared" ca="1" si="1956"/>
        <v>0</v>
      </c>
      <c r="EE214" s="40"/>
      <c r="EF214" s="120">
        <f t="shared" ca="1" si="756"/>
        <v>85.4</v>
      </c>
      <c r="EG214" s="42">
        <f t="shared" ca="1" si="1846"/>
        <v>258.33906893413985</v>
      </c>
      <c r="EH214" s="36">
        <f t="shared" ca="1" si="1847"/>
        <v>258.33906893413985</v>
      </c>
      <c r="EI214" s="143">
        <f t="shared" ca="1" si="1848"/>
        <v>258.339</v>
      </c>
      <c r="EJ214" s="143">
        <f t="shared" ca="1" si="1856"/>
        <v>0</v>
      </c>
      <c r="EK214" s="153">
        <f t="shared" ca="1" si="1849"/>
        <v>0</v>
      </c>
      <c r="EL214" s="143">
        <f t="shared" ca="1" si="1850"/>
        <v>0</v>
      </c>
    </row>
    <row r="215" spans="1:142" x14ac:dyDescent="0.3">
      <c r="A215" s="143">
        <f t="shared" ca="1" si="1851"/>
        <v>85.4</v>
      </c>
      <c r="B215" s="144">
        <f t="shared" ca="1" si="1852"/>
        <v>0.28399999999999997</v>
      </c>
      <c r="C215" s="145">
        <f t="shared" ca="1" si="1853"/>
        <v>45295.440972222219</v>
      </c>
      <c r="D215" s="144">
        <f t="shared" ca="1" si="1854"/>
        <v>2.5999999999999999E-2</v>
      </c>
      <c r="E215" s="144">
        <f t="shared" ca="1" si="1855"/>
        <v>0.04</v>
      </c>
      <c r="F215" s="36">
        <f t="shared" si="641"/>
        <v>75</v>
      </c>
      <c r="G215" s="35">
        <f t="shared" si="1736"/>
        <v>0.28399999999999997</v>
      </c>
      <c r="H215" s="197">
        <f t="shared" ca="1" si="1290"/>
        <v>169.23611111111677</v>
      </c>
      <c r="I215" s="41">
        <f t="shared" ca="1" si="1737"/>
        <v>0.46366057838662128</v>
      </c>
      <c r="J215" s="40">
        <f t="shared" ca="1" si="1857"/>
        <v>0.12985798725821379</v>
      </c>
      <c r="K215" s="40">
        <f t="shared" ca="1" si="1858"/>
        <v>2.5189751902588361E-2</v>
      </c>
      <c r="L215" s="40">
        <f t="shared" ca="1" si="1859"/>
        <v>0.19338305926412305</v>
      </c>
      <c r="M215" s="42">
        <f t="shared" ca="1" si="1860"/>
        <v>0.80176484822818728</v>
      </c>
      <c r="N215" s="42">
        <f t="shared" ca="1" si="1861"/>
        <v>0.60838178896406425</v>
      </c>
      <c r="O215" s="42">
        <f t="shared" ca="1" si="1862"/>
        <v>0.78865550202522283</v>
      </c>
      <c r="P215" s="42">
        <f t="shared" ca="1" si="1863"/>
        <v>0.21134449797477717</v>
      </c>
      <c r="Q215" s="42">
        <f t="shared" ca="1" si="1864"/>
        <v>0.72853285658034883</v>
      </c>
      <c r="R215" s="42">
        <f t="shared" ca="1" si="1865"/>
        <v>0.27146714341965111</v>
      </c>
      <c r="S215" s="42">
        <f t="shared" ca="1" si="1866"/>
        <v>0.98162450344672281</v>
      </c>
      <c r="T215" s="42">
        <f t="shared" ca="1" si="1867"/>
        <v>73.621837758504213</v>
      </c>
      <c r="U215" s="42">
        <f t="shared" ca="1" si="1868"/>
        <v>0.98801719747153338</v>
      </c>
      <c r="V215" s="42">
        <f t="shared" ca="1" si="1869"/>
        <v>84.376668664068958</v>
      </c>
      <c r="W215" s="42">
        <f t="shared" ca="1" si="1870"/>
        <v>0.28928238154977365</v>
      </c>
      <c r="X215" s="42">
        <f t="shared" ca="1" si="1871"/>
        <v>2.153365310014383</v>
      </c>
      <c r="Y215" s="42">
        <f t="shared" ca="1" si="1872"/>
        <v>-0.20881199859006749</v>
      </c>
      <c r="Z215" s="42">
        <f t="shared" ca="1" si="1873"/>
        <v>1.7306537635226424E-2</v>
      </c>
      <c r="AA215" s="42">
        <f t="shared" ca="1" si="1755"/>
        <v>-1.302570857267049E-2</v>
      </c>
      <c r="AB215" s="42">
        <f t="shared" ca="1" si="1874"/>
        <v>0.16620513797420244</v>
      </c>
      <c r="AC215" s="42">
        <f t="shared" ca="1" si="1875"/>
        <v>-9.2666785853637385E-2</v>
      </c>
      <c r="AD215" s="42">
        <f t="shared" ca="1" si="1876"/>
        <v>-723.31734499280856</v>
      </c>
      <c r="AF215" s="36">
        <f t="shared" si="664"/>
        <v>80</v>
      </c>
      <c r="AG215" s="35">
        <f t="shared" si="1758"/>
        <v>0.28399999999999997</v>
      </c>
      <c r="AH215" s="197">
        <f t="shared" ca="1" si="1313"/>
        <v>169.23611111111677</v>
      </c>
      <c r="AI215" s="41">
        <f t="shared" ca="1" si="1759"/>
        <v>0.46366057838662128</v>
      </c>
      <c r="AJ215" s="40">
        <f t="shared" ca="1" si="1877"/>
        <v>6.5319466120642669E-2</v>
      </c>
      <c r="AK215" s="40">
        <f t="shared" ca="1" si="1878"/>
        <v>2.5189751902588361E-2</v>
      </c>
      <c r="AL215" s="40">
        <f t="shared" ca="1" si="1879"/>
        <v>0.19338305926412305</v>
      </c>
      <c r="AM215" s="42">
        <f t="shared" ca="1" si="1880"/>
        <v>0.46803074875143702</v>
      </c>
      <c r="AN215" s="42">
        <f t="shared" ca="1" si="1881"/>
        <v>0.274647689487314</v>
      </c>
      <c r="AO215" s="42">
        <f t="shared" ca="1" si="1882"/>
        <v>0.68011869960825055</v>
      </c>
      <c r="AP215" s="42">
        <f t="shared" ca="1" si="1883"/>
        <v>0.31988130039174945</v>
      </c>
      <c r="AQ215" s="42">
        <f t="shared" ca="1" si="1884"/>
        <v>0.60820653811473968</v>
      </c>
      <c r="AR215" s="42">
        <f t="shared" ca="1" si="1885"/>
        <v>0.39179346188526026</v>
      </c>
      <c r="AS215" s="42">
        <f t="shared" ca="1" si="1886"/>
        <v>0.98162450344672281</v>
      </c>
      <c r="AT215" s="42">
        <f t="shared" ca="1" si="1887"/>
        <v>78.529960275737821</v>
      </c>
      <c r="AU215" s="42">
        <f t="shared" ca="1" si="1888"/>
        <v>0.98801719747153338</v>
      </c>
      <c r="AV215" s="42">
        <f t="shared" ca="1" si="1889"/>
        <v>84.376668664068958</v>
      </c>
      <c r="AW215" s="42">
        <f t="shared" ca="1" si="1890"/>
        <v>0.3575554142041969</v>
      </c>
      <c r="AX215" s="42">
        <f t="shared" ca="1" si="1891"/>
        <v>3.777006503157132</v>
      </c>
      <c r="AY215" s="42">
        <f t="shared" ca="1" si="1892"/>
        <v>-0.31604822593660598</v>
      </c>
      <c r="AZ215" s="42">
        <f t="shared" ca="1" si="1893"/>
        <v>2.1391023537115056E-2</v>
      </c>
      <c r="BA215" s="42">
        <f t="shared" ca="1" si="1777"/>
        <v>-1.5787806699479157E-2</v>
      </c>
      <c r="BB215" s="42">
        <f t="shared" ca="1" si="1894"/>
        <v>0.20543092404335248</v>
      </c>
      <c r="BC215" s="42">
        <f t="shared" ca="1" si="1895"/>
        <v>-0.14265688436163948</v>
      </c>
      <c r="BD215" s="42">
        <f t="shared" ca="1" si="1896"/>
        <v>936.49674842143418</v>
      </c>
      <c r="BE215" s="40"/>
      <c r="BF215" s="36">
        <f t="shared" si="687"/>
        <v>90</v>
      </c>
      <c r="BG215" s="35">
        <f t="shared" si="1780"/>
        <v>0.28399999999999997</v>
      </c>
      <c r="BH215" s="197">
        <f t="shared" ca="1" si="1336"/>
        <v>169.23611111111677</v>
      </c>
      <c r="BI215" s="41">
        <f t="shared" ca="1" si="1781"/>
        <v>0.46366057838662128</v>
      </c>
      <c r="BJ215" s="40">
        <f t="shared" ca="1" si="1897"/>
        <v>-5.2463569535740766E-2</v>
      </c>
      <c r="BK215" s="40">
        <f t="shared" ca="1" si="1898"/>
        <v>2.5189751902588361E-2</v>
      </c>
      <c r="BL215" s="40">
        <f t="shared" ca="1" si="1899"/>
        <v>0.19338305926412305</v>
      </c>
      <c r="BM215" s="42">
        <f t="shared" ca="1" si="1900"/>
        <v>-0.14103519582809868</v>
      </c>
      <c r="BN215" s="42">
        <f t="shared" ca="1" si="1901"/>
        <v>-0.33441825509222173</v>
      </c>
      <c r="BO215" s="42">
        <f t="shared" ca="1" si="1902"/>
        <v>0.44392106898616246</v>
      </c>
      <c r="BP215" s="42">
        <f t="shared" ca="1" si="1903"/>
        <v>0.55607893101383754</v>
      </c>
      <c r="BQ215" s="42">
        <f t="shared" ca="1" si="1904"/>
        <v>0.36903198301145818</v>
      </c>
      <c r="BR215" s="42">
        <f t="shared" ca="1" si="1905"/>
        <v>0.63096801698854188</v>
      </c>
      <c r="BS215" s="42">
        <f t="shared" ca="1" si="1906"/>
        <v>0.98162450344672281</v>
      </c>
      <c r="BT215" s="42">
        <f t="shared" ca="1" si="1907"/>
        <v>88.34620531020505</v>
      </c>
      <c r="BU215" s="42">
        <f t="shared" ca="1" si="1908"/>
        <v>0.98801719747153338</v>
      </c>
      <c r="BV215" s="42">
        <f t="shared" ca="1" si="1909"/>
        <v>84.376668664068958</v>
      </c>
      <c r="BW215" s="42">
        <f t="shared" ca="1" si="1910"/>
        <v>0.39499427951128013</v>
      </c>
      <c r="BX215" s="42">
        <f t="shared" ca="1" si="1911"/>
        <v>4.8540056136823466</v>
      </c>
      <c r="BY215" s="42">
        <f t="shared" ca="1" si="1912"/>
        <v>0.43860165047827548</v>
      </c>
      <c r="BZ215" s="42">
        <f t="shared" ca="1" si="1913"/>
        <v>2.3630832017624698E-2</v>
      </c>
      <c r="CA215" s="42">
        <f t="shared" ca="1" si="1799"/>
        <v>-1.9946570164958009E-2</v>
      </c>
      <c r="CB215" s="42">
        <f t="shared" ca="1" si="1914"/>
        <v>0.22694115823260852</v>
      </c>
      <c r="CC215" s="42">
        <f t="shared" ca="1" si="1915"/>
        <v>0.15116528937722107</v>
      </c>
      <c r="CD215" s="42">
        <f t="shared" ca="1" si="1916"/>
        <v>972.99719315882658</v>
      </c>
      <c r="CE215" s="40"/>
      <c r="CF215" s="36">
        <f t="shared" si="710"/>
        <v>95</v>
      </c>
      <c r="CG215" s="35">
        <f t="shared" si="1802"/>
        <v>0.28399999999999997</v>
      </c>
      <c r="CH215" s="197">
        <f t="shared" ca="1" si="1359"/>
        <v>169.23611111111677</v>
      </c>
      <c r="CI215" s="41">
        <f t="shared" ca="1" si="1803"/>
        <v>0.46366057838662128</v>
      </c>
      <c r="CJ215" s="40">
        <f t="shared" ca="1" si="1917"/>
        <v>-0.10653079080601656</v>
      </c>
      <c r="CK215" s="40">
        <f t="shared" ca="1" si="1918"/>
        <v>2.5189751902588361E-2</v>
      </c>
      <c r="CL215" s="40">
        <f t="shared" ca="1" si="1919"/>
        <v>0.19338305926412305</v>
      </c>
      <c r="CM215" s="42">
        <f t="shared" ca="1" si="1920"/>
        <v>-0.42062132646444694</v>
      </c>
      <c r="CN215" s="42">
        <f t="shared" ca="1" si="1921"/>
        <v>-0.61400438572856997</v>
      </c>
      <c r="CO215" s="42">
        <f t="shared" ca="1" si="1922"/>
        <v>0.33701580910706302</v>
      </c>
      <c r="CP215" s="42">
        <f t="shared" ca="1" si="1923"/>
        <v>0.66298419089293703</v>
      </c>
      <c r="CQ215" s="42">
        <f t="shared" ca="1" si="1924"/>
        <v>0.26960621453848232</v>
      </c>
      <c r="CR215" s="42">
        <f t="shared" ca="1" si="1925"/>
        <v>0.73039378546151768</v>
      </c>
      <c r="CS215" s="42">
        <f t="shared" ca="1" si="1926"/>
        <v>0.98162450344672281</v>
      </c>
      <c r="CT215" s="42">
        <f t="shared" ca="1" si="1927"/>
        <v>93.254327827438672</v>
      </c>
      <c r="CU215" s="42">
        <f t="shared" ca="1" si="1928"/>
        <v>0.98801719747153338</v>
      </c>
      <c r="CV215" s="42">
        <f t="shared" ca="1" si="1929"/>
        <v>84.376668664068958</v>
      </c>
      <c r="CW215" s="42">
        <f t="shared" ca="1" si="1930"/>
        <v>0.365167296678925</v>
      </c>
      <c r="CX215" s="42">
        <f t="shared" ca="1" si="1931"/>
        <v>3.2943249446933756</v>
      </c>
      <c r="CY215" s="42">
        <f t="shared" ca="1" si="1932"/>
        <v>0.33297741521756169</v>
      </c>
      <c r="CZ215" s="42">
        <f t="shared" ca="1" si="1933"/>
        <v>2.1846410172893065E-2</v>
      </c>
      <c r="DA215" s="42">
        <f t="shared" ca="1" si="1821"/>
        <v>-1.8333614860733365E-2</v>
      </c>
      <c r="DB215" s="42">
        <f t="shared" ca="1" si="1934"/>
        <v>0.20980427706325602</v>
      </c>
      <c r="DC215" s="42">
        <f t="shared" ca="1" si="1935"/>
        <v>0.11657329370125608</v>
      </c>
      <c r="DD215" s="42">
        <f t="shared" ca="1" si="1936"/>
        <v>-927.83752765331235</v>
      </c>
      <c r="DE215" s="40"/>
      <c r="DF215" s="36">
        <f t="shared" si="733"/>
        <v>200</v>
      </c>
      <c r="DG215" s="35">
        <f t="shared" si="1824"/>
        <v>0.28399999999999997</v>
      </c>
      <c r="DH215" s="197">
        <f t="shared" ca="1" si="1382"/>
        <v>169.23611111111677</v>
      </c>
      <c r="DI215" s="41">
        <f t="shared" ca="1" si="1825"/>
        <v>0.46366057838662128</v>
      </c>
      <c r="DJ215" s="40">
        <f t="shared" ca="1" si="1937"/>
        <v>-0.85097126575351234</v>
      </c>
      <c r="DK215" s="40">
        <f t="shared" ca="1" si="1938"/>
        <v>2.5189751902588361E-2</v>
      </c>
      <c r="DL215" s="40">
        <f t="shared" ca="1" si="1939"/>
        <v>0.19338305926412305</v>
      </c>
      <c r="DM215" s="42">
        <f t="shared" ca="1" si="1940"/>
        <v>-4.2701853874545943</v>
      </c>
      <c r="DN215" s="42">
        <f t="shared" ca="1" si="1941"/>
        <v>-4.4635684467187176</v>
      </c>
      <c r="DO215" s="42">
        <f t="shared" ca="1" si="1942"/>
        <v>9.7655276518789487E-6</v>
      </c>
      <c r="DP215" s="42">
        <f t="shared" ca="1" si="1943"/>
        <v>0.99999023447234814</v>
      </c>
      <c r="DQ215" s="42">
        <f t="shared" ca="1" si="1944"/>
        <v>4.0302916462733568E-6</v>
      </c>
      <c r="DR215" s="42">
        <f t="shared" ca="1" si="1945"/>
        <v>0.99999596970835369</v>
      </c>
      <c r="DS215" s="42">
        <f t="shared" ca="1" si="1946"/>
        <v>0.98162450344672281</v>
      </c>
      <c r="DT215" s="42">
        <f t="shared" ca="1" si="1947"/>
        <v>196.32490068934456</v>
      </c>
      <c r="DU215" s="42">
        <f t="shared" ca="1" si="1948"/>
        <v>0.98801719747153338</v>
      </c>
      <c r="DV215" s="42">
        <f t="shared" ca="1" si="1949"/>
        <v>84.376668664068958</v>
      </c>
      <c r="DW215" s="42">
        <f t="shared" ca="1" si="1950"/>
        <v>4.3786712472282578E-5</v>
      </c>
      <c r="DX215" s="42">
        <f t="shared" si="1951"/>
        <v>0</v>
      </c>
      <c r="DY215" s="92">
        <f t="shared" ca="1" si="1952"/>
        <v>0</v>
      </c>
      <c r="DZ215" s="42">
        <f t="shared" ca="1" si="1953"/>
        <v>0</v>
      </c>
      <c r="EA215" s="42">
        <f t="shared" ca="1" si="1843"/>
        <v>0</v>
      </c>
      <c r="EB215" s="42">
        <f t="shared" ca="1" si="1954"/>
        <v>0</v>
      </c>
      <c r="EC215" s="42">
        <f t="shared" ca="1" si="1955"/>
        <v>0</v>
      </c>
      <c r="ED215" s="42">
        <f t="shared" ca="1" si="1956"/>
        <v>0</v>
      </c>
      <c r="EE215" s="40"/>
      <c r="EF215" s="120">
        <f t="shared" ca="1" si="756"/>
        <v>85.4</v>
      </c>
      <c r="EG215" s="42">
        <f t="shared" ca="1" si="1846"/>
        <v>258.33906893413985</v>
      </c>
      <c r="EH215" s="36">
        <f t="shared" ca="1" si="1847"/>
        <v>258.33906893413985</v>
      </c>
      <c r="EI215" s="143">
        <f t="shared" ca="1" si="1848"/>
        <v>258.339</v>
      </c>
      <c r="EJ215" s="143">
        <f t="shared" ca="1" si="1856"/>
        <v>0</v>
      </c>
      <c r="EK215" s="153">
        <f t="shared" ca="1" si="1849"/>
        <v>0</v>
      </c>
      <c r="EL215" s="143">
        <f t="shared" ca="1" si="1850"/>
        <v>0</v>
      </c>
    </row>
    <row r="216" spans="1:142" x14ac:dyDescent="0.3">
      <c r="A216" s="143">
        <f t="shared" ca="1" si="1851"/>
        <v>85.4</v>
      </c>
      <c r="B216" s="144">
        <f t="shared" ca="1" si="1852"/>
        <v>0.28399999999999997</v>
      </c>
      <c r="C216" s="145">
        <f t="shared" ca="1" si="1853"/>
        <v>45295.440972222219</v>
      </c>
      <c r="D216" s="144">
        <f t="shared" ca="1" si="1854"/>
        <v>2.5999999999999999E-2</v>
      </c>
      <c r="E216" s="144">
        <f t="shared" ca="1" si="1855"/>
        <v>0.04</v>
      </c>
      <c r="F216" s="36">
        <f t="shared" si="641"/>
        <v>75</v>
      </c>
      <c r="G216" s="35">
        <f t="shared" si="1736"/>
        <v>0.28399999999999997</v>
      </c>
      <c r="H216" s="197">
        <f t="shared" ca="1" si="1290"/>
        <v>169.23611111111677</v>
      </c>
      <c r="I216" s="41">
        <f t="shared" ca="1" si="1737"/>
        <v>0.46366057838662128</v>
      </c>
      <c r="J216" s="40">
        <f t="shared" ca="1" si="1857"/>
        <v>0.12985798725821379</v>
      </c>
      <c r="K216" s="40">
        <f t="shared" ca="1" si="1858"/>
        <v>2.5189751902588361E-2</v>
      </c>
      <c r="L216" s="40">
        <f t="shared" ca="1" si="1859"/>
        <v>0.19338305926412305</v>
      </c>
      <c r="M216" s="42">
        <f t="shared" ca="1" si="1860"/>
        <v>0.80176484822818728</v>
      </c>
      <c r="N216" s="42">
        <f t="shared" ca="1" si="1861"/>
        <v>0.60838178896406425</v>
      </c>
      <c r="O216" s="42">
        <f t="shared" ca="1" si="1862"/>
        <v>0.78865550202522283</v>
      </c>
      <c r="P216" s="42">
        <f t="shared" ca="1" si="1863"/>
        <v>0.21134449797477717</v>
      </c>
      <c r="Q216" s="42">
        <f t="shared" ca="1" si="1864"/>
        <v>0.72853285658034883</v>
      </c>
      <c r="R216" s="42">
        <f t="shared" ca="1" si="1865"/>
        <v>0.27146714341965111</v>
      </c>
      <c r="S216" s="42">
        <f t="shared" ca="1" si="1866"/>
        <v>0.98162450344672281</v>
      </c>
      <c r="T216" s="42">
        <f t="shared" ca="1" si="1867"/>
        <v>73.621837758504213</v>
      </c>
      <c r="U216" s="42">
        <f t="shared" ca="1" si="1868"/>
        <v>0.98801719747153338</v>
      </c>
      <c r="V216" s="42">
        <f t="shared" ca="1" si="1869"/>
        <v>84.376668664068958</v>
      </c>
      <c r="W216" s="42">
        <f t="shared" ca="1" si="1870"/>
        <v>0.28928238154977365</v>
      </c>
      <c r="X216" s="42">
        <f t="shared" ca="1" si="1871"/>
        <v>2.153365310014383</v>
      </c>
      <c r="Y216" s="42">
        <f t="shared" ca="1" si="1872"/>
        <v>-0.20881199859006749</v>
      </c>
      <c r="Z216" s="42">
        <f t="shared" ca="1" si="1873"/>
        <v>1.7306537635226424E-2</v>
      </c>
      <c r="AA216" s="42">
        <f t="shared" ca="1" si="1755"/>
        <v>-1.302570857267049E-2</v>
      </c>
      <c r="AB216" s="42">
        <f t="shared" ca="1" si="1874"/>
        <v>0.16620513797420244</v>
      </c>
      <c r="AC216" s="42">
        <f t="shared" ca="1" si="1875"/>
        <v>-9.2666785853637385E-2</v>
      </c>
      <c r="AD216" s="42">
        <f t="shared" ca="1" si="1876"/>
        <v>-723.31734499280856</v>
      </c>
      <c r="AF216" s="36">
        <f t="shared" si="664"/>
        <v>80</v>
      </c>
      <c r="AG216" s="35">
        <f t="shared" si="1758"/>
        <v>0.28399999999999997</v>
      </c>
      <c r="AH216" s="197">
        <f t="shared" ca="1" si="1313"/>
        <v>169.23611111111677</v>
      </c>
      <c r="AI216" s="41">
        <f t="shared" ca="1" si="1759"/>
        <v>0.46366057838662128</v>
      </c>
      <c r="AJ216" s="40">
        <f t="shared" ca="1" si="1877"/>
        <v>6.5319466120642669E-2</v>
      </c>
      <c r="AK216" s="40">
        <f t="shared" ca="1" si="1878"/>
        <v>2.5189751902588361E-2</v>
      </c>
      <c r="AL216" s="40">
        <f t="shared" ca="1" si="1879"/>
        <v>0.19338305926412305</v>
      </c>
      <c r="AM216" s="42">
        <f t="shared" ca="1" si="1880"/>
        <v>0.46803074875143702</v>
      </c>
      <c r="AN216" s="42">
        <f t="shared" ca="1" si="1881"/>
        <v>0.274647689487314</v>
      </c>
      <c r="AO216" s="42">
        <f t="shared" ca="1" si="1882"/>
        <v>0.68011869960825055</v>
      </c>
      <c r="AP216" s="42">
        <f t="shared" ca="1" si="1883"/>
        <v>0.31988130039174945</v>
      </c>
      <c r="AQ216" s="42">
        <f t="shared" ca="1" si="1884"/>
        <v>0.60820653811473968</v>
      </c>
      <c r="AR216" s="42">
        <f t="shared" ca="1" si="1885"/>
        <v>0.39179346188526026</v>
      </c>
      <c r="AS216" s="42">
        <f t="shared" ca="1" si="1886"/>
        <v>0.98162450344672281</v>
      </c>
      <c r="AT216" s="42">
        <f t="shared" ca="1" si="1887"/>
        <v>78.529960275737821</v>
      </c>
      <c r="AU216" s="42">
        <f t="shared" ca="1" si="1888"/>
        <v>0.98801719747153338</v>
      </c>
      <c r="AV216" s="42">
        <f t="shared" ca="1" si="1889"/>
        <v>84.376668664068958</v>
      </c>
      <c r="AW216" s="42">
        <f t="shared" ca="1" si="1890"/>
        <v>0.3575554142041969</v>
      </c>
      <c r="AX216" s="42">
        <f t="shared" ca="1" si="1891"/>
        <v>3.777006503157132</v>
      </c>
      <c r="AY216" s="42">
        <f t="shared" ca="1" si="1892"/>
        <v>-0.31604822593660598</v>
      </c>
      <c r="AZ216" s="42">
        <f t="shared" ca="1" si="1893"/>
        <v>2.1391023537115056E-2</v>
      </c>
      <c r="BA216" s="42">
        <f t="shared" ca="1" si="1777"/>
        <v>-1.5787806699479157E-2</v>
      </c>
      <c r="BB216" s="42">
        <f t="shared" ca="1" si="1894"/>
        <v>0.20543092404335248</v>
      </c>
      <c r="BC216" s="42">
        <f t="shared" ca="1" si="1895"/>
        <v>-0.14265688436163948</v>
      </c>
      <c r="BD216" s="42">
        <f t="shared" ca="1" si="1896"/>
        <v>936.49674842143418</v>
      </c>
      <c r="BE216" s="40"/>
      <c r="BF216" s="36">
        <f t="shared" si="687"/>
        <v>90</v>
      </c>
      <c r="BG216" s="35">
        <f t="shared" si="1780"/>
        <v>0.28399999999999997</v>
      </c>
      <c r="BH216" s="197">
        <f t="shared" ca="1" si="1336"/>
        <v>169.23611111111677</v>
      </c>
      <c r="BI216" s="41">
        <f t="shared" ca="1" si="1781"/>
        <v>0.46366057838662128</v>
      </c>
      <c r="BJ216" s="40">
        <f t="shared" ca="1" si="1897"/>
        <v>-5.2463569535740766E-2</v>
      </c>
      <c r="BK216" s="40">
        <f t="shared" ca="1" si="1898"/>
        <v>2.5189751902588361E-2</v>
      </c>
      <c r="BL216" s="40">
        <f t="shared" ca="1" si="1899"/>
        <v>0.19338305926412305</v>
      </c>
      <c r="BM216" s="42">
        <f t="shared" ca="1" si="1900"/>
        <v>-0.14103519582809868</v>
      </c>
      <c r="BN216" s="42">
        <f t="shared" ca="1" si="1901"/>
        <v>-0.33441825509222173</v>
      </c>
      <c r="BO216" s="42">
        <f t="shared" ca="1" si="1902"/>
        <v>0.44392106898616246</v>
      </c>
      <c r="BP216" s="42">
        <f t="shared" ca="1" si="1903"/>
        <v>0.55607893101383754</v>
      </c>
      <c r="BQ216" s="42">
        <f t="shared" ca="1" si="1904"/>
        <v>0.36903198301145818</v>
      </c>
      <c r="BR216" s="42">
        <f t="shared" ca="1" si="1905"/>
        <v>0.63096801698854188</v>
      </c>
      <c r="BS216" s="42">
        <f t="shared" ca="1" si="1906"/>
        <v>0.98162450344672281</v>
      </c>
      <c r="BT216" s="42">
        <f t="shared" ca="1" si="1907"/>
        <v>88.34620531020505</v>
      </c>
      <c r="BU216" s="42">
        <f t="shared" ca="1" si="1908"/>
        <v>0.98801719747153338</v>
      </c>
      <c r="BV216" s="42">
        <f t="shared" ca="1" si="1909"/>
        <v>84.376668664068958</v>
      </c>
      <c r="BW216" s="42">
        <f t="shared" ca="1" si="1910"/>
        <v>0.39499427951128013</v>
      </c>
      <c r="BX216" s="42">
        <f t="shared" ca="1" si="1911"/>
        <v>4.8540056136823466</v>
      </c>
      <c r="BY216" s="42">
        <f t="shared" ca="1" si="1912"/>
        <v>0.43860165047827548</v>
      </c>
      <c r="BZ216" s="42">
        <f t="shared" ca="1" si="1913"/>
        <v>2.3630832017624698E-2</v>
      </c>
      <c r="CA216" s="42">
        <f t="shared" ca="1" si="1799"/>
        <v>-1.9946570164958009E-2</v>
      </c>
      <c r="CB216" s="42">
        <f t="shared" ca="1" si="1914"/>
        <v>0.22694115823260852</v>
      </c>
      <c r="CC216" s="42">
        <f t="shared" ca="1" si="1915"/>
        <v>0.15116528937722107</v>
      </c>
      <c r="CD216" s="42">
        <f t="shared" ca="1" si="1916"/>
        <v>972.99719315882658</v>
      </c>
      <c r="CE216" s="40"/>
      <c r="CF216" s="36">
        <f t="shared" si="710"/>
        <v>95</v>
      </c>
      <c r="CG216" s="35">
        <f t="shared" si="1802"/>
        <v>0.28399999999999997</v>
      </c>
      <c r="CH216" s="197">
        <f t="shared" ca="1" si="1359"/>
        <v>169.23611111111677</v>
      </c>
      <c r="CI216" s="41">
        <f t="shared" ca="1" si="1803"/>
        <v>0.46366057838662128</v>
      </c>
      <c r="CJ216" s="40">
        <f t="shared" ca="1" si="1917"/>
        <v>-0.10653079080601656</v>
      </c>
      <c r="CK216" s="40">
        <f t="shared" ca="1" si="1918"/>
        <v>2.5189751902588361E-2</v>
      </c>
      <c r="CL216" s="40">
        <f t="shared" ca="1" si="1919"/>
        <v>0.19338305926412305</v>
      </c>
      <c r="CM216" s="42">
        <f t="shared" ca="1" si="1920"/>
        <v>-0.42062132646444694</v>
      </c>
      <c r="CN216" s="42">
        <f t="shared" ca="1" si="1921"/>
        <v>-0.61400438572856997</v>
      </c>
      <c r="CO216" s="42">
        <f t="shared" ca="1" si="1922"/>
        <v>0.33701580910706302</v>
      </c>
      <c r="CP216" s="42">
        <f t="shared" ca="1" si="1923"/>
        <v>0.66298419089293703</v>
      </c>
      <c r="CQ216" s="42">
        <f t="shared" ca="1" si="1924"/>
        <v>0.26960621453848232</v>
      </c>
      <c r="CR216" s="42">
        <f t="shared" ca="1" si="1925"/>
        <v>0.73039378546151768</v>
      </c>
      <c r="CS216" s="42">
        <f t="shared" ca="1" si="1926"/>
        <v>0.98162450344672281</v>
      </c>
      <c r="CT216" s="42">
        <f t="shared" ca="1" si="1927"/>
        <v>93.254327827438672</v>
      </c>
      <c r="CU216" s="42">
        <f t="shared" ca="1" si="1928"/>
        <v>0.98801719747153338</v>
      </c>
      <c r="CV216" s="42">
        <f t="shared" ca="1" si="1929"/>
        <v>84.376668664068958</v>
      </c>
      <c r="CW216" s="42">
        <f t="shared" ca="1" si="1930"/>
        <v>0.365167296678925</v>
      </c>
      <c r="CX216" s="42">
        <f t="shared" ca="1" si="1931"/>
        <v>3.2943249446933756</v>
      </c>
      <c r="CY216" s="42">
        <f t="shared" ca="1" si="1932"/>
        <v>0.33297741521756169</v>
      </c>
      <c r="CZ216" s="42">
        <f t="shared" ca="1" si="1933"/>
        <v>2.1846410172893065E-2</v>
      </c>
      <c r="DA216" s="42">
        <f t="shared" ca="1" si="1821"/>
        <v>-1.8333614860733365E-2</v>
      </c>
      <c r="DB216" s="42">
        <f t="shared" ca="1" si="1934"/>
        <v>0.20980427706325602</v>
      </c>
      <c r="DC216" s="42">
        <f t="shared" ca="1" si="1935"/>
        <v>0.11657329370125608</v>
      </c>
      <c r="DD216" s="42">
        <f t="shared" ca="1" si="1936"/>
        <v>-927.83752765331235</v>
      </c>
      <c r="DE216" s="40"/>
      <c r="DF216" s="36">
        <f t="shared" si="733"/>
        <v>200</v>
      </c>
      <c r="DG216" s="35">
        <f t="shared" si="1824"/>
        <v>0.28399999999999997</v>
      </c>
      <c r="DH216" s="197">
        <f t="shared" ca="1" si="1382"/>
        <v>169.23611111111677</v>
      </c>
      <c r="DI216" s="41">
        <f t="shared" ca="1" si="1825"/>
        <v>0.46366057838662128</v>
      </c>
      <c r="DJ216" s="40">
        <f t="shared" ca="1" si="1937"/>
        <v>-0.85097126575351234</v>
      </c>
      <c r="DK216" s="40">
        <f t="shared" ca="1" si="1938"/>
        <v>2.5189751902588361E-2</v>
      </c>
      <c r="DL216" s="40">
        <f t="shared" ca="1" si="1939"/>
        <v>0.19338305926412305</v>
      </c>
      <c r="DM216" s="42">
        <f t="shared" ca="1" si="1940"/>
        <v>-4.2701853874545943</v>
      </c>
      <c r="DN216" s="42">
        <f t="shared" ca="1" si="1941"/>
        <v>-4.4635684467187176</v>
      </c>
      <c r="DO216" s="42">
        <f t="shared" ca="1" si="1942"/>
        <v>9.7655276518789487E-6</v>
      </c>
      <c r="DP216" s="42">
        <f t="shared" ca="1" si="1943"/>
        <v>0.99999023447234814</v>
      </c>
      <c r="DQ216" s="42">
        <f t="shared" ca="1" si="1944"/>
        <v>4.0302916462733568E-6</v>
      </c>
      <c r="DR216" s="42">
        <f t="shared" ca="1" si="1945"/>
        <v>0.99999596970835369</v>
      </c>
      <c r="DS216" s="42">
        <f t="shared" ca="1" si="1946"/>
        <v>0.98162450344672281</v>
      </c>
      <c r="DT216" s="42">
        <f t="shared" ca="1" si="1947"/>
        <v>196.32490068934456</v>
      </c>
      <c r="DU216" s="42">
        <f t="shared" ca="1" si="1948"/>
        <v>0.98801719747153338</v>
      </c>
      <c r="DV216" s="42">
        <f t="shared" ca="1" si="1949"/>
        <v>84.376668664068958</v>
      </c>
      <c r="DW216" s="42">
        <f t="shared" ca="1" si="1950"/>
        <v>4.3786712472282578E-5</v>
      </c>
      <c r="DX216" s="42">
        <f t="shared" si="1951"/>
        <v>0</v>
      </c>
      <c r="DY216" s="92">
        <f t="shared" ca="1" si="1952"/>
        <v>0</v>
      </c>
      <c r="DZ216" s="42">
        <f t="shared" ca="1" si="1953"/>
        <v>0</v>
      </c>
      <c r="EA216" s="42">
        <f t="shared" ca="1" si="1843"/>
        <v>0</v>
      </c>
      <c r="EB216" s="42">
        <f t="shared" ca="1" si="1954"/>
        <v>0</v>
      </c>
      <c r="EC216" s="42">
        <f t="shared" ca="1" si="1955"/>
        <v>0</v>
      </c>
      <c r="ED216" s="42">
        <f t="shared" ca="1" si="1956"/>
        <v>0</v>
      </c>
      <c r="EE216" s="40"/>
      <c r="EF216" s="120">
        <f t="shared" ca="1" si="756"/>
        <v>85.4</v>
      </c>
      <c r="EG216" s="42">
        <f t="shared" ca="1" si="1846"/>
        <v>258.33906893413985</v>
      </c>
      <c r="EH216" s="36">
        <f t="shared" ca="1" si="1847"/>
        <v>258.33906893413985</v>
      </c>
      <c r="EI216" s="143">
        <f t="shared" ca="1" si="1848"/>
        <v>258.339</v>
      </c>
      <c r="EJ216" s="143">
        <f t="shared" ca="1" si="1856"/>
        <v>0</v>
      </c>
      <c r="EK216" s="153">
        <f t="shared" ca="1" si="1849"/>
        <v>0</v>
      </c>
      <c r="EL216" s="143">
        <f t="shared" ca="1" si="1850"/>
        <v>0</v>
      </c>
    </row>
    <row r="217" spans="1:142" x14ac:dyDescent="0.3">
      <c r="A217" s="143">
        <f t="shared" ca="1" si="1851"/>
        <v>85.4</v>
      </c>
      <c r="B217" s="144">
        <f t="shared" ca="1" si="1852"/>
        <v>0.28399999999999997</v>
      </c>
      <c r="C217" s="145">
        <f t="shared" ca="1" si="1853"/>
        <v>45295.440972222219</v>
      </c>
      <c r="D217" s="144">
        <f t="shared" ca="1" si="1854"/>
        <v>2.5999999999999999E-2</v>
      </c>
      <c r="E217" s="144">
        <f t="shared" ca="1" si="1855"/>
        <v>0.04</v>
      </c>
      <c r="F217" s="36">
        <f t="shared" ref="F217:F221" si="1957">F$48</f>
        <v>75</v>
      </c>
      <c r="G217" s="35">
        <f t="shared" si="1736"/>
        <v>0.28399999999999997</v>
      </c>
      <c r="H217" s="197">
        <f t="shared" ca="1" si="1290"/>
        <v>169.23611111111677</v>
      </c>
      <c r="I217" s="41">
        <f t="shared" ca="1" si="1737"/>
        <v>0.46366057838662128</v>
      </c>
      <c r="J217" s="40">
        <f t="shared" ca="1" si="1857"/>
        <v>0.12985798725821379</v>
      </c>
      <c r="K217" s="40">
        <f t="shared" ca="1" si="1858"/>
        <v>2.5189751902588361E-2</v>
      </c>
      <c r="L217" s="40">
        <f t="shared" ca="1" si="1859"/>
        <v>0.19338305926412305</v>
      </c>
      <c r="M217" s="42">
        <f t="shared" ca="1" si="1860"/>
        <v>0.80176484822818728</v>
      </c>
      <c r="N217" s="42">
        <f t="shared" ca="1" si="1861"/>
        <v>0.60838178896406425</v>
      </c>
      <c r="O217" s="42">
        <f t="shared" ca="1" si="1862"/>
        <v>0.78865550202522283</v>
      </c>
      <c r="P217" s="42">
        <f t="shared" ca="1" si="1863"/>
        <v>0.21134449797477717</v>
      </c>
      <c r="Q217" s="42">
        <f t="shared" ca="1" si="1864"/>
        <v>0.72853285658034883</v>
      </c>
      <c r="R217" s="42">
        <f t="shared" ca="1" si="1865"/>
        <v>0.27146714341965111</v>
      </c>
      <c r="S217" s="42">
        <f t="shared" ca="1" si="1866"/>
        <v>0.98162450344672281</v>
      </c>
      <c r="T217" s="42">
        <f t="shared" ca="1" si="1867"/>
        <v>73.621837758504213</v>
      </c>
      <c r="U217" s="42">
        <f t="shared" ca="1" si="1868"/>
        <v>0.98801719747153338</v>
      </c>
      <c r="V217" s="42">
        <f t="shared" ca="1" si="1869"/>
        <v>84.376668664068958</v>
      </c>
      <c r="W217" s="42">
        <f t="shared" ca="1" si="1870"/>
        <v>0.28928238154977365</v>
      </c>
      <c r="X217" s="42">
        <f t="shared" ca="1" si="1871"/>
        <v>2.153365310014383</v>
      </c>
      <c r="Y217" s="42">
        <f t="shared" ca="1" si="1872"/>
        <v>-0.20881199859006749</v>
      </c>
      <c r="Z217" s="42">
        <f t="shared" ca="1" si="1873"/>
        <v>1.7306537635226424E-2</v>
      </c>
      <c r="AA217" s="42">
        <f t="shared" ca="1" si="1755"/>
        <v>-1.302570857267049E-2</v>
      </c>
      <c r="AB217" s="42">
        <f t="shared" ca="1" si="1874"/>
        <v>0.16620513797420244</v>
      </c>
      <c r="AC217" s="42">
        <f t="shared" ca="1" si="1875"/>
        <v>-9.2666785853637385E-2</v>
      </c>
      <c r="AD217" s="42">
        <f t="shared" ca="1" si="1876"/>
        <v>-723.31734499280856</v>
      </c>
      <c r="AF217" s="36">
        <f t="shared" ref="AF217:AF221" si="1958">AF$48</f>
        <v>80</v>
      </c>
      <c r="AG217" s="35">
        <f t="shared" si="1758"/>
        <v>0.28399999999999997</v>
      </c>
      <c r="AH217" s="197">
        <f t="shared" ca="1" si="1313"/>
        <v>169.23611111111677</v>
      </c>
      <c r="AI217" s="41">
        <f t="shared" ca="1" si="1759"/>
        <v>0.46366057838662128</v>
      </c>
      <c r="AJ217" s="40">
        <f t="shared" ca="1" si="1877"/>
        <v>6.5319466120642669E-2</v>
      </c>
      <c r="AK217" s="40">
        <f t="shared" ca="1" si="1878"/>
        <v>2.5189751902588361E-2</v>
      </c>
      <c r="AL217" s="40">
        <f t="shared" ca="1" si="1879"/>
        <v>0.19338305926412305</v>
      </c>
      <c r="AM217" s="42">
        <f t="shared" ca="1" si="1880"/>
        <v>0.46803074875143702</v>
      </c>
      <c r="AN217" s="42">
        <f t="shared" ca="1" si="1881"/>
        <v>0.274647689487314</v>
      </c>
      <c r="AO217" s="42">
        <f t="shared" ca="1" si="1882"/>
        <v>0.68011869960825055</v>
      </c>
      <c r="AP217" s="42">
        <f t="shared" ca="1" si="1883"/>
        <v>0.31988130039174945</v>
      </c>
      <c r="AQ217" s="42">
        <f t="shared" ca="1" si="1884"/>
        <v>0.60820653811473968</v>
      </c>
      <c r="AR217" s="42">
        <f t="shared" ca="1" si="1885"/>
        <v>0.39179346188526026</v>
      </c>
      <c r="AS217" s="42">
        <f t="shared" ca="1" si="1886"/>
        <v>0.98162450344672281</v>
      </c>
      <c r="AT217" s="42">
        <f t="shared" ca="1" si="1887"/>
        <v>78.529960275737821</v>
      </c>
      <c r="AU217" s="42">
        <f t="shared" ca="1" si="1888"/>
        <v>0.98801719747153338</v>
      </c>
      <c r="AV217" s="42">
        <f t="shared" ca="1" si="1889"/>
        <v>84.376668664068958</v>
      </c>
      <c r="AW217" s="42">
        <f t="shared" ca="1" si="1890"/>
        <v>0.3575554142041969</v>
      </c>
      <c r="AX217" s="42">
        <f t="shared" ca="1" si="1891"/>
        <v>3.777006503157132</v>
      </c>
      <c r="AY217" s="42">
        <f t="shared" ca="1" si="1892"/>
        <v>-0.31604822593660598</v>
      </c>
      <c r="AZ217" s="42">
        <f t="shared" ca="1" si="1893"/>
        <v>2.1391023537115056E-2</v>
      </c>
      <c r="BA217" s="42">
        <f t="shared" ca="1" si="1777"/>
        <v>-1.5787806699479157E-2</v>
      </c>
      <c r="BB217" s="42">
        <f t="shared" ca="1" si="1894"/>
        <v>0.20543092404335248</v>
      </c>
      <c r="BC217" s="42">
        <f t="shared" ca="1" si="1895"/>
        <v>-0.14265688436163948</v>
      </c>
      <c r="BD217" s="42">
        <f t="shared" ca="1" si="1896"/>
        <v>936.49674842143418</v>
      </c>
      <c r="BE217" s="40"/>
      <c r="BF217" s="36">
        <f t="shared" ref="BF217:BF221" si="1959">BF$48</f>
        <v>90</v>
      </c>
      <c r="BG217" s="35">
        <f t="shared" si="1780"/>
        <v>0.28399999999999997</v>
      </c>
      <c r="BH217" s="197">
        <f t="shared" ca="1" si="1336"/>
        <v>169.23611111111677</v>
      </c>
      <c r="BI217" s="41">
        <f t="shared" ca="1" si="1781"/>
        <v>0.46366057838662128</v>
      </c>
      <c r="BJ217" s="40">
        <f t="shared" ca="1" si="1897"/>
        <v>-5.2463569535740766E-2</v>
      </c>
      <c r="BK217" s="40">
        <f t="shared" ca="1" si="1898"/>
        <v>2.5189751902588361E-2</v>
      </c>
      <c r="BL217" s="40">
        <f t="shared" ca="1" si="1899"/>
        <v>0.19338305926412305</v>
      </c>
      <c r="BM217" s="42">
        <f t="shared" ca="1" si="1900"/>
        <v>-0.14103519582809868</v>
      </c>
      <c r="BN217" s="42">
        <f t="shared" ca="1" si="1901"/>
        <v>-0.33441825509222173</v>
      </c>
      <c r="BO217" s="42">
        <f t="shared" ca="1" si="1902"/>
        <v>0.44392106898616246</v>
      </c>
      <c r="BP217" s="42">
        <f t="shared" ca="1" si="1903"/>
        <v>0.55607893101383754</v>
      </c>
      <c r="BQ217" s="42">
        <f t="shared" ca="1" si="1904"/>
        <v>0.36903198301145818</v>
      </c>
      <c r="BR217" s="42">
        <f t="shared" ca="1" si="1905"/>
        <v>0.63096801698854188</v>
      </c>
      <c r="BS217" s="42">
        <f t="shared" ca="1" si="1906"/>
        <v>0.98162450344672281</v>
      </c>
      <c r="BT217" s="42">
        <f t="shared" ca="1" si="1907"/>
        <v>88.34620531020505</v>
      </c>
      <c r="BU217" s="42">
        <f t="shared" ca="1" si="1908"/>
        <v>0.98801719747153338</v>
      </c>
      <c r="BV217" s="42">
        <f t="shared" ca="1" si="1909"/>
        <v>84.376668664068958</v>
      </c>
      <c r="BW217" s="42">
        <f t="shared" ca="1" si="1910"/>
        <v>0.39499427951128013</v>
      </c>
      <c r="BX217" s="42">
        <f t="shared" ca="1" si="1911"/>
        <v>4.8540056136823466</v>
      </c>
      <c r="BY217" s="42">
        <f t="shared" ca="1" si="1912"/>
        <v>0.43860165047827548</v>
      </c>
      <c r="BZ217" s="42">
        <f t="shared" ca="1" si="1913"/>
        <v>2.3630832017624698E-2</v>
      </c>
      <c r="CA217" s="42">
        <f t="shared" ca="1" si="1799"/>
        <v>-1.9946570164958009E-2</v>
      </c>
      <c r="CB217" s="42">
        <f t="shared" ca="1" si="1914"/>
        <v>0.22694115823260852</v>
      </c>
      <c r="CC217" s="42">
        <f t="shared" ca="1" si="1915"/>
        <v>0.15116528937722107</v>
      </c>
      <c r="CD217" s="42">
        <f t="shared" ca="1" si="1916"/>
        <v>972.99719315882658</v>
      </c>
      <c r="CE217" s="40"/>
      <c r="CF217" s="36">
        <f t="shared" ref="CF217:CF221" si="1960">CF$48</f>
        <v>95</v>
      </c>
      <c r="CG217" s="35">
        <f t="shared" si="1802"/>
        <v>0.28399999999999997</v>
      </c>
      <c r="CH217" s="197">
        <f t="shared" ca="1" si="1359"/>
        <v>169.23611111111677</v>
      </c>
      <c r="CI217" s="41">
        <f t="shared" ca="1" si="1803"/>
        <v>0.46366057838662128</v>
      </c>
      <c r="CJ217" s="40">
        <f t="shared" ca="1" si="1917"/>
        <v>-0.10653079080601656</v>
      </c>
      <c r="CK217" s="40">
        <f t="shared" ca="1" si="1918"/>
        <v>2.5189751902588361E-2</v>
      </c>
      <c r="CL217" s="40">
        <f t="shared" ca="1" si="1919"/>
        <v>0.19338305926412305</v>
      </c>
      <c r="CM217" s="42">
        <f t="shared" ca="1" si="1920"/>
        <v>-0.42062132646444694</v>
      </c>
      <c r="CN217" s="42">
        <f t="shared" ca="1" si="1921"/>
        <v>-0.61400438572856997</v>
      </c>
      <c r="CO217" s="42">
        <f t="shared" ca="1" si="1922"/>
        <v>0.33701580910706302</v>
      </c>
      <c r="CP217" s="42">
        <f t="shared" ca="1" si="1923"/>
        <v>0.66298419089293703</v>
      </c>
      <c r="CQ217" s="42">
        <f t="shared" ca="1" si="1924"/>
        <v>0.26960621453848232</v>
      </c>
      <c r="CR217" s="42">
        <f t="shared" ca="1" si="1925"/>
        <v>0.73039378546151768</v>
      </c>
      <c r="CS217" s="42">
        <f t="shared" ca="1" si="1926"/>
        <v>0.98162450344672281</v>
      </c>
      <c r="CT217" s="42">
        <f t="shared" ca="1" si="1927"/>
        <v>93.254327827438672</v>
      </c>
      <c r="CU217" s="42">
        <f t="shared" ca="1" si="1928"/>
        <v>0.98801719747153338</v>
      </c>
      <c r="CV217" s="42">
        <f t="shared" ca="1" si="1929"/>
        <v>84.376668664068958</v>
      </c>
      <c r="CW217" s="42">
        <f t="shared" ca="1" si="1930"/>
        <v>0.365167296678925</v>
      </c>
      <c r="CX217" s="42">
        <f t="shared" ca="1" si="1931"/>
        <v>3.2943249446933756</v>
      </c>
      <c r="CY217" s="42">
        <f t="shared" ca="1" si="1932"/>
        <v>0.33297741521756169</v>
      </c>
      <c r="CZ217" s="42">
        <f t="shared" ca="1" si="1933"/>
        <v>2.1846410172893065E-2</v>
      </c>
      <c r="DA217" s="42">
        <f t="shared" ca="1" si="1821"/>
        <v>-1.8333614860733365E-2</v>
      </c>
      <c r="DB217" s="42">
        <f t="shared" ca="1" si="1934"/>
        <v>0.20980427706325602</v>
      </c>
      <c r="DC217" s="42">
        <f t="shared" ca="1" si="1935"/>
        <v>0.11657329370125608</v>
      </c>
      <c r="DD217" s="42">
        <f t="shared" ca="1" si="1936"/>
        <v>-927.83752765331235</v>
      </c>
      <c r="DE217" s="40"/>
      <c r="DF217" s="36">
        <f t="shared" ref="DF217:DF221" si="1961">DF$48</f>
        <v>200</v>
      </c>
      <c r="DG217" s="35">
        <f t="shared" si="1824"/>
        <v>0.28399999999999997</v>
      </c>
      <c r="DH217" s="197">
        <f t="shared" ca="1" si="1382"/>
        <v>169.23611111111677</v>
      </c>
      <c r="DI217" s="41">
        <f t="shared" ca="1" si="1825"/>
        <v>0.46366057838662128</v>
      </c>
      <c r="DJ217" s="40">
        <f t="shared" ca="1" si="1937"/>
        <v>-0.85097126575351234</v>
      </c>
      <c r="DK217" s="40">
        <f t="shared" ca="1" si="1938"/>
        <v>2.5189751902588361E-2</v>
      </c>
      <c r="DL217" s="40">
        <f t="shared" ca="1" si="1939"/>
        <v>0.19338305926412305</v>
      </c>
      <c r="DM217" s="42">
        <f t="shared" ca="1" si="1940"/>
        <v>-4.2701853874545943</v>
      </c>
      <c r="DN217" s="42">
        <f t="shared" ca="1" si="1941"/>
        <v>-4.4635684467187176</v>
      </c>
      <c r="DO217" s="42">
        <f t="shared" ca="1" si="1942"/>
        <v>9.7655276518789487E-6</v>
      </c>
      <c r="DP217" s="42">
        <f t="shared" ca="1" si="1943"/>
        <v>0.99999023447234814</v>
      </c>
      <c r="DQ217" s="42">
        <f t="shared" ca="1" si="1944"/>
        <v>4.0302916462733568E-6</v>
      </c>
      <c r="DR217" s="42">
        <f t="shared" ca="1" si="1945"/>
        <v>0.99999596970835369</v>
      </c>
      <c r="DS217" s="42">
        <f t="shared" ca="1" si="1946"/>
        <v>0.98162450344672281</v>
      </c>
      <c r="DT217" s="42">
        <f t="shared" ca="1" si="1947"/>
        <v>196.32490068934456</v>
      </c>
      <c r="DU217" s="42">
        <f t="shared" ca="1" si="1948"/>
        <v>0.98801719747153338</v>
      </c>
      <c r="DV217" s="42">
        <f t="shared" ca="1" si="1949"/>
        <v>84.376668664068958</v>
      </c>
      <c r="DW217" s="42">
        <f t="shared" ca="1" si="1950"/>
        <v>4.3786712472282578E-5</v>
      </c>
      <c r="DX217" s="42">
        <f t="shared" si="1951"/>
        <v>0</v>
      </c>
      <c r="DY217" s="92">
        <f t="shared" ca="1" si="1952"/>
        <v>0</v>
      </c>
      <c r="DZ217" s="42">
        <f t="shared" ca="1" si="1953"/>
        <v>0</v>
      </c>
      <c r="EA217" s="42">
        <f t="shared" ca="1" si="1843"/>
        <v>0</v>
      </c>
      <c r="EB217" s="42">
        <f t="shared" ca="1" si="1954"/>
        <v>0</v>
      </c>
      <c r="EC217" s="42">
        <f t="shared" ca="1" si="1955"/>
        <v>0</v>
      </c>
      <c r="ED217" s="42">
        <f t="shared" ca="1" si="1956"/>
        <v>0</v>
      </c>
      <c r="EE217" s="40"/>
      <c r="EF217" s="120">
        <f t="shared" ref="EF217:EF221" ca="1" si="1962">OFFSET($A217,0,$M$22-1)</f>
        <v>85.4</v>
      </c>
      <c r="EG217" s="42">
        <f t="shared" ca="1" si="1846"/>
        <v>258.33906893413985</v>
      </c>
      <c r="EH217" s="36">
        <f t="shared" ca="1" si="1847"/>
        <v>258.33906893413985</v>
      </c>
      <c r="EI217" s="143">
        <f t="shared" ca="1" si="1848"/>
        <v>258.339</v>
      </c>
      <c r="EJ217" s="143">
        <f t="shared" ca="1" si="1856"/>
        <v>0</v>
      </c>
      <c r="EK217" s="153">
        <f t="shared" ca="1" si="1849"/>
        <v>0</v>
      </c>
      <c r="EL217" s="143">
        <f t="shared" ca="1" si="1850"/>
        <v>0</v>
      </c>
    </row>
    <row r="218" spans="1:142" x14ac:dyDescent="0.3">
      <c r="A218" s="143">
        <f t="shared" ca="1" si="1851"/>
        <v>85.4</v>
      </c>
      <c r="B218" s="144">
        <f t="shared" ca="1" si="1852"/>
        <v>0.28399999999999997</v>
      </c>
      <c r="C218" s="145">
        <f t="shared" ca="1" si="1853"/>
        <v>45295.440972222219</v>
      </c>
      <c r="D218" s="144">
        <f t="shared" ca="1" si="1854"/>
        <v>2.5999999999999999E-2</v>
      </c>
      <c r="E218" s="144">
        <f t="shared" ca="1" si="1855"/>
        <v>0.04</v>
      </c>
      <c r="F218" s="36">
        <f t="shared" si="1957"/>
        <v>75</v>
      </c>
      <c r="G218" s="35">
        <f t="shared" si="1736"/>
        <v>0.28399999999999997</v>
      </c>
      <c r="H218" s="197">
        <f t="shared" ca="1" si="1290"/>
        <v>169.23611111111677</v>
      </c>
      <c r="I218" s="41">
        <f t="shared" ca="1" si="1737"/>
        <v>0.46366057838662128</v>
      </c>
      <c r="J218" s="40">
        <f t="shared" ca="1" si="1857"/>
        <v>0.12985798725821379</v>
      </c>
      <c r="K218" s="40">
        <f t="shared" ca="1" si="1858"/>
        <v>2.5189751902588361E-2</v>
      </c>
      <c r="L218" s="40">
        <f t="shared" ca="1" si="1859"/>
        <v>0.19338305926412305</v>
      </c>
      <c r="M218" s="42">
        <f t="shared" ca="1" si="1860"/>
        <v>0.80176484822818728</v>
      </c>
      <c r="N218" s="42">
        <f t="shared" ca="1" si="1861"/>
        <v>0.60838178896406425</v>
      </c>
      <c r="O218" s="42">
        <f t="shared" ca="1" si="1862"/>
        <v>0.78865550202522283</v>
      </c>
      <c r="P218" s="42">
        <f t="shared" ca="1" si="1863"/>
        <v>0.21134449797477717</v>
      </c>
      <c r="Q218" s="42">
        <f t="shared" ca="1" si="1864"/>
        <v>0.72853285658034883</v>
      </c>
      <c r="R218" s="42">
        <f t="shared" ca="1" si="1865"/>
        <v>0.27146714341965111</v>
      </c>
      <c r="S218" s="42">
        <f t="shared" ca="1" si="1866"/>
        <v>0.98162450344672281</v>
      </c>
      <c r="T218" s="42">
        <f t="shared" ca="1" si="1867"/>
        <v>73.621837758504213</v>
      </c>
      <c r="U218" s="42">
        <f t="shared" ca="1" si="1868"/>
        <v>0.98801719747153338</v>
      </c>
      <c r="V218" s="42">
        <f t="shared" ca="1" si="1869"/>
        <v>84.376668664068958</v>
      </c>
      <c r="W218" s="42">
        <f t="shared" ca="1" si="1870"/>
        <v>0.28928238154977365</v>
      </c>
      <c r="X218" s="42">
        <f t="shared" ca="1" si="1871"/>
        <v>2.153365310014383</v>
      </c>
      <c r="Y218" s="42">
        <f t="shared" ca="1" si="1872"/>
        <v>-0.20881199859006749</v>
      </c>
      <c r="Z218" s="42">
        <f t="shared" ca="1" si="1873"/>
        <v>1.7306537635226424E-2</v>
      </c>
      <c r="AA218" s="42">
        <f t="shared" ca="1" si="1755"/>
        <v>-1.302570857267049E-2</v>
      </c>
      <c r="AB218" s="42">
        <f t="shared" ca="1" si="1874"/>
        <v>0.16620513797420244</v>
      </c>
      <c r="AC218" s="42">
        <f t="shared" ca="1" si="1875"/>
        <v>-9.2666785853637385E-2</v>
      </c>
      <c r="AD218" s="42">
        <f t="shared" ca="1" si="1876"/>
        <v>-723.31734499280856</v>
      </c>
      <c r="AF218" s="36">
        <f t="shared" si="1958"/>
        <v>80</v>
      </c>
      <c r="AG218" s="35">
        <f t="shared" si="1758"/>
        <v>0.28399999999999997</v>
      </c>
      <c r="AH218" s="197">
        <f t="shared" ca="1" si="1313"/>
        <v>169.23611111111677</v>
      </c>
      <c r="AI218" s="41">
        <f t="shared" ca="1" si="1759"/>
        <v>0.46366057838662128</v>
      </c>
      <c r="AJ218" s="40">
        <f t="shared" ca="1" si="1877"/>
        <v>6.5319466120642669E-2</v>
      </c>
      <c r="AK218" s="40">
        <f t="shared" ca="1" si="1878"/>
        <v>2.5189751902588361E-2</v>
      </c>
      <c r="AL218" s="40">
        <f t="shared" ca="1" si="1879"/>
        <v>0.19338305926412305</v>
      </c>
      <c r="AM218" s="42">
        <f t="shared" ca="1" si="1880"/>
        <v>0.46803074875143702</v>
      </c>
      <c r="AN218" s="42">
        <f t="shared" ca="1" si="1881"/>
        <v>0.274647689487314</v>
      </c>
      <c r="AO218" s="42">
        <f t="shared" ca="1" si="1882"/>
        <v>0.68011869960825055</v>
      </c>
      <c r="AP218" s="42">
        <f t="shared" ca="1" si="1883"/>
        <v>0.31988130039174945</v>
      </c>
      <c r="AQ218" s="42">
        <f t="shared" ca="1" si="1884"/>
        <v>0.60820653811473968</v>
      </c>
      <c r="AR218" s="42">
        <f t="shared" ca="1" si="1885"/>
        <v>0.39179346188526026</v>
      </c>
      <c r="AS218" s="42">
        <f t="shared" ca="1" si="1886"/>
        <v>0.98162450344672281</v>
      </c>
      <c r="AT218" s="42">
        <f t="shared" ca="1" si="1887"/>
        <v>78.529960275737821</v>
      </c>
      <c r="AU218" s="42">
        <f t="shared" ca="1" si="1888"/>
        <v>0.98801719747153338</v>
      </c>
      <c r="AV218" s="42">
        <f t="shared" ca="1" si="1889"/>
        <v>84.376668664068958</v>
      </c>
      <c r="AW218" s="42">
        <f t="shared" ca="1" si="1890"/>
        <v>0.3575554142041969</v>
      </c>
      <c r="AX218" s="42">
        <f t="shared" ca="1" si="1891"/>
        <v>3.777006503157132</v>
      </c>
      <c r="AY218" s="42">
        <f t="shared" ca="1" si="1892"/>
        <v>-0.31604822593660598</v>
      </c>
      <c r="AZ218" s="42">
        <f t="shared" ca="1" si="1893"/>
        <v>2.1391023537115056E-2</v>
      </c>
      <c r="BA218" s="42">
        <f t="shared" ca="1" si="1777"/>
        <v>-1.5787806699479157E-2</v>
      </c>
      <c r="BB218" s="42">
        <f t="shared" ca="1" si="1894"/>
        <v>0.20543092404335248</v>
      </c>
      <c r="BC218" s="42">
        <f t="shared" ca="1" si="1895"/>
        <v>-0.14265688436163948</v>
      </c>
      <c r="BD218" s="42">
        <f t="shared" ca="1" si="1896"/>
        <v>936.49674842143418</v>
      </c>
      <c r="BE218" s="40"/>
      <c r="BF218" s="36">
        <f t="shared" si="1959"/>
        <v>90</v>
      </c>
      <c r="BG218" s="35">
        <f t="shared" si="1780"/>
        <v>0.28399999999999997</v>
      </c>
      <c r="BH218" s="197">
        <f t="shared" ca="1" si="1336"/>
        <v>169.23611111111677</v>
      </c>
      <c r="BI218" s="41">
        <f t="shared" ca="1" si="1781"/>
        <v>0.46366057838662128</v>
      </c>
      <c r="BJ218" s="40">
        <f t="shared" ca="1" si="1897"/>
        <v>-5.2463569535740766E-2</v>
      </c>
      <c r="BK218" s="40">
        <f t="shared" ca="1" si="1898"/>
        <v>2.5189751902588361E-2</v>
      </c>
      <c r="BL218" s="40">
        <f t="shared" ca="1" si="1899"/>
        <v>0.19338305926412305</v>
      </c>
      <c r="BM218" s="42">
        <f t="shared" ca="1" si="1900"/>
        <v>-0.14103519582809868</v>
      </c>
      <c r="BN218" s="42">
        <f t="shared" ca="1" si="1901"/>
        <v>-0.33441825509222173</v>
      </c>
      <c r="BO218" s="42">
        <f t="shared" ca="1" si="1902"/>
        <v>0.44392106898616246</v>
      </c>
      <c r="BP218" s="42">
        <f t="shared" ca="1" si="1903"/>
        <v>0.55607893101383754</v>
      </c>
      <c r="BQ218" s="42">
        <f t="shared" ca="1" si="1904"/>
        <v>0.36903198301145818</v>
      </c>
      <c r="BR218" s="42">
        <f t="shared" ca="1" si="1905"/>
        <v>0.63096801698854188</v>
      </c>
      <c r="BS218" s="42">
        <f t="shared" ca="1" si="1906"/>
        <v>0.98162450344672281</v>
      </c>
      <c r="BT218" s="42">
        <f t="shared" ca="1" si="1907"/>
        <v>88.34620531020505</v>
      </c>
      <c r="BU218" s="42">
        <f t="shared" ca="1" si="1908"/>
        <v>0.98801719747153338</v>
      </c>
      <c r="BV218" s="42">
        <f t="shared" ca="1" si="1909"/>
        <v>84.376668664068958</v>
      </c>
      <c r="BW218" s="42">
        <f t="shared" ca="1" si="1910"/>
        <v>0.39499427951128013</v>
      </c>
      <c r="BX218" s="42">
        <f t="shared" ca="1" si="1911"/>
        <v>4.8540056136823466</v>
      </c>
      <c r="BY218" s="42">
        <f t="shared" ca="1" si="1912"/>
        <v>0.43860165047827548</v>
      </c>
      <c r="BZ218" s="42">
        <f t="shared" ca="1" si="1913"/>
        <v>2.3630832017624698E-2</v>
      </c>
      <c r="CA218" s="42">
        <f t="shared" ca="1" si="1799"/>
        <v>-1.9946570164958009E-2</v>
      </c>
      <c r="CB218" s="42">
        <f t="shared" ca="1" si="1914"/>
        <v>0.22694115823260852</v>
      </c>
      <c r="CC218" s="42">
        <f t="shared" ca="1" si="1915"/>
        <v>0.15116528937722107</v>
      </c>
      <c r="CD218" s="42">
        <f t="shared" ca="1" si="1916"/>
        <v>972.99719315882658</v>
      </c>
      <c r="CE218" s="40"/>
      <c r="CF218" s="36">
        <f t="shared" si="1960"/>
        <v>95</v>
      </c>
      <c r="CG218" s="35">
        <f t="shared" si="1802"/>
        <v>0.28399999999999997</v>
      </c>
      <c r="CH218" s="197">
        <f t="shared" ca="1" si="1359"/>
        <v>169.23611111111677</v>
      </c>
      <c r="CI218" s="41">
        <f t="shared" ca="1" si="1803"/>
        <v>0.46366057838662128</v>
      </c>
      <c r="CJ218" s="40">
        <f t="shared" ca="1" si="1917"/>
        <v>-0.10653079080601656</v>
      </c>
      <c r="CK218" s="40">
        <f t="shared" ca="1" si="1918"/>
        <v>2.5189751902588361E-2</v>
      </c>
      <c r="CL218" s="40">
        <f t="shared" ca="1" si="1919"/>
        <v>0.19338305926412305</v>
      </c>
      <c r="CM218" s="42">
        <f t="shared" ca="1" si="1920"/>
        <v>-0.42062132646444694</v>
      </c>
      <c r="CN218" s="42">
        <f t="shared" ca="1" si="1921"/>
        <v>-0.61400438572856997</v>
      </c>
      <c r="CO218" s="42">
        <f t="shared" ca="1" si="1922"/>
        <v>0.33701580910706302</v>
      </c>
      <c r="CP218" s="42">
        <f t="shared" ca="1" si="1923"/>
        <v>0.66298419089293703</v>
      </c>
      <c r="CQ218" s="42">
        <f t="shared" ca="1" si="1924"/>
        <v>0.26960621453848232</v>
      </c>
      <c r="CR218" s="42">
        <f t="shared" ca="1" si="1925"/>
        <v>0.73039378546151768</v>
      </c>
      <c r="CS218" s="42">
        <f t="shared" ca="1" si="1926"/>
        <v>0.98162450344672281</v>
      </c>
      <c r="CT218" s="42">
        <f t="shared" ca="1" si="1927"/>
        <v>93.254327827438672</v>
      </c>
      <c r="CU218" s="42">
        <f t="shared" ca="1" si="1928"/>
        <v>0.98801719747153338</v>
      </c>
      <c r="CV218" s="42">
        <f t="shared" ca="1" si="1929"/>
        <v>84.376668664068958</v>
      </c>
      <c r="CW218" s="42">
        <f t="shared" ca="1" si="1930"/>
        <v>0.365167296678925</v>
      </c>
      <c r="CX218" s="42">
        <f t="shared" ca="1" si="1931"/>
        <v>3.2943249446933756</v>
      </c>
      <c r="CY218" s="42">
        <f t="shared" ca="1" si="1932"/>
        <v>0.33297741521756169</v>
      </c>
      <c r="CZ218" s="42">
        <f t="shared" ca="1" si="1933"/>
        <v>2.1846410172893065E-2</v>
      </c>
      <c r="DA218" s="42">
        <f t="shared" ca="1" si="1821"/>
        <v>-1.8333614860733365E-2</v>
      </c>
      <c r="DB218" s="42">
        <f t="shared" ca="1" si="1934"/>
        <v>0.20980427706325602</v>
      </c>
      <c r="DC218" s="42">
        <f t="shared" ca="1" si="1935"/>
        <v>0.11657329370125608</v>
      </c>
      <c r="DD218" s="42">
        <f t="shared" ca="1" si="1936"/>
        <v>-927.83752765331235</v>
      </c>
      <c r="DE218" s="40"/>
      <c r="DF218" s="36">
        <f t="shared" si="1961"/>
        <v>200</v>
      </c>
      <c r="DG218" s="35">
        <f t="shared" si="1824"/>
        <v>0.28399999999999997</v>
      </c>
      <c r="DH218" s="197">
        <f t="shared" ca="1" si="1382"/>
        <v>169.23611111111677</v>
      </c>
      <c r="DI218" s="41">
        <f t="shared" ca="1" si="1825"/>
        <v>0.46366057838662128</v>
      </c>
      <c r="DJ218" s="40">
        <f t="shared" ca="1" si="1937"/>
        <v>-0.85097126575351234</v>
      </c>
      <c r="DK218" s="40">
        <f t="shared" ca="1" si="1938"/>
        <v>2.5189751902588361E-2</v>
      </c>
      <c r="DL218" s="40">
        <f t="shared" ca="1" si="1939"/>
        <v>0.19338305926412305</v>
      </c>
      <c r="DM218" s="42">
        <f t="shared" ca="1" si="1940"/>
        <v>-4.2701853874545943</v>
      </c>
      <c r="DN218" s="42">
        <f t="shared" ca="1" si="1941"/>
        <v>-4.4635684467187176</v>
      </c>
      <c r="DO218" s="42">
        <f t="shared" ca="1" si="1942"/>
        <v>9.7655276518789487E-6</v>
      </c>
      <c r="DP218" s="42">
        <f t="shared" ca="1" si="1943"/>
        <v>0.99999023447234814</v>
      </c>
      <c r="DQ218" s="42">
        <f t="shared" ca="1" si="1944"/>
        <v>4.0302916462733568E-6</v>
      </c>
      <c r="DR218" s="42">
        <f t="shared" ca="1" si="1945"/>
        <v>0.99999596970835369</v>
      </c>
      <c r="DS218" s="42">
        <f t="shared" ca="1" si="1946"/>
        <v>0.98162450344672281</v>
      </c>
      <c r="DT218" s="42">
        <f t="shared" ca="1" si="1947"/>
        <v>196.32490068934456</v>
      </c>
      <c r="DU218" s="42">
        <f t="shared" ca="1" si="1948"/>
        <v>0.98801719747153338</v>
      </c>
      <c r="DV218" s="42">
        <f t="shared" ca="1" si="1949"/>
        <v>84.376668664068958</v>
      </c>
      <c r="DW218" s="42">
        <f t="shared" ca="1" si="1950"/>
        <v>4.3786712472282578E-5</v>
      </c>
      <c r="DX218" s="42">
        <f t="shared" si="1951"/>
        <v>0</v>
      </c>
      <c r="DY218" s="92">
        <f t="shared" ca="1" si="1952"/>
        <v>0</v>
      </c>
      <c r="DZ218" s="42">
        <f t="shared" ca="1" si="1953"/>
        <v>0</v>
      </c>
      <c r="EA218" s="42">
        <f t="shared" ca="1" si="1843"/>
        <v>0</v>
      </c>
      <c r="EB218" s="42">
        <f t="shared" ca="1" si="1954"/>
        <v>0</v>
      </c>
      <c r="EC218" s="42">
        <f t="shared" ca="1" si="1955"/>
        <v>0</v>
      </c>
      <c r="ED218" s="42">
        <f t="shared" ca="1" si="1956"/>
        <v>0</v>
      </c>
      <c r="EE218" s="40"/>
      <c r="EF218" s="120">
        <f t="shared" ca="1" si="1962"/>
        <v>85.4</v>
      </c>
      <c r="EG218" s="42">
        <f t="shared" ca="1" si="1846"/>
        <v>258.33906893413985</v>
      </c>
      <c r="EH218" s="36">
        <f t="shared" ca="1" si="1847"/>
        <v>258.33906893413985</v>
      </c>
      <c r="EI218" s="143">
        <f t="shared" ca="1" si="1848"/>
        <v>258.339</v>
      </c>
      <c r="EJ218" s="143">
        <f t="shared" ca="1" si="1856"/>
        <v>0</v>
      </c>
      <c r="EK218" s="153">
        <f t="shared" ca="1" si="1849"/>
        <v>0</v>
      </c>
      <c r="EL218" s="143">
        <f t="shared" ca="1" si="1850"/>
        <v>0</v>
      </c>
    </row>
    <row r="219" spans="1:142" x14ac:dyDescent="0.3">
      <c r="A219" s="143">
        <f t="shared" ca="1" si="1851"/>
        <v>85.4</v>
      </c>
      <c r="B219" s="144">
        <f t="shared" ca="1" si="1852"/>
        <v>0.28399999999999997</v>
      </c>
      <c r="C219" s="145">
        <f t="shared" ca="1" si="1853"/>
        <v>45295.440972222219</v>
      </c>
      <c r="D219" s="144">
        <f t="shared" ca="1" si="1854"/>
        <v>2.5999999999999999E-2</v>
      </c>
      <c r="E219" s="144">
        <f t="shared" ca="1" si="1855"/>
        <v>0.04</v>
      </c>
      <c r="F219" s="36">
        <f t="shared" si="1957"/>
        <v>75</v>
      </c>
      <c r="G219" s="35">
        <f t="shared" si="1736"/>
        <v>0.28399999999999997</v>
      </c>
      <c r="H219" s="197">
        <f t="shared" ca="1" si="1290"/>
        <v>169.23611111111677</v>
      </c>
      <c r="I219" s="41">
        <f t="shared" ca="1" si="1737"/>
        <v>0.46366057838662128</v>
      </c>
      <c r="J219" s="40">
        <f t="shared" ca="1" si="1857"/>
        <v>0.12985798725821379</v>
      </c>
      <c r="K219" s="40">
        <f t="shared" ca="1" si="1858"/>
        <v>2.5189751902588361E-2</v>
      </c>
      <c r="L219" s="40">
        <f t="shared" ca="1" si="1859"/>
        <v>0.19338305926412305</v>
      </c>
      <c r="M219" s="42">
        <f t="shared" ca="1" si="1860"/>
        <v>0.80176484822818728</v>
      </c>
      <c r="N219" s="42">
        <f t="shared" ca="1" si="1861"/>
        <v>0.60838178896406425</v>
      </c>
      <c r="O219" s="42">
        <f t="shared" ca="1" si="1862"/>
        <v>0.78865550202522283</v>
      </c>
      <c r="P219" s="42">
        <f t="shared" ca="1" si="1863"/>
        <v>0.21134449797477717</v>
      </c>
      <c r="Q219" s="42">
        <f t="shared" ca="1" si="1864"/>
        <v>0.72853285658034883</v>
      </c>
      <c r="R219" s="42">
        <f t="shared" ca="1" si="1865"/>
        <v>0.27146714341965111</v>
      </c>
      <c r="S219" s="42">
        <f t="shared" ca="1" si="1866"/>
        <v>0.98162450344672281</v>
      </c>
      <c r="T219" s="42">
        <f t="shared" ca="1" si="1867"/>
        <v>73.621837758504213</v>
      </c>
      <c r="U219" s="42">
        <f t="shared" ca="1" si="1868"/>
        <v>0.98801719747153338</v>
      </c>
      <c r="V219" s="42">
        <f t="shared" ca="1" si="1869"/>
        <v>84.376668664068958</v>
      </c>
      <c r="W219" s="42">
        <f t="shared" ca="1" si="1870"/>
        <v>0.28928238154977365</v>
      </c>
      <c r="X219" s="42">
        <f t="shared" ca="1" si="1871"/>
        <v>2.153365310014383</v>
      </c>
      <c r="Y219" s="42">
        <f t="shared" ca="1" si="1872"/>
        <v>-0.20881199859006749</v>
      </c>
      <c r="Z219" s="42">
        <f t="shared" ca="1" si="1873"/>
        <v>1.7306537635226424E-2</v>
      </c>
      <c r="AA219" s="42">
        <f t="shared" ca="1" si="1755"/>
        <v>-1.302570857267049E-2</v>
      </c>
      <c r="AB219" s="42">
        <f t="shared" ca="1" si="1874"/>
        <v>0.16620513797420244</v>
      </c>
      <c r="AC219" s="42">
        <f t="shared" ca="1" si="1875"/>
        <v>-9.2666785853637385E-2</v>
      </c>
      <c r="AD219" s="42">
        <f t="shared" ca="1" si="1876"/>
        <v>-723.31734499280856</v>
      </c>
      <c r="AF219" s="36">
        <f t="shared" si="1958"/>
        <v>80</v>
      </c>
      <c r="AG219" s="35">
        <f t="shared" si="1758"/>
        <v>0.28399999999999997</v>
      </c>
      <c r="AH219" s="197">
        <f t="shared" ca="1" si="1313"/>
        <v>169.23611111111677</v>
      </c>
      <c r="AI219" s="41">
        <f t="shared" ca="1" si="1759"/>
        <v>0.46366057838662128</v>
      </c>
      <c r="AJ219" s="40">
        <f t="shared" ca="1" si="1877"/>
        <v>6.5319466120642669E-2</v>
      </c>
      <c r="AK219" s="40">
        <f t="shared" ca="1" si="1878"/>
        <v>2.5189751902588361E-2</v>
      </c>
      <c r="AL219" s="40">
        <f t="shared" ca="1" si="1879"/>
        <v>0.19338305926412305</v>
      </c>
      <c r="AM219" s="42">
        <f t="shared" ca="1" si="1880"/>
        <v>0.46803074875143702</v>
      </c>
      <c r="AN219" s="42">
        <f t="shared" ca="1" si="1881"/>
        <v>0.274647689487314</v>
      </c>
      <c r="AO219" s="42">
        <f t="shared" ca="1" si="1882"/>
        <v>0.68011869960825055</v>
      </c>
      <c r="AP219" s="42">
        <f t="shared" ca="1" si="1883"/>
        <v>0.31988130039174945</v>
      </c>
      <c r="AQ219" s="42">
        <f t="shared" ca="1" si="1884"/>
        <v>0.60820653811473968</v>
      </c>
      <c r="AR219" s="42">
        <f t="shared" ca="1" si="1885"/>
        <v>0.39179346188526026</v>
      </c>
      <c r="AS219" s="42">
        <f t="shared" ca="1" si="1886"/>
        <v>0.98162450344672281</v>
      </c>
      <c r="AT219" s="42">
        <f t="shared" ca="1" si="1887"/>
        <v>78.529960275737821</v>
      </c>
      <c r="AU219" s="42">
        <f t="shared" ca="1" si="1888"/>
        <v>0.98801719747153338</v>
      </c>
      <c r="AV219" s="42">
        <f t="shared" ca="1" si="1889"/>
        <v>84.376668664068958</v>
      </c>
      <c r="AW219" s="42">
        <f t="shared" ca="1" si="1890"/>
        <v>0.3575554142041969</v>
      </c>
      <c r="AX219" s="42">
        <f t="shared" ca="1" si="1891"/>
        <v>3.777006503157132</v>
      </c>
      <c r="AY219" s="42">
        <f t="shared" ca="1" si="1892"/>
        <v>-0.31604822593660598</v>
      </c>
      <c r="AZ219" s="42">
        <f t="shared" ca="1" si="1893"/>
        <v>2.1391023537115056E-2</v>
      </c>
      <c r="BA219" s="42">
        <f t="shared" ca="1" si="1777"/>
        <v>-1.5787806699479157E-2</v>
      </c>
      <c r="BB219" s="42">
        <f t="shared" ca="1" si="1894"/>
        <v>0.20543092404335248</v>
      </c>
      <c r="BC219" s="42">
        <f t="shared" ca="1" si="1895"/>
        <v>-0.14265688436163948</v>
      </c>
      <c r="BD219" s="42">
        <f t="shared" ca="1" si="1896"/>
        <v>936.49674842143418</v>
      </c>
      <c r="BE219" s="40"/>
      <c r="BF219" s="36">
        <f t="shared" si="1959"/>
        <v>90</v>
      </c>
      <c r="BG219" s="35">
        <f t="shared" si="1780"/>
        <v>0.28399999999999997</v>
      </c>
      <c r="BH219" s="197">
        <f t="shared" ca="1" si="1336"/>
        <v>169.23611111111677</v>
      </c>
      <c r="BI219" s="41">
        <f t="shared" ca="1" si="1781"/>
        <v>0.46366057838662128</v>
      </c>
      <c r="BJ219" s="40">
        <f t="shared" ca="1" si="1897"/>
        <v>-5.2463569535740766E-2</v>
      </c>
      <c r="BK219" s="40">
        <f t="shared" ca="1" si="1898"/>
        <v>2.5189751902588361E-2</v>
      </c>
      <c r="BL219" s="40">
        <f t="shared" ca="1" si="1899"/>
        <v>0.19338305926412305</v>
      </c>
      <c r="BM219" s="42">
        <f t="shared" ca="1" si="1900"/>
        <v>-0.14103519582809868</v>
      </c>
      <c r="BN219" s="42">
        <f t="shared" ca="1" si="1901"/>
        <v>-0.33441825509222173</v>
      </c>
      <c r="BO219" s="42">
        <f t="shared" ca="1" si="1902"/>
        <v>0.44392106898616246</v>
      </c>
      <c r="BP219" s="42">
        <f t="shared" ca="1" si="1903"/>
        <v>0.55607893101383754</v>
      </c>
      <c r="BQ219" s="42">
        <f t="shared" ca="1" si="1904"/>
        <v>0.36903198301145818</v>
      </c>
      <c r="BR219" s="42">
        <f t="shared" ca="1" si="1905"/>
        <v>0.63096801698854188</v>
      </c>
      <c r="BS219" s="42">
        <f t="shared" ca="1" si="1906"/>
        <v>0.98162450344672281</v>
      </c>
      <c r="BT219" s="42">
        <f t="shared" ca="1" si="1907"/>
        <v>88.34620531020505</v>
      </c>
      <c r="BU219" s="42">
        <f t="shared" ca="1" si="1908"/>
        <v>0.98801719747153338</v>
      </c>
      <c r="BV219" s="42">
        <f t="shared" ca="1" si="1909"/>
        <v>84.376668664068958</v>
      </c>
      <c r="BW219" s="42">
        <f t="shared" ca="1" si="1910"/>
        <v>0.39499427951128013</v>
      </c>
      <c r="BX219" s="42">
        <f t="shared" ca="1" si="1911"/>
        <v>4.8540056136823466</v>
      </c>
      <c r="BY219" s="42">
        <f t="shared" ca="1" si="1912"/>
        <v>0.43860165047827548</v>
      </c>
      <c r="BZ219" s="42">
        <f t="shared" ca="1" si="1913"/>
        <v>2.3630832017624698E-2</v>
      </c>
      <c r="CA219" s="42">
        <f t="shared" ca="1" si="1799"/>
        <v>-1.9946570164958009E-2</v>
      </c>
      <c r="CB219" s="42">
        <f t="shared" ca="1" si="1914"/>
        <v>0.22694115823260852</v>
      </c>
      <c r="CC219" s="42">
        <f t="shared" ca="1" si="1915"/>
        <v>0.15116528937722107</v>
      </c>
      <c r="CD219" s="42">
        <f t="shared" ca="1" si="1916"/>
        <v>972.99719315882658</v>
      </c>
      <c r="CE219" s="40"/>
      <c r="CF219" s="36">
        <f t="shared" si="1960"/>
        <v>95</v>
      </c>
      <c r="CG219" s="35">
        <f t="shared" si="1802"/>
        <v>0.28399999999999997</v>
      </c>
      <c r="CH219" s="197">
        <f t="shared" ca="1" si="1359"/>
        <v>169.23611111111677</v>
      </c>
      <c r="CI219" s="41">
        <f t="shared" ca="1" si="1803"/>
        <v>0.46366057838662128</v>
      </c>
      <c r="CJ219" s="40">
        <f t="shared" ca="1" si="1917"/>
        <v>-0.10653079080601656</v>
      </c>
      <c r="CK219" s="40">
        <f t="shared" ca="1" si="1918"/>
        <v>2.5189751902588361E-2</v>
      </c>
      <c r="CL219" s="40">
        <f t="shared" ca="1" si="1919"/>
        <v>0.19338305926412305</v>
      </c>
      <c r="CM219" s="42">
        <f t="shared" ca="1" si="1920"/>
        <v>-0.42062132646444694</v>
      </c>
      <c r="CN219" s="42">
        <f t="shared" ca="1" si="1921"/>
        <v>-0.61400438572856997</v>
      </c>
      <c r="CO219" s="42">
        <f t="shared" ca="1" si="1922"/>
        <v>0.33701580910706302</v>
      </c>
      <c r="CP219" s="42">
        <f t="shared" ca="1" si="1923"/>
        <v>0.66298419089293703</v>
      </c>
      <c r="CQ219" s="42">
        <f t="shared" ca="1" si="1924"/>
        <v>0.26960621453848232</v>
      </c>
      <c r="CR219" s="42">
        <f t="shared" ca="1" si="1925"/>
        <v>0.73039378546151768</v>
      </c>
      <c r="CS219" s="42">
        <f t="shared" ca="1" si="1926"/>
        <v>0.98162450344672281</v>
      </c>
      <c r="CT219" s="42">
        <f t="shared" ca="1" si="1927"/>
        <v>93.254327827438672</v>
      </c>
      <c r="CU219" s="42">
        <f t="shared" ca="1" si="1928"/>
        <v>0.98801719747153338</v>
      </c>
      <c r="CV219" s="42">
        <f t="shared" ca="1" si="1929"/>
        <v>84.376668664068958</v>
      </c>
      <c r="CW219" s="42">
        <f t="shared" ca="1" si="1930"/>
        <v>0.365167296678925</v>
      </c>
      <c r="CX219" s="42">
        <f t="shared" ca="1" si="1931"/>
        <v>3.2943249446933756</v>
      </c>
      <c r="CY219" s="42">
        <f t="shared" ca="1" si="1932"/>
        <v>0.33297741521756169</v>
      </c>
      <c r="CZ219" s="42">
        <f t="shared" ca="1" si="1933"/>
        <v>2.1846410172893065E-2</v>
      </c>
      <c r="DA219" s="42">
        <f t="shared" ca="1" si="1821"/>
        <v>-1.8333614860733365E-2</v>
      </c>
      <c r="DB219" s="42">
        <f t="shared" ca="1" si="1934"/>
        <v>0.20980427706325602</v>
      </c>
      <c r="DC219" s="42">
        <f t="shared" ca="1" si="1935"/>
        <v>0.11657329370125608</v>
      </c>
      <c r="DD219" s="42">
        <f t="shared" ca="1" si="1936"/>
        <v>-927.83752765331235</v>
      </c>
      <c r="DE219" s="40"/>
      <c r="DF219" s="36">
        <f t="shared" si="1961"/>
        <v>200</v>
      </c>
      <c r="DG219" s="35">
        <f t="shared" si="1824"/>
        <v>0.28399999999999997</v>
      </c>
      <c r="DH219" s="197">
        <f t="shared" ca="1" si="1382"/>
        <v>169.23611111111677</v>
      </c>
      <c r="DI219" s="41">
        <f t="shared" ca="1" si="1825"/>
        <v>0.46366057838662128</v>
      </c>
      <c r="DJ219" s="40">
        <f t="shared" ca="1" si="1937"/>
        <v>-0.85097126575351234</v>
      </c>
      <c r="DK219" s="40">
        <f t="shared" ca="1" si="1938"/>
        <v>2.5189751902588361E-2</v>
      </c>
      <c r="DL219" s="40">
        <f t="shared" ca="1" si="1939"/>
        <v>0.19338305926412305</v>
      </c>
      <c r="DM219" s="42">
        <f t="shared" ca="1" si="1940"/>
        <v>-4.2701853874545943</v>
      </c>
      <c r="DN219" s="42">
        <f t="shared" ca="1" si="1941"/>
        <v>-4.4635684467187176</v>
      </c>
      <c r="DO219" s="42">
        <f t="shared" ca="1" si="1942"/>
        <v>9.7655276518789487E-6</v>
      </c>
      <c r="DP219" s="42">
        <f t="shared" ca="1" si="1943"/>
        <v>0.99999023447234814</v>
      </c>
      <c r="DQ219" s="42">
        <f t="shared" ca="1" si="1944"/>
        <v>4.0302916462733568E-6</v>
      </c>
      <c r="DR219" s="42">
        <f t="shared" ca="1" si="1945"/>
        <v>0.99999596970835369</v>
      </c>
      <c r="DS219" s="42">
        <f t="shared" ca="1" si="1946"/>
        <v>0.98162450344672281</v>
      </c>
      <c r="DT219" s="42">
        <f t="shared" ca="1" si="1947"/>
        <v>196.32490068934456</v>
      </c>
      <c r="DU219" s="42">
        <f t="shared" ca="1" si="1948"/>
        <v>0.98801719747153338</v>
      </c>
      <c r="DV219" s="42">
        <f t="shared" ca="1" si="1949"/>
        <v>84.376668664068958</v>
      </c>
      <c r="DW219" s="42">
        <f t="shared" ca="1" si="1950"/>
        <v>4.3786712472282578E-5</v>
      </c>
      <c r="DX219" s="42">
        <f t="shared" si="1951"/>
        <v>0</v>
      </c>
      <c r="DY219" s="92">
        <f t="shared" ca="1" si="1952"/>
        <v>0</v>
      </c>
      <c r="DZ219" s="42">
        <f t="shared" ca="1" si="1953"/>
        <v>0</v>
      </c>
      <c r="EA219" s="42">
        <f t="shared" ca="1" si="1843"/>
        <v>0</v>
      </c>
      <c r="EB219" s="42">
        <f t="shared" ca="1" si="1954"/>
        <v>0</v>
      </c>
      <c r="EC219" s="42">
        <f t="shared" ca="1" si="1955"/>
        <v>0</v>
      </c>
      <c r="ED219" s="42">
        <f t="shared" ca="1" si="1956"/>
        <v>0</v>
      </c>
      <c r="EE219" s="40"/>
      <c r="EF219" s="120">
        <f t="shared" ca="1" si="1962"/>
        <v>85.4</v>
      </c>
      <c r="EG219" s="42">
        <f t="shared" ca="1" si="1846"/>
        <v>258.33906893413985</v>
      </c>
      <c r="EH219" s="36">
        <f t="shared" ca="1" si="1847"/>
        <v>258.33906893413985</v>
      </c>
      <c r="EI219" s="143">
        <f t="shared" ca="1" si="1848"/>
        <v>258.339</v>
      </c>
      <c r="EJ219" s="143">
        <f t="shared" ca="1" si="1856"/>
        <v>0</v>
      </c>
      <c r="EK219" s="153">
        <f t="shared" ca="1" si="1849"/>
        <v>0</v>
      </c>
      <c r="EL219" s="143">
        <f t="shared" ca="1" si="1850"/>
        <v>0</v>
      </c>
    </row>
    <row r="220" spans="1:142" x14ac:dyDescent="0.3">
      <c r="A220" s="143">
        <f t="shared" ca="1" si="1851"/>
        <v>85.4</v>
      </c>
      <c r="B220" s="144">
        <f t="shared" ca="1" si="1852"/>
        <v>0.28399999999999997</v>
      </c>
      <c r="C220" s="145">
        <f t="shared" ca="1" si="1853"/>
        <v>45295.440972222219</v>
      </c>
      <c r="D220" s="144">
        <f t="shared" ca="1" si="1854"/>
        <v>2.5999999999999999E-2</v>
      </c>
      <c r="E220" s="144">
        <f t="shared" ca="1" si="1855"/>
        <v>0.04</v>
      </c>
      <c r="F220" s="36">
        <f t="shared" si="1957"/>
        <v>75</v>
      </c>
      <c r="G220" s="35">
        <f t="shared" si="1736"/>
        <v>0.28399999999999997</v>
      </c>
      <c r="H220" s="197">
        <f t="shared" ca="1" si="1290"/>
        <v>169.23611111111677</v>
      </c>
      <c r="I220" s="41">
        <f t="shared" ca="1" si="1737"/>
        <v>0.46366057838662128</v>
      </c>
      <c r="J220" s="40">
        <f t="shared" ca="1" si="1857"/>
        <v>0.12985798725821379</v>
      </c>
      <c r="K220" s="40">
        <f t="shared" ca="1" si="1858"/>
        <v>2.5189751902588361E-2</v>
      </c>
      <c r="L220" s="40">
        <f t="shared" ca="1" si="1859"/>
        <v>0.19338305926412305</v>
      </c>
      <c r="M220" s="42">
        <f t="shared" ca="1" si="1860"/>
        <v>0.80176484822818728</v>
      </c>
      <c r="N220" s="42">
        <f t="shared" ca="1" si="1861"/>
        <v>0.60838178896406425</v>
      </c>
      <c r="O220" s="42">
        <f t="shared" ca="1" si="1862"/>
        <v>0.78865550202522283</v>
      </c>
      <c r="P220" s="42">
        <f t="shared" ca="1" si="1863"/>
        <v>0.21134449797477717</v>
      </c>
      <c r="Q220" s="42">
        <f t="shared" ca="1" si="1864"/>
        <v>0.72853285658034883</v>
      </c>
      <c r="R220" s="42">
        <f t="shared" ca="1" si="1865"/>
        <v>0.27146714341965111</v>
      </c>
      <c r="S220" s="42">
        <f t="shared" ca="1" si="1866"/>
        <v>0.98162450344672281</v>
      </c>
      <c r="T220" s="42">
        <f t="shared" ca="1" si="1867"/>
        <v>73.621837758504213</v>
      </c>
      <c r="U220" s="42">
        <f t="shared" ca="1" si="1868"/>
        <v>0.98801719747153338</v>
      </c>
      <c r="V220" s="42">
        <f t="shared" ca="1" si="1869"/>
        <v>84.376668664068958</v>
      </c>
      <c r="W220" s="42">
        <f t="shared" ca="1" si="1870"/>
        <v>0.28928238154977365</v>
      </c>
      <c r="X220" s="42">
        <f t="shared" ca="1" si="1871"/>
        <v>2.153365310014383</v>
      </c>
      <c r="Y220" s="42">
        <f t="shared" ca="1" si="1872"/>
        <v>-0.20881199859006749</v>
      </c>
      <c r="Z220" s="42">
        <f t="shared" ca="1" si="1873"/>
        <v>1.7306537635226424E-2</v>
      </c>
      <c r="AA220" s="42">
        <f t="shared" ca="1" si="1755"/>
        <v>-1.302570857267049E-2</v>
      </c>
      <c r="AB220" s="42">
        <f t="shared" ca="1" si="1874"/>
        <v>0.16620513797420244</v>
      </c>
      <c r="AC220" s="42">
        <f t="shared" ca="1" si="1875"/>
        <v>-9.2666785853637385E-2</v>
      </c>
      <c r="AD220" s="42">
        <f t="shared" ca="1" si="1876"/>
        <v>-723.31734499280856</v>
      </c>
      <c r="AF220" s="36">
        <f t="shared" si="1958"/>
        <v>80</v>
      </c>
      <c r="AG220" s="35">
        <f t="shared" si="1758"/>
        <v>0.28399999999999997</v>
      </c>
      <c r="AH220" s="197">
        <f t="shared" ca="1" si="1313"/>
        <v>169.23611111111677</v>
      </c>
      <c r="AI220" s="41">
        <f t="shared" ca="1" si="1759"/>
        <v>0.46366057838662128</v>
      </c>
      <c r="AJ220" s="40">
        <f t="shared" ca="1" si="1877"/>
        <v>6.5319466120642669E-2</v>
      </c>
      <c r="AK220" s="40">
        <f t="shared" ca="1" si="1878"/>
        <v>2.5189751902588361E-2</v>
      </c>
      <c r="AL220" s="40">
        <f t="shared" ca="1" si="1879"/>
        <v>0.19338305926412305</v>
      </c>
      <c r="AM220" s="42">
        <f t="shared" ca="1" si="1880"/>
        <v>0.46803074875143702</v>
      </c>
      <c r="AN220" s="42">
        <f t="shared" ca="1" si="1881"/>
        <v>0.274647689487314</v>
      </c>
      <c r="AO220" s="42">
        <f t="shared" ca="1" si="1882"/>
        <v>0.68011869960825055</v>
      </c>
      <c r="AP220" s="42">
        <f t="shared" ca="1" si="1883"/>
        <v>0.31988130039174945</v>
      </c>
      <c r="AQ220" s="42">
        <f t="shared" ca="1" si="1884"/>
        <v>0.60820653811473968</v>
      </c>
      <c r="AR220" s="42">
        <f t="shared" ca="1" si="1885"/>
        <v>0.39179346188526026</v>
      </c>
      <c r="AS220" s="42">
        <f t="shared" ca="1" si="1886"/>
        <v>0.98162450344672281</v>
      </c>
      <c r="AT220" s="42">
        <f t="shared" ca="1" si="1887"/>
        <v>78.529960275737821</v>
      </c>
      <c r="AU220" s="42">
        <f t="shared" ca="1" si="1888"/>
        <v>0.98801719747153338</v>
      </c>
      <c r="AV220" s="42">
        <f t="shared" ca="1" si="1889"/>
        <v>84.376668664068958</v>
      </c>
      <c r="AW220" s="42">
        <f t="shared" ca="1" si="1890"/>
        <v>0.3575554142041969</v>
      </c>
      <c r="AX220" s="42">
        <f t="shared" ca="1" si="1891"/>
        <v>3.777006503157132</v>
      </c>
      <c r="AY220" s="42">
        <f t="shared" ca="1" si="1892"/>
        <v>-0.31604822593660598</v>
      </c>
      <c r="AZ220" s="42">
        <f t="shared" ca="1" si="1893"/>
        <v>2.1391023537115056E-2</v>
      </c>
      <c r="BA220" s="42">
        <f t="shared" ca="1" si="1777"/>
        <v>-1.5787806699479157E-2</v>
      </c>
      <c r="BB220" s="42">
        <f t="shared" ca="1" si="1894"/>
        <v>0.20543092404335248</v>
      </c>
      <c r="BC220" s="42">
        <f t="shared" ca="1" si="1895"/>
        <v>-0.14265688436163948</v>
      </c>
      <c r="BD220" s="42">
        <f t="shared" ca="1" si="1896"/>
        <v>936.49674842143418</v>
      </c>
      <c r="BE220" s="40"/>
      <c r="BF220" s="36">
        <f t="shared" si="1959"/>
        <v>90</v>
      </c>
      <c r="BG220" s="35">
        <f t="shared" si="1780"/>
        <v>0.28399999999999997</v>
      </c>
      <c r="BH220" s="197">
        <f t="shared" ca="1" si="1336"/>
        <v>169.23611111111677</v>
      </c>
      <c r="BI220" s="41">
        <f t="shared" ca="1" si="1781"/>
        <v>0.46366057838662128</v>
      </c>
      <c r="BJ220" s="40">
        <f t="shared" ca="1" si="1897"/>
        <v>-5.2463569535740766E-2</v>
      </c>
      <c r="BK220" s="40">
        <f t="shared" ca="1" si="1898"/>
        <v>2.5189751902588361E-2</v>
      </c>
      <c r="BL220" s="40">
        <f t="shared" ca="1" si="1899"/>
        <v>0.19338305926412305</v>
      </c>
      <c r="BM220" s="42">
        <f t="shared" ca="1" si="1900"/>
        <v>-0.14103519582809868</v>
      </c>
      <c r="BN220" s="42">
        <f t="shared" ca="1" si="1901"/>
        <v>-0.33441825509222173</v>
      </c>
      <c r="BO220" s="42">
        <f t="shared" ca="1" si="1902"/>
        <v>0.44392106898616246</v>
      </c>
      <c r="BP220" s="42">
        <f t="shared" ca="1" si="1903"/>
        <v>0.55607893101383754</v>
      </c>
      <c r="BQ220" s="42">
        <f t="shared" ca="1" si="1904"/>
        <v>0.36903198301145818</v>
      </c>
      <c r="BR220" s="42">
        <f t="shared" ca="1" si="1905"/>
        <v>0.63096801698854188</v>
      </c>
      <c r="BS220" s="42">
        <f t="shared" ca="1" si="1906"/>
        <v>0.98162450344672281</v>
      </c>
      <c r="BT220" s="42">
        <f t="shared" ca="1" si="1907"/>
        <v>88.34620531020505</v>
      </c>
      <c r="BU220" s="42">
        <f t="shared" ca="1" si="1908"/>
        <v>0.98801719747153338</v>
      </c>
      <c r="BV220" s="42">
        <f t="shared" ca="1" si="1909"/>
        <v>84.376668664068958</v>
      </c>
      <c r="BW220" s="42">
        <f t="shared" ca="1" si="1910"/>
        <v>0.39499427951128013</v>
      </c>
      <c r="BX220" s="42">
        <f t="shared" ca="1" si="1911"/>
        <v>4.8540056136823466</v>
      </c>
      <c r="BY220" s="42">
        <f t="shared" ca="1" si="1912"/>
        <v>0.43860165047827548</v>
      </c>
      <c r="BZ220" s="42">
        <f t="shared" ca="1" si="1913"/>
        <v>2.3630832017624698E-2</v>
      </c>
      <c r="CA220" s="42">
        <f t="shared" ca="1" si="1799"/>
        <v>-1.9946570164958009E-2</v>
      </c>
      <c r="CB220" s="42">
        <f t="shared" ca="1" si="1914"/>
        <v>0.22694115823260852</v>
      </c>
      <c r="CC220" s="42">
        <f t="shared" ca="1" si="1915"/>
        <v>0.15116528937722107</v>
      </c>
      <c r="CD220" s="42">
        <f t="shared" ca="1" si="1916"/>
        <v>972.99719315882658</v>
      </c>
      <c r="CE220" s="40"/>
      <c r="CF220" s="36">
        <f t="shared" si="1960"/>
        <v>95</v>
      </c>
      <c r="CG220" s="35">
        <f t="shared" si="1802"/>
        <v>0.28399999999999997</v>
      </c>
      <c r="CH220" s="197">
        <f t="shared" ca="1" si="1359"/>
        <v>169.23611111111677</v>
      </c>
      <c r="CI220" s="41">
        <f t="shared" ca="1" si="1803"/>
        <v>0.46366057838662128</v>
      </c>
      <c r="CJ220" s="40">
        <f t="shared" ca="1" si="1917"/>
        <v>-0.10653079080601656</v>
      </c>
      <c r="CK220" s="40">
        <f t="shared" ca="1" si="1918"/>
        <v>2.5189751902588361E-2</v>
      </c>
      <c r="CL220" s="40">
        <f t="shared" ca="1" si="1919"/>
        <v>0.19338305926412305</v>
      </c>
      <c r="CM220" s="42">
        <f t="shared" ca="1" si="1920"/>
        <v>-0.42062132646444694</v>
      </c>
      <c r="CN220" s="42">
        <f t="shared" ca="1" si="1921"/>
        <v>-0.61400438572856997</v>
      </c>
      <c r="CO220" s="42">
        <f t="shared" ca="1" si="1922"/>
        <v>0.33701580910706302</v>
      </c>
      <c r="CP220" s="42">
        <f t="shared" ca="1" si="1923"/>
        <v>0.66298419089293703</v>
      </c>
      <c r="CQ220" s="42">
        <f t="shared" ca="1" si="1924"/>
        <v>0.26960621453848232</v>
      </c>
      <c r="CR220" s="42">
        <f t="shared" ca="1" si="1925"/>
        <v>0.73039378546151768</v>
      </c>
      <c r="CS220" s="42">
        <f t="shared" ca="1" si="1926"/>
        <v>0.98162450344672281</v>
      </c>
      <c r="CT220" s="42">
        <f t="shared" ca="1" si="1927"/>
        <v>93.254327827438672</v>
      </c>
      <c r="CU220" s="42">
        <f t="shared" ca="1" si="1928"/>
        <v>0.98801719747153338</v>
      </c>
      <c r="CV220" s="42">
        <f t="shared" ca="1" si="1929"/>
        <v>84.376668664068958</v>
      </c>
      <c r="CW220" s="42">
        <f t="shared" ca="1" si="1930"/>
        <v>0.365167296678925</v>
      </c>
      <c r="CX220" s="42">
        <f t="shared" ca="1" si="1931"/>
        <v>3.2943249446933756</v>
      </c>
      <c r="CY220" s="42">
        <f t="shared" ca="1" si="1932"/>
        <v>0.33297741521756169</v>
      </c>
      <c r="CZ220" s="42">
        <f t="shared" ca="1" si="1933"/>
        <v>2.1846410172893065E-2</v>
      </c>
      <c r="DA220" s="42">
        <f t="shared" ca="1" si="1821"/>
        <v>-1.8333614860733365E-2</v>
      </c>
      <c r="DB220" s="42">
        <f t="shared" ca="1" si="1934"/>
        <v>0.20980427706325602</v>
      </c>
      <c r="DC220" s="42">
        <f t="shared" ca="1" si="1935"/>
        <v>0.11657329370125608</v>
      </c>
      <c r="DD220" s="42">
        <f t="shared" ca="1" si="1936"/>
        <v>-927.83752765331235</v>
      </c>
      <c r="DE220" s="40"/>
      <c r="DF220" s="36">
        <f t="shared" si="1961"/>
        <v>200</v>
      </c>
      <c r="DG220" s="35">
        <f t="shared" si="1824"/>
        <v>0.28399999999999997</v>
      </c>
      <c r="DH220" s="197">
        <f t="shared" ca="1" si="1382"/>
        <v>169.23611111111677</v>
      </c>
      <c r="DI220" s="41">
        <f t="shared" ca="1" si="1825"/>
        <v>0.46366057838662128</v>
      </c>
      <c r="DJ220" s="40">
        <f t="shared" ca="1" si="1937"/>
        <v>-0.85097126575351234</v>
      </c>
      <c r="DK220" s="40">
        <f t="shared" ca="1" si="1938"/>
        <v>2.5189751902588361E-2</v>
      </c>
      <c r="DL220" s="40">
        <f t="shared" ca="1" si="1939"/>
        <v>0.19338305926412305</v>
      </c>
      <c r="DM220" s="42">
        <f t="shared" ca="1" si="1940"/>
        <v>-4.2701853874545943</v>
      </c>
      <c r="DN220" s="42">
        <f t="shared" ca="1" si="1941"/>
        <v>-4.4635684467187176</v>
      </c>
      <c r="DO220" s="42">
        <f t="shared" ca="1" si="1942"/>
        <v>9.7655276518789487E-6</v>
      </c>
      <c r="DP220" s="42">
        <f t="shared" ca="1" si="1943"/>
        <v>0.99999023447234814</v>
      </c>
      <c r="DQ220" s="42">
        <f t="shared" ca="1" si="1944"/>
        <v>4.0302916462733568E-6</v>
      </c>
      <c r="DR220" s="42">
        <f t="shared" ca="1" si="1945"/>
        <v>0.99999596970835369</v>
      </c>
      <c r="DS220" s="42">
        <f t="shared" ca="1" si="1946"/>
        <v>0.98162450344672281</v>
      </c>
      <c r="DT220" s="42">
        <f t="shared" ca="1" si="1947"/>
        <v>196.32490068934456</v>
      </c>
      <c r="DU220" s="42">
        <f t="shared" ca="1" si="1948"/>
        <v>0.98801719747153338</v>
      </c>
      <c r="DV220" s="42">
        <f t="shared" ca="1" si="1949"/>
        <v>84.376668664068958</v>
      </c>
      <c r="DW220" s="42">
        <f t="shared" ca="1" si="1950"/>
        <v>4.3786712472282578E-5</v>
      </c>
      <c r="DX220" s="42">
        <f t="shared" si="1951"/>
        <v>0</v>
      </c>
      <c r="DY220" s="92">
        <f t="shared" ca="1" si="1952"/>
        <v>0</v>
      </c>
      <c r="DZ220" s="42">
        <f t="shared" ca="1" si="1953"/>
        <v>0</v>
      </c>
      <c r="EA220" s="42">
        <f t="shared" ca="1" si="1843"/>
        <v>0</v>
      </c>
      <c r="EB220" s="42">
        <f t="shared" ca="1" si="1954"/>
        <v>0</v>
      </c>
      <c r="EC220" s="42">
        <f t="shared" ca="1" si="1955"/>
        <v>0</v>
      </c>
      <c r="ED220" s="42">
        <f t="shared" ca="1" si="1956"/>
        <v>0</v>
      </c>
      <c r="EE220" s="40"/>
      <c r="EF220" s="120">
        <f t="shared" ca="1" si="1962"/>
        <v>85.4</v>
      </c>
      <c r="EG220" s="42">
        <f t="shared" ca="1" si="1846"/>
        <v>258.33906893413985</v>
      </c>
      <c r="EH220" s="36">
        <f t="shared" ca="1" si="1847"/>
        <v>258.33906893413985</v>
      </c>
      <c r="EI220" s="143">
        <f t="shared" ca="1" si="1848"/>
        <v>258.339</v>
      </c>
      <c r="EJ220" s="143">
        <f t="shared" ca="1" si="1856"/>
        <v>0</v>
      </c>
      <c r="EK220" s="153">
        <f t="shared" ca="1" si="1849"/>
        <v>0</v>
      </c>
      <c r="EL220" s="143">
        <f t="shared" ca="1" si="1850"/>
        <v>0</v>
      </c>
    </row>
    <row r="221" spans="1:142" x14ac:dyDescent="0.3">
      <c r="A221" s="143">
        <f t="shared" ca="1" si="1851"/>
        <v>85.4</v>
      </c>
      <c r="B221" s="144">
        <f t="shared" ca="1" si="1852"/>
        <v>0.28399999999999997</v>
      </c>
      <c r="C221" s="145">
        <f t="shared" ca="1" si="1853"/>
        <v>45295.440972222219</v>
      </c>
      <c r="D221" s="144">
        <f t="shared" ca="1" si="1854"/>
        <v>2.5999999999999999E-2</v>
      </c>
      <c r="E221" s="144">
        <f t="shared" ca="1" si="1855"/>
        <v>0.04</v>
      </c>
      <c r="F221" s="36">
        <f t="shared" si="1957"/>
        <v>75</v>
      </c>
      <c r="G221" s="35">
        <f t="shared" si="1736"/>
        <v>0.28399999999999997</v>
      </c>
      <c r="H221" s="197">
        <f t="shared" ca="1" si="1290"/>
        <v>169.23611111111677</v>
      </c>
      <c r="I221" s="41">
        <f t="shared" ca="1" si="1737"/>
        <v>0.46366057838662128</v>
      </c>
      <c r="J221" s="40">
        <f t="shared" ca="1" si="1857"/>
        <v>0.12985798725821379</v>
      </c>
      <c r="K221" s="40">
        <f t="shared" ca="1" si="1858"/>
        <v>2.5189751902588361E-2</v>
      </c>
      <c r="L221" s="40">
        <f t="shared" ca="1" si="1859"/>
        <v>0.19338305926412305</v>
      </c>
      <c r="M221" s="42">
        <f t="shared" ca="1" si="1860"/>
        <v>0.80176484822818728</v>
      </c>
      <c r="N221" s="42">
        <f t="shared" ca="1" si="1861"/>
        <v>0.60838178896406425</v>
      </c>
      <c r="O221" s="42">
        <f t="shared" ca="1" si="1862"/>
        <v>0.78865550202522283</v>
      </c>
      <c r="P221" s="42">
        <f t="shared" ca="1" si="1863"/>
        <v>0.21134449797477717</v>
      </c>
      <c r="Q221" s="42">
        <f t="shared" ca="1" si="1864"/>
        <v>0.72853285658034883</v>
      </c>
      <c r="R221" s="42">
        <f t="shared" ca="1" si="1865"/>
        <v>0.27146714341965111</v>
      </c>
      <c r="S221" s="42">
        <f t="shared" ca="1" si="1866"/>
        <v>0.98162450344672281</v>
      </c>
      <c r="T221" s="42">
        <f t="shared" ca="1" si="1867"/>
        <v>73.621837758504213</v>
      </c>
      <c r="U221" s="42">
        <f t="shared" ca="1" si="1868"/>
        <v>0.98801719747153338</v>
      </c>
      <c r="V221" s="42">
        <f t="shared" ca="1" si="1869"/>
        <v>84.376668664068958</v>
      </c>
      <c r="W221" s="42">
        <f t="shared" ca="1" si="1870"/>
        <v>0.28928238154977365</v>
      </c>
      <c r="X221" s="42">
        <f t="shared" ca="1" si="1871"/>
        <v>2.153365310014383</v>
      </c>
      <c r="Y221" s="42">
        <f t="shared" ca="1" si="1872"/>
        <v>-0.20881199859006749</v>
      </c>
      <c r="Z221" s="42">
        <f t="shared" ca="1" si="1873"/>
        <v>1.7306537635226424E-2</v>
      </c>
      <c r="AA221" s="42">
        <f t="shared" ca="1" si="1755"/>
        <v>-1.302570857267049E-2</v>
      </c>
      <c r="AB221" s="42">
        <f t="shared" ca="1" si="1874"/>
        <v>0.16620513797420244</v>
      </c>
      <c r="AC221" s="42">
        <f t="shared" ca="1" si="1875"/>
        <v>-9.2666785853637385E-2</v>
      </c>
      <c r="AD221" s="42">
        <f t="shared" ca="1" si="1876"/>
        <v>-723.31734499280856</v>
      </c>
      <c r="AF221" s="36">
        <f t="shared" si="1958"/>
        <v>80</v>
      </c>
      <c r="AG221" s="35">
        <f t="shared" si="1758"/>
        <v>0.28399999999999997</v>
      </c>
      <c r="AH221" s="197">
        <f t="shared" ca="1" si="1313"/>
        <v>169.23611111111677</v>
      </c>
      <c r="AI221" s="41">
        <f t="shared" ca="1" si="1759"/>
        <v>0.46366057838662128</v>
      </c>
      <c r="AJ221" s="40">
        <f t="shared" ca="1" si="1877"/>
        <v>6.5319466120642669E-2</v>
      </c>
      <c r="AK221" s="40">
        <f t="shared" ca="1" si="1878"/>
        <v>2.5189751902588361E-2</v>
      </c>
      <c r="AL221" s="40">
        <f t="shared" ca="1" si="1879"/>
        <v>0.19338305926412305</v>
      </c>
      <c r="AM221" s="42">
        <f t="shared" ca="1" si="1880"/>
        <v>0.46803074875143702</v>
      </c>
      <c r="AN221" s="42">
        <f t="shared" ca="1" si="1881"/>
        <v>0.274647689487314</v>
      </c>
      <c r="AO221" s="42">
        <f t="shared" ca="1" si="1882"/>
        <v>0.68011869960825055</v>
      </c>
      <c r="AP221" s="42">
        <f t="shared" ca="1" si="1883"/>
        <v>0.31988130039174945</v>
      </c>
      <c r="AQ221" s="42">
        <f t="shared" ca="1" si="1884"/>
        <v>0.60820653811473968</v>
      </c>
      <c r="AR221" s="42">
        <f t="shared" ca="1" si="1885"/>
        <v>0.39179346188526026</v>
      </c>
      <c r="AS221" s="42">
        <f t="shared" ca="1" si="1886"/>
        <v>0.98162450344672281</v>
      </c>
      <c r="AT221" s="42">
        <f t="shared" ca="1" si="1887"/>
        <v>78.529960275737821</v>
      </c>
      <c r="AU221" s="42">
        <f t="shared" ca="1" si="1888"/>
        <v>0.98801719747153338</v>
      </c>
      <c r="AV221" s="42">
        <f t="shared" ca="1" si="1889"/>
        <v>84.376668664068958</v>
      </c>
      <c r="AW221" s="42">
        <f t="shared" ca="1" si="1890"/>
        <v>0.3575554142041969</v>
      </c>
      <c r="AX221" s="42">
        <f t="shared" ca="1" si="1891"/>
        <v>3.777006503157132</v>
      </c>
      <c r="AY221" s="42">
        <f t="shared" ca="1" si="1892"/>
        <v>-0.31604822593660598</v>
      </c>
      <c r="AZ221" s="42">
        <f t="shared" ca="1" si="1893"/>
        <v>2.1391023537115056E-2</v>
      </c>
      <c r="BA221" s="42">
        <f t="shared" ca="1" si="1777"/>
        <v>-1.5787806699479157E-2</v>
      </c>
      <c r="BB221" s="42">
        <f t="shared" ca="1" si="1894"/>
        <v>0.20543092404335248</v>
      </c>
      <c r="BC221" s="42">
        <f t="shared" ca="1" si="1895"/>
        <v>-0.14265688436163948</v>
      </c>
      <c r="BD221" s="42">
        <f t="shared" ca="1" si="1896"/>
        <v>936.49674842143418</v>
      </c>
      <c r="BE221" s="40"/>
      <c r="BF221" s="36">
        <f t="shared" si="1959"/>
        <v>90</v>
      </c>
      <c r="BG221" s="35">
        <f t="shared" si="1780"/>
        <v>0.28399999999999997</v>
      </c>
      <c r="BH221" s="197">
        <f t="shared" ca="1" si="1336"/>
        <v>169.23611111111677</v>
      </c>
      <c r="BI221" s="41">
        <f t="shared" ca="1" si="1781"/>
        <v>0.46366057838662128</v>
      </c>
      <c r="BJ221" s="40">
        <f t="shared" ca="1" si="1897"/>
        <v>-5.2463569535740766E-2</v>
      </c>
      <c r="BK221" s="40">
        <f t="shared" ca="1" si="1898"/>
        <v>2.5189751902588361E-2</v>
      </c>
      <c r="BL221" s="40">
        <f t="shared" ca="1" si="1899"/>
        <v>0.19338305926412305</v>
      </c>
      <c r="BM221" s="42">
        <f t="shared" ca="1" si="1900"/>
        <v>-0.14103519582809868</v>
      </c>
      <c r="BN221" s="42">
        <f t="shared" ca="1" si="1901"/>
        <v>-0.33441825509222173</v>
      </c>
      <c r="BO221" s="42">
        <f t="shared" ca="1" si="1902"/>
        <v>0.44392106898616246</v>
      </c>
      <c r="BP221" s="42">
        <f t="shared" ca="1" si="1903"/>
        <v>0.55607893101383754</v>
      </c>
      <c r="BQ221" s="42">
        <f t="shared" ca="1" si="1904"/>
        <v>0.36903198301145818</v>
      </c>
      <c r="BR221" s="42">
        <f t="shared" ca="1" si="1905"/>
        <v>0.63096801698854188</v>
      </c>
      <c r="BS221" s="42">
        <f t="shared" ca="1" si="1906"/>
        <v>0.98162450344672281</v>
      </c>
      <c r="BT221" s="42">
        <f t="shared" ca="1" si="1907"/>
        <v>88.34620531020505</v>
      </c>
      <c r="BU221" s="42">
        <f t="shared" ca="1" si="1908"/>
        <v>0.98801719747153338</v>
      </c>
      <c r="BV221" s="42">
        <f t="shared" ca="1" si="1909"/>
        <v>84.376668664068958</v>
      </c>
      <c r="BW221" s="42">
        <f t="shared" ca="1" si="1910"/>
        <v>0.39499427951128013</v>
      </c>
      <c r="BX221" s="42">
        <f t="shared" ca="1" si="1911"/>
        <v>4.8540056136823466</v>
      </c>
      <c r="BY221" s="42">
        <f t="shared" ca="1" si="1912"/>
        <v>0.43860165047827548</v>
      </c>
      <c r="BZ221" s="42">
        <f t="shared" ca="1" si="1913"/>
        <v>2.3630832017624698E-2</v>
      </c>
      <c r="CA221" s="42">
        <f t="shared" ca="1" si="1799"/>
        <v>-1.9946570164958009E-2</v>
      </c>
      <c r="CB221" s="42">
        <f t="shared" ca="1" si="1914"/>
        <v>0.22694115823260852</v>
      </c>
      <c r="CC221" s="42">
        <f t="shared" ca="1" si="1915"/>
        <v>0.15116528937722107</v>
      </c>
      <c r="CD221" s="42">
        <f t="shared" ca="1" si="1916"/>
        <v>972.99719315882658</v>
      </c>
      <c r="CE221" s="40"/>
      <c r="CF221" s="36">
        <f t="shared" si="1960"/>
        <v>95</v>
      </c>
      <c r="CG221" s="35">
        <f t="shared" si="1802"/>
        <v>0.28399999999999997</v>
      </c>
      <c r="CH221" s="197">
        <f t="shared" ca="1" si="1359"/>
        <v>169.23611111111677</v>
      </c>
      <c r="CI221" s="41">
        <f t="shared" ca="1" si="1803"/>
        <v>0.46366057838662128</v>
      </c>
      <c r="CJ221" s="40">
        <f t="shared" ca="1" si="1917"/>
        <v>-0.10653079080601656</v>
      </c>
      <c r="CK221" s="40">
        <f t="shared" ca="1" si="1918"/>
        <v>2.5189751902588361E-2</v>
      </c>
      <c r="CL221" s="40">
        <f t="shared" ca="1" si="1919"/>
        <v>0.19338305926412305</v>
      </c>
      <c r="CM221" s="42">
        <f t="shared" ca="1" si="1920"/>
        <v>-0.42062132646444694</v>
      </c>
      <c r="CN221" s="42">
        <f t="shared" ca="1" si="1921"/>
        <v>-0.61400438572856997</v>
      </c>
      <c r="CO221" s="42">
        <f t="shared" ca="1" si="1922"/>
        <v>0.33701580910706302</v>
      </c>
      <c r="CP221" s="42">
        <f t="shared" ca="1" si="1923"/>
        <v>0.66298419089293703</v>
      </c>
      <c r="CQ221" s="42">
        <f t="shared" ca="1" si="1924"/>
        <v>0.26960621453848232</v>
      </c>
      <c r="CR221" s="42">
        <f t="shared" ca="1" si="1925"/>
        <v>0.73039378546151768</v>
      </c>
      <c r="CS221" s="42">
        <f t="shared" ca="1" si="1926"/>
        <v>0.98162450344672281</v>
      </c>
      <c r="CT221" s="42">
        <f t="shared" ca="1" si="1927"/>
        <v>93.254327827438672</v>
      </c>
      <c r="CU221" s="42">
        <f t="shared" ca="1" si="1928"/>
        <v>0.98801719747153338</v>
      </c>
      <c r="CV221" s="42">
        <f t="shared" ca="1" si="1929"/>
        <v>84.376668664068958</v>
      </c>
      <c r="CW221" s="42">
        <f t="shared" ca="1" si="1930"/>
        <v>0.365167296678925</v>
      </c>
      <c r="CX221" s="42">
        <f t="shared" ca="1" si="1931"/>
        <v>3.2943249446933756</v>
      </c>
      <c r="CY221" s="42">
        <f t="shared" ca="1" si="1932"/>
        <v>0.33297741521756169</v>
      </c>
      <c r="CZ221" s="42">
        <f t="shared" ca="1" si="1933"/>
        <v>2.1846410172893065E-2</v>
      </c>
      <c r="DA221" s="42">
        <f t="shared" ca="1" si="1821"/>
        <v>-1.8333614860733365E-2</v>
      </c>
      <c r="DB221" s="42">
        <f t="shared" ca="1" si="1934"/>
        <v>0.20980427706325602</v>
      </c>
      <c r="DC221" s="42">
        <f t="shared" ca="1" si="1935"/>
        <v>0.11657329370125608</v>
      </c>
      <c r="DD221" s="42">
        <f t="shared" ca="1" si="1936"/>
        <v>-927.83752765331235</v>
      </c>
      <c r="DE221" s="40"/>
      <c r="DF221" s="36">
        <f t="shared" si="1961"/>
        <v>200</v>
      </c>
      <c r="DG221" s="35">
        <f t="shared" si="1824"/>
        <v>0.28399999999999997</v>
      </c>
      <c r="DH221" s="197">
        <f t="shared" ca="1" si="1382"/>
        <v>169.23611111111677</v>
      </c>
      <c r="DI221" s="41">
        <f t="shared" ca="1" si="1825"/>
        <v>0.46366057838662128</v>
      </c>
      <c r="DJ221" s="40">
        <f t="shared" ca="1" si="1937"/>
        <v>-0.85097126575351234</v>
      </c>
      <c r="DK221" s="40">
        <f t="shared" ca="1" si="1938"/>
        <v>2.5189751902588361E-2</v>
      </c>
      <c r="DL221" s="40">
        <f t="shared" ca="1" si="1939"/>
        <v>0.19338305926412305</v>
      </c>
      <c r="DM221" s="42">
        <f t="shared" ca="1" si="1940"/>
        <v>-4.2701853874545943</v>
      </c>
      <c r="DN221" s="42">
        <f t="shared" ca="1" si="1941"/>
        <v>-4.4635684467187176</v>
      </c>
      <c r="DO221" s="42">
        <f t="shared" ca="1" si="1942"/>
        <v>9.7655276518789487E-6</v>
      </c>
      <c r="DP221" s="42">
        <f t="shared" ca="1" si="1943"/>
        <v>0.99999023447234814</v>
      </c>
      <c r="DQ221" s="42">
        <f t="shared" ca="1" si="1944"/>
        <v>4.0302916462733568E-6</v>
      </c>
      <c r="DR221" s="42">
        <f t="shared" ca="1" si="1945"/>
        <v>0.99999596970835369</v>
      </c>
      <c r="DS221" s="42">
        <f t="shared" ca="1" si="1946"/>
        <v>0.98162450344672281</v>
      </c>
      <c r="DT221" s="42">
        <f t="shared" ca="1" si="1947"/>
        <v>196.32490068934456</v>
      </c>
      <c r="DU221" s="42">
        <f t="shared" ca="1" si="1948"/>
        <v>0.98801719747153338</v>
      </c>
      <c r="DV221" s="42">
        <f t="shared" ca="1" si="1949"/>
        <v>84.376668664068958</v>
      </c>
      <c r="DW221" s="42">
        <f t="shared" ca="1" si="1950"/>
        <v>4.3786712472282578E-5</v>
      </c>
      <c r="DX221" s="42">
        <f t="shared" si="1951"/>
        <v>0</v>
      </c>
      <c r="DY221" s="92">
        <f t="shared" ca="1" si="1952"/>
        <v>0</v>
      </c>
      <c r="DZ221" s="42">
        <f t="shared" ca="1" si="1953"/>
        <v>0</v>
      </c>
      <c r="EA221" s="42">
        <f t="shared" ca="1" si="1843"/>
        <v>0</v>
      </c>
      <c r="EB221" s="42">
        <f t="shared" ca="1" si="1954"/>
        <v>0</v>
      </c>
      <c r="EC221" s="42">
        <f t="shared" ca="1" si="1955"/>
        <v>0</v>
      </c>
      <c r="ED221" s="42">
        <f t="shared" ca="1" si="1956"/>
        <v>0</v>
      </c>
      <c r="EE221" s="40"/>
      <c r="EF221" s="120">
        <f t="shared" ca="1" si="1962"/>
        <v>85.4</v>
      </c>
      <c r="EG221" s="42">
        <f t="shared" ca="1" si="1846"/>
        <v>258.33906893413985</v>
      </c>
      <c r="EH221" s="36">
        <f t="shared" ca="1" si="1847"/>
        <v>258.33906893413985</v>
      </c>
      <c r="EI221" s="143">
        <f t="shared" ca="1" si="1848"/>
        <v>258.339</v>
      </c>
      <c r="EJ221" s="143">
        <f t="shared" ca="1" si="1856"/>
        <v>0</v>
      </c>
      <c r="EK221" s="153">
        <f t="shared" ca="1" si="1849"/>
        <v>0</v>
      </c>
      <c r="EL221" s="143">
        <f t="shared" ca="1" si="1850"/>
        <v>0</v>
      </c>
    </row>
    <row r="222" spans="1:142" x14ac:dyDescent="0.3">
      <c r="A222" s="152">
        <v>6</v>
      </c>
      <c r="B222" s="149" t="e">
        <f ca="1">MATCH($A222,$EN$53:$EN$149,0)</f>
        <v>#N/A</v>
      </c>
      <c r="C222" s="150" t="str">
        <f ca="1">IF(ISNUMBER($B222),INDEX($EL$53:$EL$149,$B222),"")</f>
        <v/>
      </c>
      <c r="D222" s="163" t="str">
        <f ca="1">IF($C222="","",LEFT($C222,3))</f>
        <v/>
      </c>
      <c r="E222" s="150" t="str">
        <f ca="1">IF($C222="","",MID($C222,5,3))</f>
        <v/>
      </c>
      <c r="F222" s="150" t="str">
        <f ca="1">IF(ISNUMBER($B222),IF($E222="BEG",INDEX($EF$51:$EF$147,$B222),INDEX($EF$52:$EF$148,$B222)),"")</f>
        <v/>
      </c>
      <c r="G222" s="150" t="str">
        <f ca="1">IF($D222="MAX",MAX($EI223:$EI235),IF($D222="MIN",MIN($EI223:$EI235),""))</f>
        <v/>
      </c>
      <c r="H222" s="150" t="str">
        <f ca="1">IF($D222="B/E",MAX($EL224:$EL235),IF($G222="","",SUM($EK223:$EK235)))</f>
        <v/>
      </c>
      <c r="I222" s="150" t="str">
        <f ca="1">IF($D222="B/E",MATCH($H222,$EL224:$EL235,0)+1,IF($E222="END",$H222,IF($E222="BEG",14-$H222,IF($E222="MID",MATCH(1,$EK223:$EK235,0),""))))</f>
        <v/>
      </c>
      <c r="J222" s="150" t="str">
        <f ca="1">IF($I222="","",INDEX($EF223:$EF235,$I222))</f>
        <v/>
      </c>
      <c r="K222" s="150" t="str">
        <f ca="1">IF($D222="B/E",INDEX($EI223:$EI235,$I222-1),"")</f>
        <v/>
      </c>
      <c r="L222" s="150" t="str">
        <f ca="1">IF($D222="B/E",INDEX($EI223:$EI235,$I222),"")</f>
        <v/>
      </c>
      <c r="M222" s="150" t="str">
        <f ca="1">IF($E222="BEG",INDEX($EJ223:$EJ235,$I222-1),"")</f>
        <v/>
      </c>
      <c r="N222" s="150" t="str">
        <f ca="1">IF(OR($E222="BEG",$E222="MID"),INDEX($EJ223:$EJ235,$I222),"")</f>
        <v/>
      </c>
      <c r="O222" s="150" t="str">
        <f ca="1">IF(OR($E222="MID",$E222="END"),INDEX($EJ223:$EJ235,$I222+1),"")</f>
        <v/>
      </c>
      <c r="P222" s="150" t="str">
        <f ca="1">IF($E222="END",INDEX($EJ223:$EJ235,$I222+2),"")</f>
        <v/>
      </c>
      <c r="Q222" s="150" t="str">
        <f ca="1">IF($D222="B/E",IF($H222=1,$J222,IF($H222=2,$J222+$EF$48*(ABS($K222/($L222-$K222))-1),$J222)),"")</f>
        <v/>
      </c>
      <c r="R222" s="150" t="str">
        <f ca="1">IF($E222="BEG",$J222-IF(AND(ISNUMBER($M222),$M222&lt;&gt;0),$EF$48*(1-$N222/$M222),0),"")</f>
        <v/>
      </c>
      <c r="S222" s="150" t="str">
        <f ca="1">IF($E222="MID",$J222+$EF$48*(ABS($N222)-ABS($O222))/MAX(ABS($N222),ABS($O222))/2,"")</f>
        <v/>
      </c>
      <c r="T222" s="150" t="str">
        <f ca="1">IF($E222="END",$J222+IF(AND(ISNUMBER($P222),$P222&lt;&gt;0),$EF$48*(1-$O222/$P222),0),"")</f>
        <v/>
      </c>
      <c r="U222" s="150" t="str">
        <f ca="1">IF($D222="B/E",$Q222,IF($E222="BEG",$R222,IF($E222="MID",$S222,IF($E222="END",$T222,""))))</f>
        <v/>
      </c>
      <c r="V222" s="163" t="str">
        <f ca="1">IF(ISNUMBER($U222),$U222,IF($D222="","",$F222))</f>
        <v/>
      </c>
      <c r="W222" s="163" t="str">
        <f ca="1">IF(AND(ISNUMBER($V222),ISNUMBER($EI$242)),$EI$242,"")</f>
        <v/>
      </c>
      <c r="AH222" s="201"/>
      <c r="BH222" s="201"/>
      <c r="CH222" s="201"/>
      <c r="DH222" s="201"/>
      <c r="EF222" s="120"/>
      <c r="EG222" s="42"/>
      <c r="EH222" s="36"/>
      <c r="EI222" s="155" t="s">
        <v>109</v>
      </c>
      <c r="EJ222" s="155" t="s">
        <v>110</v>
      </c>
      <c r="EK222" s="155" t="s">
        <v>112</v>
      </c>
      <c r="EL222" s="155" t="s">
        <v>116</v>
      </c>
    </row>
    <row r="223" spans="1:142" x14ac:dyDescent="0.3">
      <c r="A223" s="146">
        <f ca="1">IF(AND($M$22=1,ISNUMBER($B$222)),$F$222-$EF$48,A$48)</f>
        <v>85.4</v>
      </c>
      <c r="B223" s="147">
        <f ca="1">IF(AND($M$22=2,ISNUMBER($B$222)),$F$222-$EF$48,B$48)</f>
        <v>0.28399999999999997</v>
      </c>
      <c r="C223" s="148">
        <f ca="1">IF(AND($M$22=3,ISNUMBER($B$222)),$F$222-$EF$48,C$48)</f>
        <v>45295.440972222219</v>
      </c>
      <c r="D223" s="147">
        <f ca="1">IF(AND($M$22=4,ISNUMBER($B$222)),$F$222-$EF$48,D$48)</f>
        <v>2.5999999999999999E-2</v>
      </c>
      <c r="E223" s="147">
        <f ca="1">IF(AND($M$22=5,ISNUMBER($B$222)),$F$222-$EF$48,E$48)</f>
        <v>0.04</v>
      </c>
      <c r="F223" s="36">
        <f t="shared" ref="F223:F235" si="1963">F$48</f>
        <v>75</v>
      </c>
      <c r="G223" s="35">
        <f t="shared" ref="G223:G235" si="1964">IF($M$22=2,$B223,G$48)</f>
        <v>0.28399999999999997</v>
      </c>
      <c r="H223" s="197">
        <f t="shared" ca="1" si="1290"/>
        <v>169.23611111111677</v>
      </c>
      <c r="I223" s="41">
        <f t="shared" ref="I223:I235" ca="1" si="1965">H223/365</f>
        <v>0.46366057838662128</v>
      </c>
      <c r="J223" s="40">
        <f t="shared" ref="J223:J225" ca="1" si="1966">LN($A223/F223)</f>
        <v>0.12985798725821379</v>
      </c>
      <c r="K223" s="40">
        <f t="shared" ref="K223:K225" ca="1" si="1967">($E223-$D223+POWER(G223,2)/2)*I223</f>
        <v>2.5189751902588361E-2</v>
      </c>
      <c r="L223" s="40">
        <f t="shared" ref="L223:L225" ca="1" si="1968">MAX(0,0.000000000001,G223*SQRT(I223))</f>
        <v>0.19338305926412305</v>
      </c>
      <c r="M223" s="42">
        <f t="shared" ref="M223:M225" ca="1" si="1969">(J223+K223)/L223</f>
        <v>0.80176484822818728</v>
      </c>
      <c r="N223" s="42">
        <f t="shared" ref="N223:N225" ca="1" si="1970">M223-L223</f>
        <v>0.60838178896406425</v>
      </c>
      <c r="O223" s="42">
        <f t="shared" ref="O223:O225" ca="1" si="1971">_xlfn.NORM.DIST(M223,0,1,TRUE)</f>
        <v>0.78865550202522283</v>
      </c>
      <c r="P223" s="42">
        <f t="shared" ref="P223:P225" ca="1" si="1972">_xlfn.NORM.DIST(-M223,0,1,TRUE)</f>
        <v>0.21134449797477717</v>
      </c>
      <c r="Q223" s="42">
        <f t="shared" ref="Q223:Q225" ca="1" si="1973">_xlfn.NORM.DIST(N223,0,1,TRUE)</f>
        <v>0.72853285658034883</v>
      </c>
      <c r="R223" s="42">
        <f t="shared" ref="R223:R225" ca="1" si="1974">_xlfn.NORM.DIST(-N223,0,1,TRUE)</f>
        <v>0.27146714341965111</v>
      </c>
      <c r="S223" s="42">
        <f t="shared" ref="S223:S225" ca="1" si="1975">EXP(-$E223*I223)</f>
        <v>0.98162450344672281</v>
      </c>
      <c r="T223" s="42">
        <f t="shared" ref="T223:T225" ca="1" si="1976">F223*S223</f>
        <v>73.621837758504213</v>
      </c>
      <c r="U223" s="42">
        <f t="shared" ref="U223:U225" ca="1" si="1977">EXP(-$D223*I223)</f>
        <v>0.98801719747153338</v>
      </c>
      <c r="V223" s="42">
        <f t="shared" ref="V223:V225" ca="1" si="1978">$A223*U223</f>
        <v>84.376668664068958</v>
      </c>
      <c r="W223" s="42">
        <f t="shared" ref="W223:W225" ca="1" si="1979">EXP(-1*POWER(M223,2)/2)/SQRT(2*PI())</f>
        <v>0.28928238154977365</v>
      </c>
      <c r="X223" s="42">
        <f t="shared" ref="X223:X225" ca="1" si="1980">IF($F$8=1,0,IF($F$8=2,$A223,IF($F$8=3,V223*O223-T223*Q223,T223*R223-V223*P223)))</f>
        <v>2.153365310014383</v>
      </c>
      <c r="Y223" s="42">
        <f t="shared" ref="Y223:Y225" ca="1" si="1981">IF($F$8=2,1,IF(OR($F$8=1,I223&lt;=0),0,IF($F$8=3,O223*U223,(O223-1)*U223)))</f>
        <v>-0.20881199859006749</v>
      </c>
      <c r="Z223" s="42">
        <f t="shared" ref="Z223:Z225" ca="1" si="1982">IF(OR($F$8&lt;=2,I223&lt;=0),0,W223*U223/($A223*L223))</f>
        <v>1.7306537635226424E-2</v>
      </c>
      <c r="AA223" s="42">
        <f t="shared" ref="AA223:AA235" ca="1" si="1983">IF(OR($F$8&lt;=2,I223&lt;=0),0,(IF($F$8=3,-1*$E223*F223*S223*Q223+$D223*$A223*U223*O223,$E223*F223*S223*R223-$D223*$A223*U223*P223)-(W223*$A223*G223*U223/(2*SQRT(I223))))/365)</f>
        <v>-1.302570857267049E-2</v>
      </c>
      <c r="AB223" s="42">
        <f t="shared" ref="AB223:AB225" ca="1" si="1984">IF(OR($F$8&lt;=2,I223&lt;=0),0,(W223*$A223*U223*SQRT(I223))/100)</f>
        <v>0.16620513797420244</v>
      </c>
      <c r="AC223" s="42">
        <f t="shared" ref="AC223:AC225" ca="1" si="1985">IF(OR($F$8&lt;=2,I223&lt;=0),0,IF($F$8=3,Q223,-1*R223)*F223*I223*S223/100)</f>
        <v>-9.2666785853637385E-2</v>
      </c>
      <c r="AD223" s="42">
        <f ca="1">IF($F$8=1,0,IF($M$28=1,X223-$G$8,OFFSET(V223,0,$M$28))*IF($M$30=1,SIGN($B$8),$T$8))</f>
        <v>-723.31734499280856</v>
      </c>
      <c r="AF223" s="36">
        <f t="shared" ref="AF223:AF235" si="1986">AF$48</f>
        <v>80</v>
      </c>
      <c r="AG223" s="35">
        <f t="shared" ref="AG223:AG235" si="1987">IF($M$22=2,$B223,AG$48)</f>
        <v>0.28399999999999997</v>
      </c>
      <c r="AH223" s="197">
        <f t="shared" ca="1" si="1313"/>
        <v>169.23611111111677</v>
      </c>
      <c r="AI223" s="41">
        <f t="shared" ref="AI223:AI235" ca="1" si="1988">AH223/365</f>
        <v>0.46366057838662128</v>
      </c>
      <c r="AJ223" s="40">
        <f t="shared" ref="AJ223:AJ225" ca="1" si="1989">LN($A223/AF223)</f>
        <v>6.5319466120642669E-2</v>
      </c>
      <c r="AK223" s="40">
        <f t="shared" ref="AK223:AK225" ca="1" si="1990">($E223-$D223+POWER(AG223,2)/2)*AI223</f>
        <v>2.5189751902588361E-2</v>
      </c>
      <c r="AL223" s="40">
        <f t="shared" ref="AL223:AL225" ca="1" si="1991">MAX(0,0.000000000001,AG223*SQRT(AI223))</f>
        <v>0.19338305926412305</v>
      </c>
      <c r="AM223" s="42">
        <f t="shared" ref="AM223:AM225" ca="1" si="1992">(AJ223+AK223)/AL223</f>
        <v>0.46803074875143702</v>
      </c>
      <c r="AN223" s="42">
        <f t="shared" ref="AN223:AN225" ca="1" si="1993">AM223-AL223</f>
        <v>0.274647689487314</v>
      </c>
      <c r="AO223" s="42">
        <f t="shared" ref="AO223:AO225" ca="1" si="1994">_xlfn.NORM.DIST(AM223,0,1,TRUE)</f>
        <v>0.68011869960825055</v>
      </c>
      <c r="AP223" s="42">
        <f t="shared" ref="AP223:AP225" ca="1" si="1995">_xlfn.NORM.DIST(-AM223,0,1,TRUE)</f>
        <v>0.31988130039174945</v>
      </c>
      <c r="AQ223" s="42">
        <f t="shared" ref="AQ223:AQ225" ca="1" si="1996">_xlfn.NORM.DIST(AN223,0,1,TRUE)</f>
        <v>0.60820653811473968</v>
      </c>
      <c r="AR223" s="42">
        <f t="shared" ref="AR223:AR225" ca="1" si="1997">_xlfn.NORM.DIST(-AN223,0,1,TRUE)</f>
        <v>0.39179346188526026</v>
      </c>
      <c r="AS223" s="42">
        <f t="shared" ref="AS223:AS225" ca="1" si="1998">EXP(-$E223*AI223)</f>
        <v>0.98162450344672281</v>
      </c>
      <c r="AT223" s="42">
        <f t="shared" ref="AT223:AT225" ca="1" si="1999">AF223*AS223</f>
        <v>78.529960275737821</v>
      </c>
      <c r="AU223" s="42">
        <f t="shared" ref="AU223:AU225" ca="1" si="2000">EXP(-$D223*AI223)</f>
        <v>0.98801719747153338</v>
      </c>
      <c r="AV223" s="42">
        <f t="shared" ref="AV223:AV225" ca="1" si="2001">$A223*AU223</f>
        <v>84.376668664068958</v>
      </c>
      <c r="AW223" s="42">
        <f t="shared" ref="AW223:AW225" ca="1" si="2002">EXP(-1*POWER(AM223,2)/2)/SQRT(2*PI())</f>
        <v>0.3575554142041969</v>
      </c>
      <c r="AX223" s="42">
        <f t="shared" ref="AX223:AX225" ca="1" si="2003">IF($F$10=1,0,IF($F$10=2,$A223,IF($F$10=3,AV223*AO223-AT223*AQ223,AT223*AR223-AV223*AP223)))</f>
        <v>3.777006503157132</v>
      </c>
      <c r="AY223" s="42">
        <f t="shared" ref="AY223:AY225" ca="1" si="2004">IF($F$10=2,1,IF(OR($F$10=1,AI223&lt;=0),0,IF($F$10=3,AO223*AU223,(AO223-1)*AU223)))</f>
        <v>-0.31604822593660598</v>
      </c>
      <c r="AZ223" s="42">
        <f t="shared" ref="AZ223:AZ225" ca="1" si="2005">IF(OR($F$10&lt;=2,AI223&lt;=0),0,AW223*AU223/($A223*AL223))</f>
        <v>2.1391023537115056E-2</v>
      </c>
      <c r="BA223" s="42">
        <f t="shared" ref="BA223:BA235" ca="1" si="2006">IF(OR($F$10&lt;=2,AI223&lt;=0),0,(IF($F$10=3,-1*$E223*AF223*AS223*AQ223+$D223*$A223*AU223*AO223,$E223*AF223*AS223*AR223-$D223*$A223*AU223*AP223)-(AW223*$A223*AG223*AU223/(2*SQRT(AI223))))/365)</f>
        <v>-1.5787806699479157E-2</v>
      </c>
      <c r="BB223" s="42">
        <f t="shared" ref="BB223:BB225" ca="1" si="2007">IF(OR($F$10&lt;=2,AI223&lt;=0),0,(AW223*$A223*AU223*SQRT(AI223))/100)</f>
        <v>0.20543092404335248</v>
      </c>
      <c r="BC223" s="42">
        <f t="shared" ref="BC223:BC225" ca="1" si="2008">IF(OR($F$10&lt;=2,AI223&lt;=0),0,IF($F$10=3,AQ223,-1*AR223)*AF223*AI223*AS223/100)</f>
        <v>-0.14265688436163948</v>
      </c>
      <c r="BD223" s="42">
        <f ca="1">IF($F$10=1,0,IF($M$28=1,AX223-$G$10,OFFSET(AV223,0,$M$28))*IF($M$30=1,SIGN($B$10),$T$10))</f>
        <v>936.49674842143418</v>
      </c>
      <c r="BE223" s="40"/>
      <c r="BF223" s="36">
        <f t="shared" ref="BF223:BF235" si="2009">BF$48</f>
        <v>90</v>
      </c>
      <c r="BG223" s="35">
        <f t="shared" ref="BG223:BG235" si="2010">IF($M$22=2,$B223,BG$48)</f>
        <v>0.28399999999999997</v>
      </c>
      <c r="BH223" s="197">
        <f t="shared" ca="1" si="1336"/>
        <v>169.23611111111677</v>
      </c>
      <c r="BI223" s="41">
        <f t="shared" ref="BI223:BI235" ca="1" si="2011">BH223/365</f>
        <v>0.46366057838662128</v>
      </c>
      <c r="BJ223" s="40">
        <f t="shared" ref="BJ223:BJ225" ca="1" si="2012">LN($A223/BF223)</f>
        <v>-5.2463569535740766E-2</v>
      </c>
      <c r="BK223" s="40">
        <f t="shared" ref="BK223:BK225" ca="1" si="2013">($E223-$D223+POWER(BG223,2)/2)*BI223</f>
        <v>2.5189751902588361E-2</v>
      </c>
      <c r="BL223" s="40">
        <f t="shared" ref="BL223:BL225" ca="1" si="2014">MAX(0,0.000000000001,BG223*SQRT(BI223))</f>
        <v>0.19338305926412305</v>
      </c>
      <c r="BM223" s="42">
        <f t="shared" ref="BM223:BM225" ca="1" si="2015">(BJ223+BK223)/BL223</f>
        <v>-0.14103519582809868</v>
      </c>
      <c r="BN223" s="42">
        <f t="shared" ref="BN223:BN225" ca="1" si="2016">BM223-BL223</f>
        <v>-0.33441825509222173</v>
      </c>
      <c r="BO223" s="42">
        <f t="shared" ref="BO223:BO225" ca="1" si="2017">_xlfn.NORM.DIST(BM223,0,1,TRUE)</f>
        <v>0.44392106898616246</v>
      </c>
      <c r="BP223" s="42">
        <f t="shared" ref="BP223:BP225" ca="1" si="2018">_xlfn.NORM.DIST(-BM223,0,1,TRUE)</f>
        <v>0.55607893101383754</v>
      </c>
      <c r="BQ223" s="42">
        <f t="shared" ref="BQ223:BQ225" ca="1" si="2019">_xlfn.NORM.DIST(BN223,0,1,TRUE)</f>
        <v>0.36903198301145818</v>
      </c>
      <c r="BR223" s="42">
        <f t="shared" ref="BR223:BR225" ca="1" si="2020">_xlfn.NORM.DIST(-BN223,0,1,TRUE)</f>
        <v>0.63096801698854188</v>
      </c>
      <c r="BS223" s="42">
        <f t="shared" ref="BS223:BS225" ca="1" si="2021">EXP(-$E223*BI223)</f>
        <v>0.98162450344672281</v>
      </c>
      <c r="BT223" s="42">
        <f t="shared" ref="BT223:BT225" ca="1" si="2022">BF223*BS223</f>
        <v>88.34620531020505</v>
      </c>
      <c r="BU223" s="42">
        <f t="shared" ref="BU223:BU225" ca="1" si="2023">EXP(-$D223*BI223)</f>
        <v>0.98801719747153338</v>
      </c>
      <c r="BV223" s="42">
        <f t="shared" ref="BV223:BV225" ca="1" si="2024">$A223*BU223</f>
        <v>84.376668664068958</v>
      </c>
      <c r="BW223" s="42">
        <f t="shared" ref="BW223:BW225" ca="1" si="2025">EXP(-1*POWER(BM223,2)/2)/SQRT(2*PI())</f>
        <v>0.39499427951128013</v>
      </c>
      <c r="BX223" s="42">
        <f t="shared" ref="BX223:BX225" ca="1" si="2026">IF($F$12=1,0,IF($F$12=2,$A223,IF($F$12=3,BV223*BO223-BT223*BQ223,BT223*BR223-BV223*BP223)))</f>
        <v>4.8540056136823466</v>
      </c>
      <c r="BY223" s="42">
        <f t="shared" ref="BY223:BY225" ca="1" si="2027">IF($F$12=2,1,IF(OR($F$12=1,BI223&lt;=0),0,IF($F$12=3,BO223*BU223,(BO223-1)*BU223)))</f>
        <v>0.43860165047827548</v>
      </c>
      <c r="BZ223" s="42">
        <f t="shared" ref="BZ223:BZ225" ca="1" si="2028">IF(OR($F$12&lt;=2,BI223&lt;=0),0,BW223*BU223/($A223*BL223))</f>
        <v>2.3630832017624698E-2</v>
      </c>
      <c r="CA223" s="42">
        <f t="shared" ref="CA223:CA235" ca="1" si="2029">IF(OR($F$12&lt;=2,BI223&lt;=0),0,(IF($F$12=3,-1*$E223*BF223*BS223*BQ223+$D223*$A223*BU223*BO223,$E223*BF223*BS223*BR223-$D223*$A223*BU223*BP223)-(BW223*$A223*BG223*BU223/(2*SQRT(BI223))))/365)</f>
        <v>-1.9946570164958009E-2</v>
      </c>
      <c r="CB223" s="42">
        <f t="shared" ref="CB223:CB225" ca="1" si="2030">IF(OR($F$12&lt;=2,BI223&lt;=0),0,(BW223*$A223*BU223*SQRT(BI223))/100)</f>
        <v>0.22694115823260852</v>
      </c>
      <c r="CC223" s="42">
        <f t="shared" ref="CC223:CC225" ca="1" si="2031">IF(OR($F$12&lt;=2,BI223&lt;=0),0,IF($F$12=3,BQ223,-1*BR223)*BF223*BI223*BS223/100)</f>
        <v>0.15116528937722107</v>
      </c>
      <c r="CD223" s="42">
        <f ca="1">IF($F$12=1,0,IF($M$28=1,BX223-$G$12,OFFSET(BV223,0,$M$28))*IF($M$30=1,SIGN($B$12),$T$12))</f>
        <v>972.99719315882658</v>
      </c>
      <c r="CE223" s="40"/>
      <c r="CF223" s="36">
        <f t="shared" ref="CF223:CF235" si="2032">CF$48</f>
        <v>95</v>
      </c>
      <c r="CG223" s="35">
        <f t="shared" ref="CG223:CG235" si="2033">IF($M$22=2,$B223,CG$48)</f>
        <v>0.28399999999999997</v>
      </c>
      <c r="CH223" s="197">
        <f t="shared" ca="1" si="1359"/>
        <v>169.23611111111677</v>
      </c>
      <c r="CI223" s="41">
        <f t="shared" ref="CI223:CI235" ca="1" si="2034">CH223/365</f>
        <v>0.46366057838662128</v>
      </c>
      <c r="CJ223" s="40">
        <f t="shared" ref="CJ223:CJ225" ca="1" si="2035">LN($A223/CF223)</f>
        <v>-0.10653079080601656</v>
      </c>
      <c r="CK223" s="40">
        <f t="shared" ref="CK223:CK225" ca="1" si="2036">($E223-$D223+POWER(CG223,2)/2)*CI223</f>
        <v>2.5189751902588361E-2</v>
      </c>
      <c r="CL223" s="40">
        <f t="shared" ref="CL223:CL225" ca="1" si="2037">MAX(0,0.000000000001,CG223*SQRT(CI223))</f>
        <v>0.19338305926412305</v>
      </c>
      <c r="CM223" s="42">
        <f t="shared" ref="CM223:CM225" ca="1" si="2038">(CJ223+CK223)/CL223</f>
        <v>-0.42062132646444694</v>
      </c>
      <c r="CN223" s="42">
        <f t="shared" ref="CN223:CN225" ca="1" si="2039">CM223-CL223</f>
        <v>-0.61400438572856997</v>
      </c>
      <c r="CO223" s="42">
        <f t="shared" ref="CO223:CO225" ca="1" si="2040">_xlfn.NORM.DIST(CM223,0,1,TRUE)</f>
        <v>0.33701580910706302</v>
      </c>
      <c r="CP223" s="42">
        <f t="shared" ref="CP223:CP225" ca="1" si="2041">_xlfn.NORM.DIST(-CM223,0,1,TRUE)</f>
        <v>0.66298419089293703</v>
      </c>
      <c r="CQ223" s="42">
        <f t="shared" ref="CQ223:CQ225" ca="1" si="2042">_xlfn.NORM.DIST(CN223,0,1,TRUE)</f>
        <v>0.26960621453848232</v>
      </c>
      <c r="CR223" s="42">
        <f t="shared" ref="CR223:CR225" ca="1" si="2043">_xlfn.NORM.DIST(-CN223,0,1,TRUE)</f>
        <v>0.73039378546151768</v>
      </c>
      <c r="CS223" s="42">
        <f t="shared" ref="CS223:CS225" ca="1" si="2044">EXP(-$E223*CI223)</f>
        <v>0.98162450344672281</v>
      </c>
      <c r="CT223" s="42">
        <f t="shared" ref="CT223:CT225" ca="1" si="2045">CF223*CS223</f>
        <v>93.254327827438672</v>
      </c>
      <c r="CU223" s="42">
        <f t="shared" ref="CU223:CU225" ca="1" si="2046">EXP(-$D223*CI223)</f>
        <v>0.98801719747153338</v>
      </c>
      <c r="CV223" s="42">
        <f t="shared" ref="CV223:CV225" ca="1" si="2047">$A223*CU223</f>
        <v>84.376668664068958</v>
      </c>
      <c r="CW223" s="42">
        <f t="shared" ref="CW223:CW225" ca="1" si="2048">EXP(-1*POWER(CM223,2)/2)/SQRT(2*PI())</f>
        <v>0.365167296678925</v>
      </c>
      <c r="CX223" s="42">
        <f t="shared" ref="CX223:CX225" ca="1" si="2049">IF($F$14=1,0,IF($F$14=2,$A223,IF($F$14=3,CV223*CO223-CT223*CQ223,CT223*CR223-CV223*CP223)))</f>
        <v>3.2943249446933756</v>
      </c>
      <c r="CY223" s="42">
        <f t="shared" ref="CY223:CY225" ca="1" si="2050">IF($F$14=2,1,IF(OR($F$14=1,CI223&lt;=0),0,IF($F$14=3,CO223*CU223,(CO223-1)*CU223)))</f>
        <v>0.33297741521756169</v>
      </c>
      <c r="CZ223" s="42">
        <f t="shared" ref="CZ223:CZ225" ca="1" si="2051">IF(OR($F$14&lt;=2,CI223&lt;=0),0,CW223*CU223/($A223*CL223))</f>
        <v>2.1846410172893065E-2</v>
      </c>
      <c r="DA223" s="42">
        <f t="shared" ref="DA223:DA235" ca="1" si="2052">IF(OR($F$14&lt;=2,CI223&lt;=0),0,(IF($F$14=3,-1*$E223*CF223*CS223*CQ223+$D223*$A223*CU223*CO223,$E223*CF223*CS223*CR223-$D223*$A223*CU223*CP223)-(CW223*$A223*CG223*CU223/(2*SQRT(CI223))))/365)</f>
        <v>-1.8333614860733365E-2</v>
      </c>
      <c r="DB223" s="42">
        <f t="shared" ref="DB223:DB225" ca="1" si="2053">IF(OR($F$14&lt;=2,CI223&lt;=0),0,(CW223*$A223*CU223*SQRT(CI223))/100)</f>
        <v>0.20980427706325602</v>
      </c>
      <c r="DC223" s="42">
        <f t="shared" ref="DC223:DC225" ca="1" si="2054">IF(OR($F$14&lt;=2,CI223&lt;=0),0,IF($F$14=3,CQ223,-1*CR223)*CF223*CI223*CS223/100)</f>
        <v>0.11657329370125608</v>
      </c>
      <c r="DD223" s="42">
        <f ca="1">IF($F$14=1,0,IF($M$28=1,CX223-$G$14,OFFSET(CV223,0,$M$28))*IF($M$30=1,SIGN($B$14),$T$14))</f>
        <v>-927.83752765331235</v>
      </c>
      <c r="DE223" s="40"/>
      <c r="DF223" s="36">
        <f t="shared" ref="DF223:DF235" si="2055">DF$48</f>
        <v>200</v>
      </c>
      <c r="DG223" s="35">
        <f t="shared" ref="DG223:DG235" si="2056">IF($M$22=2,$B223,DG$48)</f>
        <v>0.28399999999999997</v>
      </c>
      <c r="DH223" s="197">
        <f t="shared" ca="1" si="1382"/>
        <v>169.23611111111677</v>
      </c>
      <c r="DI223" s="41">
        <f t="shared" ref="DI223:DI235" ca="1" si="2057">DH223/365</f>
        <v>0.46366057838662128</v>
      </c>
      <c r="DJ223" s="40">
        <f t="shared" ref="DJ223:DJ225" ca="1" si="2058">LN($A223/DF223)</f>
        <v>-0.85097126575351234</v>
      </c>
      <c r="DK223" s="40">
        <f t="shared" ref="DK223:DK225" ca="1" si="2059">($E223-$D223+POWER(DG223,2)/2)*DI223</f>
        <v>2.5189751902588361E-2</v>
      </c>
      <c r="DL223" s="40">
        <f t="shared" ref="DL223:DL225" ca="1" si="2060">MAX(0,0.000000000001,DG223*SQRT(DI223))</f>
        <v>0.19338305926412305</v>
      </c>
      <c r="DM223" s="42">
        <f t="shared" ref="DM223:DM225" ca="1" si="2061">(DJ223+DK223)/DL223</f>
        <v>-4.2701853874545943</v>
      </c>
      <c r="DN223" s="42">
        <f t="shared" ref="DN223:DN225" ca="1" si="2062">DM223-DL223</f>
        <v>-4.4635684467187176</v>
      </c>
      <c r="DO223" s="42">
        <f t="shared" ref="DO223:DO225" ca="1" si="2063">_xlfn.NORM.DIST(DM223,0,1,TRUE)</f>
        <v>9.7655276518789487E-6</v>
      </c>
      <c r="DP223" s="42">
        <f t="shared" ref="DP223:DP225" ca="1" si="2064">_xlfn.NORM.DIST(-DM223,0,1,TRUE)</f>
        <v>0.99999023447234814</v>
      </c>
      <c r="DQ223" s="42">
        <f t="shared" ref="DQ223:DQ225" ca="1" si="2065">_xlfn.NORM.DIST(DN223,0,1,TRUE)</f>
        <v>4.0302916462733568E-6</v>
      </c>
      <c r="DR223" s="42">
        <f t="shared" ref="DR223:DR225" ca="1" si="2066">_xlfn.NORM.DIST(-DN223,0,1,TRUE)</f>
        <v>0.99999596970835369</v>
      </c>
      <c r="DS223" s="42">
        <f t="shared" ref="DS223:DS225" ca="1" si="2067">EXP(-$E223*DI223)</f>
        <v>0.98162450344672281</v>
      </c>
      <c r="DT223" s="42">
        <f t="shared" ref="DT223:DT225" ca="1" si="2068">DF223*DS223</f>
        <v>196.32490068934456</v>
      </c>
      <c r="DU223" s="42">
        <f t="shared" ref="DU223:DU225" ca="1" si="2069">EXP(-$D223*DI223)</f>
        <v>0.98801719747153338</v>
      </c>
      <c r="DV223" s="42">
        <f t="shared" ref="DV223:DV225" ca="1" si="2070">$A223*DU223</f>
        <v>84.376668664068958</v>
      </c>
      <c r="DW223" s="42">
        <f t="shared" ref="DW223:DW225" ca="1" si="2071">EXP(-1*POWER(DM223,2)/2)/SQRT(2*PI())</f>
        <v>4.3786712472282578E-5</v>
      </c>
      <c r="DX223" s="42">
        <f t="shared" ref="DX223:DX225" si="2072">IF($F$16=1,0,IF($F$16=2,$A223,IF($F$16=3,DV223*DO223-DT223*DQ223,DT223*DR223-DV223*DP223)))</f>
        <v>0</v>
      </c>
      <c r="DY223" s="92">
        <f t="shared" ref="DY223:DY225" ca="1" si="2073">IF($F$16=2,1,IF(OR($F$16=1,DI223&lt;=0),0,IF($F$16=3,DO223*DU223,(DO223-1)*DU223)))</f>
        <v>0</v>
      </c>
      <c r="DZ223" s="42">
        <f t="shared" ref="DZ223:DZ225" ca="1" si="2074">IF(OR($F$16&lt;=2,DI223&lt;=0),0,DW223*DU223/($A223*DL223))</f>
        <v>0</v>
      </c>
      <c r="EA223" s="42">
        <f t="shared" ref="EA223:EA235" ca="1" si="2075">IF(OR($F$16&lt;=2,DI223&lt;=0),0,(IF($F$16=3,-1*$E223*DF223*DS223*DQ223+$D223*$A223*DU223*DO223,$E223*DF223*DS223*DR223-$D223*$A223*DU223*DP223)-(DW223*$A223*DG223*DU223/(2*SQRT(DI223))))/365)</f>
        <v>0</v>
      </c>
      <c r="EB223" s="42">
        <f t="shared" ref="EB223:EB225" ca="1" si="2076">IF(OR($F$16&lt;=2,DI223&lt;=0),0,(DW223*$A223*DU223*SQRT(DI223))/100)</f>
        <v>0</v>
      </c>
      <c r="EC223" s="42">
        <f t="shared" ref="EC223:EC225" ca="1" si="2077">IF(OR($F$16&lt;=2,DI223&lt;=0),0,IF($F$16=3,DQ223,-1*DR223)*DF223*DI223*DS223/100)</f>
        <v>0</v>
      </c>
      <c r="ED223" s="42">
        <f ca="1">IF($F$16=1,0,IF($M$28=1,DX223-$G$16,OFFSET(DV223,0,$M$28))*IF($M$30=1,SIGN($B$16),$T$16))</f>
        <v>0</v>
      </c>
      <c r="EE223" s="40"/>
      <c r="EF223" s="120">
        <f t="shared" ref="EF223:EF235" ca="1" si="2078">OFFSET($A223,0,$M$22-1)</f>
        <v>85.4</v>
      </c>
      <c r="EG223" s="42">
        <f t="shared" ref="EG223:EG235" ca="1" si="2079">AD223+BD223+CD223+DD223+ED223</f>
        <v>258.33906893413985</v>
      </c>
      <c r="EH223" s="36">
        <f t="shared" ref="EH223:EH235" ca="1" si="2080">IF($M$26=1,EG223,OFFSET($AD223,0,$M$26*26-52))</f>
        <v>258.33906893413985</v>
      </c>
      <c r="EI223" s="143">
        <f ca="1">ROUND(EH223,EI$49)</f>
        <v>258.339</v>
      </c>
      <c r="EJ223" s="88"/>
      <c r="EK223" s="153">
        <f ca="1">IF(EI223=$G$222,1,0)</f>
        <v>0</v>
      </c>
      <c r="EL223" s="88"/>
    </row>
    <row r="224" spans="1:142" x14ac:dyDescent="0.3">
      <c r="A224" s="128">
        <f ca="1">IF(AND($M$22=1,ISNUMBER($B$222)),$F$222,A$48)</f>
        <v>85.4</v>
      </c>
      <c r="B224" s="127">
        <f ca="1">IF(AND($M$22=2,ISNUMBER($B$222)),$F$222,B$48)</f>
        <v>0.28399999999999997</v>
      </c>
      <c r="C224" s="141">
        <f ca="1">IF(AND($M$22=3,ISNUMBER($B$222)),$F$222,C$48)</f>
        <v>45295.440972222219</v>
      </c>
      <c r="D224" s="127">
        <f ca="1">IF(AND($M$22=4,ISNUMBER($B$222)),$F$222,D$48)</f>
        <v>2.5999999999999999E-2</v>
      </c>
      <c r="E224" s="127">
        <f ca="1">IF(AND($M$22=5,ISNUMBER($B$222)),$F$222,E$48)</f>
        <v>0.04</v>
      </c>
      <c r="F224" s="36">
        <f t="shared" si="1963"/>
        <v>75</v>
      </c>
      <c r="G224" s="35">
        <f t="shared" si="1964"/>
        <v>0.28399999999999997</v>
      </c>
      <c r="H224" s="197">
        <f t="shared" ca="1" si="1290"/>
        <v>169.23611111111677</v>
      </c>
      <c r="I224" s="41">
        <f t="shared" ca="1" si="1965"/>
        <v>0.46366057838662128</v>
      </c>
      <c r="J224" s="40">
        <f t="shared" ca="1" si="1966"/>
        <v>0.12985798725821379</v>
      </c>
      <c r="K224" s="40">
        <f t="shared" ca="1" si="1967"/>
        <v>2.5189751902588361E-2</v>
      </c>
      <c r="L224" s="40">
        <f t="shared" ca="1" si="1968"/>
        <v>0.19338305926412305</v>
      </c>
      <c r="M224" s="42">
        <f t="shared" ca="1" si="1969"/>
        <v>0.80176484822818728</v>
      </c>
      <c r="N224" s="42">
        <f t="shared" ca="1" si="1970"/>
        <v>0.60838178896406425</v>
      </c>
      <c r="O224" s="42">
        <f t="shared" ca="1" si="1971"/>
        <v>0.78865550202522283</v>
      </c>
      <c r="P224" s="42">
        <f t="shared" ca="1" si="1972"/>
        <v>0.21134449797477717</v>
      </c>
      <c r="Q224" s="42">
        <f t="shared" ca="1" si="1973"/>
        <v>0.72853285658034883</v>
      </c>
      <c r="R224" s="42">
        <f t="shared" ca="1" si="1974"/>
        <v>0.27146714341965111</v>
      </c>
      <c r="S224" s="42">
        <f t="shared" ca="1" si="1975"/>
        <v>0.98162450344672281</v>
      </c>
      <c r="T224" s="42">
        <f t="shared" ca="1" si="1976"/>
        <v>73.621837758504213</v>
      </c>
      <c r="U224" s="42">
        <f t="shared" ca="1" si="1977"/>
        <v>0.98801719747153338</v>
      </c>
      <c r="V224" s="42">
        <f t="shared" ca="1" si="1978"/>
        <v>84.376668664068958</v>
      </c>
      <c r="W224" s="42">
        <f t="shared" ca="1" si="1979"/>
        <v>0.28928238154977365</v>
      </c>
      <c r="X224" s="42">
        <f t="shared" ca="1" si="1980"/>
        <v>2.153365310014383</v>
      </c>
      <c r="Y224" s="42">
        <f t="shared" ca="1" si="1981"/>
        <v>-0.20881199859006749</v>
      </c>
      <c r="Z224" s="42">
        <f t="shared" ca="1" si="1982"/>
        <v>1.7306537635226424E-2</v>
      </c>
      <c r="AA224" s="42">
        <f t="shared" ca="1" si="1983"/>
        <v>-1.302570857267049E-2</v>
      </c>
      <c r="AB224" s="42">
        <f t="shared" ca="1" si="1984"/>
        <v>0.16620513797420244</v>
      </c>
      <c r="AC224" s="42">
        <f t="shared" ca="1" si="1985"/>
        <v>-9.2666785853637385E-2</v>
      </c>
      <c r="AD224" s="42">
        <f ca="1">IF($F$8=1,0,IF($M$28=1,X224-$G$8,OFFSET(V224,0,$M$28))*IF($M$30=1,SIGN($B$8),$T$8))</f>
        <v>-723.31734499280856</v>
      </c>
      <c r="AF224" s="36">
        <f t="shared" si="1986"/>
        <v>80</v>
      </c>
      <c r="AG224" s="35">
        <f t="shared" si="1987"/>
        <v>0.28399999999999997</v>
      </c>
      <c r="AH224" s="197">
        <f t="shared" ca="1" si="1313"/>
        <v>169.23611111111677</v>
      </c>
      <c r="AI224" s="41">
        <f t="shared" ca="1" si="1988"/>
        <v>0.46366057838662128</v>
      </c>
      <c r="AJ224" s="40">
        <f t="shared" ca="1" si="1989"/>
        <v>6.5319466120642669E-2</v>
      </c>
      <c r="AK224" s="40">
        <f t="shared" ca="1" si="1990"/>
        <v>2.5189751902588361E-2</v>
      </c>
      <c r="AL224" s="40">
        <f t="shared" ca="1" si="1991"/>
        <v>0.19338305926412305</v>
      </c>
      <c r="AM224" s="42">
        <f t="shared" ca="1" si="1992"/>
        <v>0.46803074875143702</v>
      </c>
      <c r="AN224" s="42">
        <f t="shared" ca="1" si="1993"/>
        <v>0.274647689487314</v>
      </c>
      <c r="AO224" s="42">
        <f t="shared" ca="1" si="1994"/>
        <v>0.68011869960825055</v>
      </c>
      <c r="AP224" s="42">
        <f t="shared" ca="1" si="1995"/>
        <v>0.31988130039174945</v>
      </c>
      <c r="AQ224" s="42">
        <f t="shared" ca="1" si="1996"/>
        <v>0.60820653811473968</v>
      </c>
      <c r="AR224" s="42">
        <f t="shared" ca="1" si="1997"/>
        <v>0.39179346188526026</v>
      </c>
      <c r="AS224" s="42">
        <f t="shared" ca="1" si="1998"/>
        <v>0.98162450344672281</v>
      </c>
      <c r="AT224" s="42">
        <f t="shared" ca="1" si="1999"/>
        <v>78.529960275737821</v>
      </c>
      <c r="AU224" s="42">
        <f t="shared" ca="1" si="2000"/>
        <v>0.98801719747153338</v>
      </c>
      <c r="AV224" s="42">
        <f t="shared" ca="1" si="2001"/>
        <v>84.376668664068958</v>
      </c>
      <c r="AW224" s="42">
        <f t="shared" ca="1" si="2002"/>
        <v>0.3575554142041969</v>
      </c>
      <c r="AX224" s="42">
        <f t="shared" ca="1" si="2003"/>
        <v>3.777006503157132</v>
      </c>
      <c r="AY224" s="42">
        <f t="shared" ca="1" si="2004"/>
        <v>-0.31604822593660598</v>
      </c>
      <c r="AZ224" s="42">
        <f t="shared" ca="1" si="2005"/>
        <v>2.1391023537115056E-2</v>
      </c>
      <c r="BA224" s="42">
        <f t="shared" ca="1" si="2006"/>
        <v>-1.5787806699479157E-2</v>
      </c>
      <c r="BB224" s="42">
        <f t="shared" ca="1" si="2007"/>
        <v>0.20543092404335248</v>
      </c>
      <c r="BC224" s="42">
        <f t="shared" ca="1" si="2008"/>
        <v>-0.14265688436163948</v>
      </c>
      <c r="BD224" s="42">
        <f ca="1">IF($F$10=1,0,IF($M$28=1,AX224-$G$10,OFFSET(AV224,0,$M$28))*IF($M$30=1,SIGN($B$10),$T$10))</f>
        <v>936.49674842143418</v>
      </c>
      <c r="BE224" s="40"/>
      <c r="BF224" s="36">
        <f t="shared" si="2009"/>
        <v>90</v>
      </c>
      <c r="BG224" s="35">
        <f t="shared" si="2010"/>
        <v>0.28399999999999997</v>
      </c>
      <c r="BH224" s="197">
        <f t="shared" ca="1" si="1336"/>
        <v>169.23611111111677</v>
      </c>
      <c r="BI224" s="41">
        <f t="shared" ca="1" si="2011"/>
        <v>0.46366057838662128</v>
      </c>
      <c r="BJ224" s="40">
        <f t="shared" ca="1" si="2012"/>
        <v>-5.2463569535740766E-2</v>
      </c>
      <c r="BK224" s="40">
        <f t="shared" ca="1" si="2013"/>
        <v>2.5189751902588361E-2</v>
      </c>
      <c r="BL224" s="40">
        <f t="shared" ca="1" si="2014"/>
        <v>0.19338305926412305</v>
      </c>
      <c r="BM224" s="42">
        <f t="shared" ca="1" si="2015"/>
        <v>-0.14103519582809868</v>
      </c>
      <c r="BN224" s="42">
        <f t="shared" ca="1" si="2016"/>
        <v>-0.33441825509222173</v>
      </c>
      <c r="BO224" s="42">
        <f t="shared" ca="1" si="2017"/>
        <v>0.44392106898616246</v>
      </c>
      <c r="BP224" s="42">
        <f t="shared" ca="1" si="2018"/>
        <v>0.55607893101383754</v>
      </c>
      <c r="BQ224" s="42">
        <f t="shared" ca="1" si="2019"/>
        <v>0.36903198301145818</v>
      </c>
      <c r="BR224" s="42">
        <f t="shared" ca="1" si="2020"/>
        <v>0.63096801698854188</v>
      </c>
      <c r="BS224" s="42">
        <f t="shared" ca="1" si="2021"/>
        <v>0.98162450344672281</v>
      </c>
      <c r="BT224" s="42">
        <f t="shared" ca="1" si="2022"/>
        <v>88.34620531020505</v>
      </c>
      <c r="BU224" s="42">
        <f t="shared" ca="1" si="2023"/>
        <v>0.98801719747153338</v>
      </c>
      <c r="BV224" s="42">
        <f t="shared" ca="1" si="2024"/>
        <v>84.376668664068958</v>
      </c>
      <c r="BW224" s="42">
        <f t="shared" ca="1" si="2025"/>
        <v>0.39499427951128013</v>
      </c>
      <c r="BX224" s="42">
        <f t="shared" ca="1" si="2026"/>
        <v>4.8540056136823466</v>
      </c>
      <c r="BY224" s="42">
        <f t="shared" ca="1" si="2027"/>
        <v>0.43860165047827548</v>
      </c>
      <c r="BZ224" s="42">
        <f t="shared" ca="1" si="2028"/>
        <v>2.3630832017624698E-2</v>
      </c>
      <c r="CA224" s="42">
        <f t="shared" ca="1" si="2029"/>
        <v>-1.9946570164958009E-2</v>
      </c>
      <c r="CB224" s="42">
        <f t="shared" ca="1" si="2030"/>
        <v>0.22694115823260852</v>
      </c>
      <c r="CC224" s="42">
        <f t="shared" ca="1" si="2031"/>
        <v>0.15116528937722107</v>
      </c>
      <c r="CD224" s="42">
        <f ca="1">IF($F$12=1,0,IF($M$28=1,BX224-$G$12,OFFSET(BV224,0,$M$28))*IF($M$30=1,SIGN($B$12),$T$12))</f>
        <v>972.99719315882658</v>
      </c>
      <c r="CE224" s="40"/>
      <c r="CF224" s="36">
        <f t="shared" si="2032"/>
        <v>95</v>
      </c>
      <c r="CG224" s="35">
        <f t="shared" si="2033"/>
        <v>0.28399999999999997</v>
      </c>
      <c r="CH224" s="197">
        <f t="shared" ca="1" si="1359"/>
        <v>169.23611111111677</v>
      </c>
      <c r="CI224" s="41">
        <f t="shared" ca="1" si="2034"/>
        <v>0.46366057838662128</v>
      </c>
      <c r="CJ224" s="40">
        <f t="shared" ca="1" si="2035"/>
        <v>-0.10653079080601656</v>
      </c>
      <c r="CK224" s="40">
        <f t="shared" ca="1" si="2036"/>
        <v>2.5189751902588361E-2</v>
      </c>
      <c r="CL224" s="40">
        <f t="shared" ca="1" si="2037"/>
        <v>0.19338305926412305</v>
      </c>
      <c r="CM224" s="42">
        <f t="shared" ca="1" si="2038"/>
        <v>-0.42062132646444694</v>
      </c>
      <c r="CN224" s="42">
        <f t="shared" ca="1" si="2039"/>
        <v>-0.61400438572856997</v>
      </c>
      <c r="CO224" s="42">
        <f t="shared" ca="1" si="2040"/>
        <v>0.33701580910706302</v>
      </c>
      <c r="CP224" s="42">
        <f t="shared" ca="1" si="2041"/>
        <v>0.66298419089293703</v>
      </c>
      <c r="CQ224" s="42">
        <f t="shared" ca="1" si="2042"/>
        <v>0.26960621453848232</v>
      </c>
      <c r="CR224" s="42">
        <f t="shared" ca="1" si="2043"/>
        <v>0.73039378546151768</v>
      </c>
      <c r="CS224" s="42">
        <f t="shared" ca="1" si="2044"/>
        <v>0.98162450344672281</v>
      </c>
      <c r="CT224" s="42">
        <f t="shared" ca="1" si="2045"/>
        <v>93.254327827438672</v>
      </c>
      <c r="CU224" s="42">
        <f t="shared" ca="1" si="2046"/>
        <v>0.98801719747153338</v>
      </c>
      <c r="CV224" s="42">
        <f t="shared" ca="1" si="2047"/>
        <v>84.376668664068958</v>
      </c>
      <c r="CW224" s="42">
        <f t="shared" ca="1" si="2048"/>
        <v>0.365167296678925</v>
      </c>
      <c r="CX224" s="42">
        <f t="shared" ca="1" si="2049"/>
        <v>3.2943249446933756</v>
      </c>
      <c r="CY224" s="42">
        <f t="shared" ca="1" si="2050"/>
        <v>0.33297741521756169</v>
      </c>
      <c r="CZ224" s="42">
        <f t="shared" ca="1" si="2051"/>
        <v>2.1846410172893065E-2</v>
      </c>
      <c r="DA224" s="42">
        <f t="shared" ca="1" si="2052"/>
        <v>-1.8333614860733365E-2</v>
      </c>
      <c r="DB224" s="42">
        <f t="shared" ca="1" si="2053"/>
        <v>0.20980427706325602</v>
      </c>
      <c r="DC224" s="42">
        <f t="shared" ca="1" si="2054"/>
        <v>0.11657329370125608</v>
      </c>
      <c r="DD224" s="42">
        <f ca="1">IF($F$14=1,0,IF($M$28=1,CX224-$G$14,OFFSET(CV224,0,$M$28))*IF($M$30=1,SIGN($B$14),$T$14))</f>
        <v>-927.83752765331235</v>
      </c>
      <c r="DE224" s="40"/>
      <c r="DF224" s="36">
        <f t="shared" si="2055"/>
        <v>200</v>
      </c>
      <c r="DG224" s="35">
        <f t="shared" si="2056"/>
        <v>0.28399999999999997</v>
      </c>
      <c r="DH224" s="197">
        <f t="shared" ca="1" si="1382"/>
        <v>169.23611111111677</v>
      </c>
      <c r="DI224" s="41">
        <f t="shared" ca="1" si="2057"/>
        <v>0.46366057838662128</v>
      </c>
      <c r="DJ224" s="40">
        <f t="shared" ca="1" si="2058"/>
        <v>-0.85097126575351234</v>
      </c>
      <c r="DK224" s="40">
        <f t="shared" ca="1" si="2059"/>
        <v>2.5189751902588361E-2</v>
      </c>
      <c r="DL224" s="40">
        <f t="shared" ca="1" si="2060"/>
        <v>0.19338305926412305</v>
      </c>
      <c r="DM224" s="42">
        <f t="shared" ca="1" si="2061"/>
        <v>-4.2701853874545943</v>
      </c>
      <c r="DN224" s="42">
        <f t="shared" ca="1" si="2062"/>
        <v>-4.4635684467187176</v>
      </c>
      <c r="DO224" s="42">
        <f t="shared" ca="1" si="2063"/>
        <v>9.7655276518789487E-6</v>
      </c>
      <c r="DP224" s="42">
        <f t="shared" ca="1" si="2064"/>
        <v>0.99999023447234814</v>
      </c>
      <c r="DQ224" s="42">
        <f t="shared" ca="1" si="2065"/>
        <v>4.0302916462733568E-6</v>
      </c>
      <c r="DR224" s="42">
        <f t="shared" ca="1" si="2066"/>
        <v>0.99999596970835369</v>
      </c>
      <c r="DS224" s="42">
        <f t="shared" ca="1" si="2067"/>
        <v>0.98162450344672281</v>
      </c>
      <c r="DT224" s="42">
        <f t="shared" ca="1" si="2068"/>
        <v>196.32490068934456</v>
      </c>
      <c r="DU224" s="42">
        <f t="shared" ca="1" si="2069"/>
        <v>0.98801719747153338</v>
      </c>
      <c r="DV224" s="42">
        <f t="shared" ca="1" si="2070"/>
        <v>84.376668664068958</v>
      </c>
      <c r="DW224" s="42">
        <f t="shared" ca="1" si="2071"/>
        <v>4.3786712472282578E-5</v>
      </c>
      <c r="DX224" s="42">
        <f t="shared" si="2072"/>
        <v>0</v>
      </c>
      <c r="DY224" s="92">
        <f t="shared" ca="1" si="2073"/>
        <v>0</v>
      </c>
      <c r="DZ224" s="42">
        <f t="shared" ca="1" si="2074"/>
        <v>0</v>
      </c>
      <c r="EA224" s="42">
        <f t="shared" ca="1" si="2075"/>
        <v>0</v>
      </c>
      <c r="EB224" s="42">
        <f t="shared" ca="1" si="2076"/>
        <v>0</v>
      </c>
      <c r="EC224" s="42">
        <f t="shared" ca="1" si="2077"/>
        <v>0</v>
      </c>
      <c r="ED224" s="42">
        <f ca="1">IF($F$16=1,0,IF($M$28=1,DX224-$G$16,OFFSET(DV224,0,$M$28))*IF($M$30=1,SIGN($B$16),$T$16))</f>
        <v>0</v>
      </c>
      <c r="EE224" s="40"/>
      <c r="EF224" s="120">
        <f t="shared" ca="1" si="2078"/>
        <v>85.4</v>
      </c>
      <c r="EG224" s="42">
        <f t="shared" ca="1" si="2079"/>
        <v>258.33906893413985</v>
      </c>
      <c r="EH224" s="36">
        <f t="shared" ca="1" si="2080"/>
        <v>258.33906893413985</v>
      </c>
      <c r="EI224" s="143">
        <f t="shared" ref="EI224:EI237" ca="1" si="2081">ROUND(EH224,EI$49)</f>
        <v>258.339</v>
      </c>
      <c r="EJ224" s="143">
        <f ca="1">EI224-EI223</f>
        <v>0</v>
      </c>
      <c r="EK224" s="153">
        <f t="shared" ref="EK224:EK235" ca="1" si="2082">IF(EI224=$G$222,1,0)</f>
        <v>0</v>
      </c>
      <c r="EL224" s="143">
        <f t="shared" ref="EL224:EL235" ca="1" si="2083">IF(EI223=0,IF(EI224&lt;&gt;0,2,0),IF(EI224=0,IF(EI223&lt;&gt;0,1,0),IF(SIGN(EI224)=-SIGN(EI223),2,0)))</f>
        <v>0</v>
      </c>
    </row>
    <row r="225" spans="1:142" x14ac:dyDescent="0.3">
      <c r="A225" s="143">
        <f t="shared" ref="A225:A235" ca="1" si="2084">IF(AND($M$22=1,ISNUMBER($B$222)),A224+$EF$48,A$48)</f>
        <v>85.4</v>
      </c>
      <c r="B225" s="144">
        <f t="shared" ref="B225:B235" ca="1" si="2085">IF(AND($M$22=2,ISNUMBER($B$222)),B224+$EF$48,B$48)</f>
        <v>0.28399999999999997</v>
      </c>
      <c r="C225" s="145">
        <f t="shared" ref="C225:C235" ca="1" si="2086">IF(AND($M$22=3,ISNUMBER($B$222)),C224+$EF$48,C$48)</f>
        <v>45295.440972222219</v>
      </c>
      <c r="D225" s="144">
        <f t="shared" ref="D225:D235" ca="1" si="2087">IF(AND($M$22=4,ISNUMBER($B$222)),D224+$EF$48,D$48)</f>
        <v>2.5999999999999999E-2</v>
      </c>
      <c r="E225" s="144">
        <f t="shared" ref="E225:E235" ca="1" si="2088">IF(AND($M$22=5,ISNUMBER($B$222)),E224+$EF$48,E$48)</f>
        <v>0.04</v>
      </c>
      <c r="F225" s="36">
        <f t="shared" si="1963"/>
        <v>75</v>
      </c>
      <c r="G225" s="35">
        <f t="shared" si="1964"/>
        <v>0.28399999999999997</v>
      </c>
      <c r="H225" s="197">
        <f t="shared" ca="1" si="1290"/>
        <v>169.23611111111677</v>
      </c>
      <c r="I225" s="41">
        <f t="shared" ca="1" si="1965"/>
        <v>0.46366057838662128</v>
      </c>
      <c r="J225" s="40">
        <f t="shared" ca="1" si="1966"/>
        <v>0.12985798725821379</v>
      </c>
      <c r="K225" s="40">
        <f t="shared" ca="1" si="1967"/>
        <v>2.5189751902588361E-2</v>
      </c>
      <c r="L225" s="40">
        <f t="shared" ca="1" si="1968"/>
        <v>0.19338305926412305</v>
      </c>
      <c r="M225" s="42">
        <f t="shared" ca="1" si="1969"/>
        <v>0.80176484822818728</v>
      </c>
      <c r="N225" s="42">
        <f t="shared" ca="1" si="1970"/>
        <v>0.60838178896406425</v>
      </c>
      <c r="O225" s="42">
        <f t="shared" ca="1" si="1971"/>
        <v>0.78865550202522283</v>
      </c>
      <c r="P225" s="42">
        <f t="shared" ca="1" si="1972"/>
        <v>0.21134449797477717</v>
      </c>
      <c r="Q225" s="42">
        <f t="shared" ca="1" si="1973"/>
        <v>0.72853285658034883</v>
      </c>
      <c r="R225" s="42">
        <f t="shared" ca="1" si="1974"/>
        <v>0.27146714341965111</v>
      </c>
      <c r="S225" s="42">
        <f t="shared" ca="1" si="1975"/>
        <v>0.98162450344672281</v>
      </c>
      <c r="T225" s="42">
        <f t="shared" ca="1" si="1976"/>
        <v>73.621837758504213</v>
      </c>
      <c r="U225" s="42">
        <f t="shared" ca="1" si="1977"/>
        <v>0.98801719747153338</v>
      </c>
      <c r="V225" s="42">
        <f t="shared" ca="1" si="1978"/>
        <v>84.376668664068958</v>
      </c>
      <c r="W225" s="42">
        <f t="shared" ca="1" si="1979"/>
        <v>0.28928238154977365</v>
      </c>
      <c r="X225" s="42">
        <f t="shared" ca="1" si="1980"/>
        <v>2.153365310014383</v>
      </c>
      <c r="Y225" s="42">
        <f t="shared" ca="1" si="1981"/>
        <v>-0.20881199859006749</v>
      </c>
      <c r="Z225" s="42">
        <f t="shared" ca="1" si="1982"/>
        <v>1.7306537635226424E-2</v>
      </c>
      <c r="AA225" s="42">
        <f t="shared" ca="1" si="1983"/>
        <v>-1.302570857267049E-2</v>
      </c>
      <c r="AB225" s="42">
        <f t="shared" ca="1" si="1984"/>
        <v>0.16620513797420244</v>
      </c>
      <c r="AC225" s="42">
        <f t="shared" ca="1" si="1985"/>
        <v>-9.2666785853637385E-2</v>
      </c>
      <c r="AD225" s="42">
        <f ca="1">IF($F$8=1,0,IF($M$28=1,X225-$G$8,OFFSET(V225,0,$M$28))*IF($M$30=1,SIGN($B$8),$T$8))</f>
        <v>-723.31734499280856</v>
      </c>
      <c r="AF225" s="36">
        <f t="shared" si="1986"/>
        <v>80</v>
      </c>
      <c r="AG225" s="35">
        <f t="shared" si="1987"/>
        <v>0.28399999999999997</v>
      </c>
      <c r="AH225" s="197">
        <f t="shared" ca="1" si="1313"/>
        <v>169.23611111111677</v>
      </c>
      <c r="AI225" s="41">
        <f t="shared" ca="1" si="1988"/>
        <v>0.46366057838662128</v>
      </c>
      <c r="AJ225" s="40">
        <f t="shared" ca="1" si="1989"/>
        <v>6.5319466120642669E-2</v>
      </c>
      <c r="AK225" s="40">
        <f t="shared" ca="1" si="1990"/>
        <v>2.5189751902588361E-2</v>
      </c>
      <c r="AL225" s="40">
        <f t="shared" ca="1" si="1991"/>
        <v>0.19338305926412305</v>
      </c>
      <c r="AM225" s="42">
        <f t="shared" ca="1" si="1992"/>
        <v>0.46803074875143702</v>
      </c>
      <c r="AN225" s="42">
        <f t="shared" ca="1" si="1993"/>
        <v>0.274647689487314</v>
      </c>
      <c r="AO225" s="42">
        <f t="shared" ca="1" si="1994"/>
        <v>0.68011869960825055</v>
      </c>
      <c r="AP225" s="42">
        <f t="shared" ca="1" si="1995"/>
        <v>0.31988130039174945</v>
      </c>
      <c r="AQ225" s="42">
        <f t="shared" ca="1" si="1996"/>
        <v>0.60820653811473968</v>
      </c>
      <c r="AR225" s="42">
        <f t="shared" ca="1" si="1997"/>
        <v>0.39179346188526026</v>
      </c>
      <c r="AS225" s="42">
        <f t="shared" ca="1" si="1998"/>
        <v>0.98162450344672281</v>
      </c>
      <c r="AT225" s="42">
        <f t="shared" ca="1" si="1999"/>
        <v>78.529960275737821</v>
      </c>
      <c r="AU225" s="42">
        <f t="shared" ca="1" si="2000"/>
        <v>0.98801719747153338</v>
      </c>
      <c r="AV225" s="42">
        <f t="shared" ca="1" si="2001"/>
        <v>84.376668664068958</v>
      </c>
      <c r="AW225" s="42">
        <f t="shared" ca="1" si="2002"/>
        <v>0.3575554142041969</v>
      </c>
      <c r="AX225" s="42">
        <f t="shared" ca="1" si="2003"/>
        <v>3.777006503157132</v>
      </c>
      <c r="AY225" s="42">
        <f t="shared" ca="1" si="2004"/>
        <v>-0.31604822593660598</v>
      </c>
      <c r="AZ225" s="42">
        <f t="shared" ca="1" si="2005"/>
        <v>2.1391023537115056E-2</v>
      </c>
      <c r="BA225" s="42">
        <f t="shared" ca="1" si="2006"/>
        <v>-1.5787806699479157E-2</v>
      </c>
      <c r="BB225" s="42">
        <f t="shared" ca="1" si="2007"/>
        <v>0.20543092404335248</v>
      </c>
      <c r="BC225" s="42">
        <f t="shared" ca="1" si="2008"/>
        <v>-0.14265688436163948</v>
      </c>
      <c r="BD225" s="42">
        <f ca="1">IF($F$10=1,0,IF($M$28=1,AX225-$G$10,OFFSET(AV225,0,$M$28))*IF($M$30=1,SIGN($B$10),$T$10))</f>
        <v>936.49674842143418</v>
      </c>
      <c r="BE225" s="40"/>
      <c r="BF225" s="36">
        <f t="shared" si="2009"/>
        <v>90</v>
      </c>
      <c r="BG225" s="35">
        <f t="shared" si="2010"/>
        <v>0.28399999999999997</v>
      </c>
      <c r="BH225" s="197">
        <f t="shared" ca="1" si="1336"/>
        <v>169.23611111111677</v>
      </c>
      <c r="BI225" s="41">
        <f t="shared" ca="1" si="2011"/>
        <v>0.46366057838662128</v>
      </c>
      <c r="BJ225" s="40">
        <f t="shared" ca="1" si="2012"/>
        <v>-5.2463569535740766E-2</v>
      </c>
      <c r="BK225" s="40">
        <f t="shared" ca="1" si="2013"/>
        <v>2.5189751902588361E-2</v>
      </c>
      <c r="BL225" s="40">
        <f t="shared" ca="1" si="2014"/>
        <v>0.19338305926412305</v>
      </c>
      <c r="BM225" s="42">
        <f t="shared" ca="1" si="2015"/>
        <v>-0.14103519582809868</v>
      </c>
      <c r="BN225" s="42">
        <f t="shared" ca="1" si="2016"/>
        <v>-0.33441825509222173</v>
      </c>
      <c r="BO225" s="42">
        <f t="shared" ca="1" si="2017"/>
        <v>0.44392106898616246</v>
      </c>
      <c r="BP225" s="42">
        <f t="shared" ca="1" si="2018"/>
        <v>0.55607893101383754</v>
      </c>
      <c r="BQ225" s="42">
        <f t="shared" ca="1" si="2019"/>
        <v>0.36903198301145818</v>
      </c>
      <c r="BR225" s="42">
        <f t="shared" ca="1" si="2020"/>
        <v>0.63096801698854188</v>
      </c>
      <c r="BS225" s="42">
        <f t="shared" ca="1" si="2021"/>
        <v>0.98162450344672281</v>
      </c>
      <c r="BT225" s="42">
        <f t="shared" ca="1" si="2022"/>
        <v>88.34620531020505</v>
      </c>
      <c r="BU225" s="42">
        <f t="shared" ca="1" si="2023"/>
        <v>0.98801719747153338</v>
      </c>
      <c r="BV225" s="42">
        <f t="shared" ca="1" si="2024"/>
        <v>84.376668664068958</v>
      </c>
      <c r="BW225" s="42">
        <f t="shared" ca="1" si="2025"/>
        <v>0.39499427951128013</v>
      </c>
      <c r="BX225" s="42">
        <f t="shared" ca="1" si="2026"/>
        <v>4.8540056136823466</v>
      </c>
      <c r="BY225" s="42">
        <f t="shared" ca="1" si="2027"/>
        <v>0.43860165047827548</v>
      </c>
      <c r="BZ225" s="42">
        <f t="shared" ca="1" si="2028"/>
        <v>2.3630832017624698E-2</v>
      </c>
      <c r="CA225" s="42">
        <f t="shared" ca="1" si="2029"/>
        <v>-1.9946570164958009E-2</v>
      </c>
      <c r="CB225" s="42">
        <f t="shared" ca="1" si="2030"/>
        <v>0.22694115823260852</v>
      </c>
      <c r="CC225" s="42">
        <f t="shared" ca="1" si="2031"/>
        <v>0.15116528937722107</v>
      </c>
      <c r="CD225" s="42">
        <f ca="1">IF($F$12=1,0,IF($M$28=1,BX225-$G$12,OFFSET(BV225,0,$M$28))*IF($M$30=1,SIGN($B$12),$T$12))</f>
        <v>972.99719315882658</v>
      </c>
      <c r="CE225" s="40"/>
      <c r="CF225" s="36">
        <f t="shared" si="2032"/>
        <v>95</v>
      </c>
      <c r="CG225" s="35">
        <f t="shared" si="2033"/>
        <v>0.28399999999999997</v>
      </c>
      <c r="CH225" s="197">
        <f t="shared" ca="1" si="1359"/>
        <v>169.23611111111677</v>
      </c>
      <c r="CI225" s="41">
        <f t="shared" ca="1" si="2034"/>
        <v>0.46366057838662128</v>
      </c>
      <c r="CJ225" s="40">
        <f t="shared" ca="1" si="2035"/>
        <v>-0.10653079080601656</v>
      </c>
      <c r="CK225" s="40">
        <f t="shared" ca="1" si="2036"/>
        <v>2.5189751902588361E-2</v>
      </c>
      <c r="CL225" s="40">
        <f t="shared" ca="1" si="2037"/>
        <v>0.19338305926412305</v>
      </c>
      <c r="CM225" s="42">
        <f t="shared" ca="1" si="2038"/>
        <v>-0.42062132646444694</v>
      </c>
      <c r="CN225" s="42">
        <f t="shared" ca="1" si="2039"/>
        <v>-0.61400438572856997</v>
      </c>
      <c r="CO225" s="42">
        <f t="shared" ca="1" si="2040"/>
        <v>0.33701580910706302</v>
      </c>
      <c r="CP225" s="42">
        <f t="shared" ca="1" si="2041"/>
        <v>0.66298419089293703</v>
      </c>
      <c r="CQ225" s="42">
        <f t="shared" ca="1" si="2042"/>
        <v>0.26960621453848232</v>
      </c>
      <c r="CR225" s="42">
        <f t="shared" ca="1" si="2043"/>
        <v>0.73039378546151768</v>
      </c>
      <c r="CS225" s="42">
        <f t="shared" ca="1" si="2044"/>
        <v>0.98162450344672281</v>
      </c>
      <c r="CT225" s="42">
        <f t="shared" ca="1" si="2045"/>
        <v>93.254327827438672</v>
      </c>
      <c r="CU225" s="42">
        <f t="shared" ca="1" si="2046"/>
        <v>0.98801719747153338</v>
      </c>
      <c r="CV225" s="42">
        <f t="shared" ca="1" si="2047"/>
        <v>84.376668664068958</v>
      </c>
      <c r="CW225" s="42">
        <f t="shared" ca="1" si="2048"/>
        <v>0.365167296678925</v>
      </c>
      <c r="CX225" s="42">
        <f t="shared" ca="1" si="2049"/>
        <v>3.2943249446933756</v>
      </c>
      <c r="CY225" s="42">
        <f t="shared" ca="1" si="2050"/>
        <v>0.33297741521756169</v>
      </c>
      <c r="CZ225" s="42">
        <f t="shared" ca="1" si="2051"/>
        <v>2.1846410172893065E-2</v>
      </c>
      <c r="DA225" s="42">
        <f t="shared" ca="1" si="2052"/>
        <v>-1.8333614860733365E-2</v>
      </c>
      <c r="DB225" s="42">
        <f t="shared" ca="1" si="2053"/>
        <v>0.20980427706325602</v>
      </c>
      <c r="DC225" s="42">
        <f t="shared" ca="1" si="2054"/>
        <v>0.11657329370125608</v>
      </c>
      <c r="DD225" s="42">
        <f ca="1">IF($F$14=1,0,IF($M$28=1,CX225-$G$14,OFFSET(CV225,0,$M$28))*IF($M$30=1,SIGN($B$14),$T$14))</f>
        <v>-927.83752765331235</v>
      </c>
      <c r="DE225" s="40"/>
      <c r="DF225" s="36">
        <f t="shared" si="2055"/>
        <v>200</v>
      </c>
      <c r="DG225" s="35">
        <f t="shared" si="2056"/>
        <v>0.28399999999999997</v>
      </c>
      <c r="DH225" s="197">
        <f t="shared" ca="1" si="1382"/>
        <v>169.23611111111677</v>
      </c>
      <c r="DI225" s="41">
        <f t="shared" ca="1" si="2057"/>
        <v>0.46366057838662128</v>
      </c>
      <c r="DJ225" s="40">
        <f t="shared" ca="1" si="2058"/>
        <v>-0.85097126575351234</v>
      </c>
      <c r="DK225" s="40">
        <f t="shared" ca="1" si="2059"/>
        <v>2.5189751902588361E-2</v>
      </c>
      <c r="DL225" s="40">
        <f t="shared" ca="1" si="2060"/>
        <v>0.19338305926412305</v>
      </c>
      <c r="DM225" s="42">
        <f t="shared" ca="1" si="2061"/>
        <v>-4.2701853874545943</v>
      </c>
      <c r="DN225" s="42">
        <f t="shared" ca="1" si="2062"/>
        <v>-4.4635684467187176</v>
      </c>
      <c r="DO225" s="42">
        <f t="shared" ca="1" si="2063"/>
        <v>9.7655276518789487E-6</v>
      </c>
      <c r="DP225" s="42">
        <f t="shared" ca="1" si="2064"/>
        <v>0.99999023447234814</v>
      </c>
      <c r="DQ225" s="42">
        <f t="shared" ca="1" si="2065"/>
        <v>4.0302916462733568E-6</v>
      </c>
      <c r="DR225" s="42">
        <f t="shared" ca="1" si="2066"/>
        <v>0.99999596970835369</v>
      </c>
      <c r="DS225" s="42">
        <f t="shared" ca="1" si="2067"/>
        <v>0.98162450344672281</v>
      </c>
      <c r="DT225" s="42">
        <f t="shared" ca="1" si="2068"/>
        <v>196.32490068934456</v>
      </c>
      <c r="DU225" s="42">
        <f t="shared" ca="1" si="2069"/>
        <v>0.98801719747153338</v>
      </c>
      <c r="DV225" s="42">
        <f t="shared" ca="1" si="2070"/>
        <v>84.376668664068958</v>
      </c>
      <c r="DW225" s="42">
        <f t="shared" ca="1" si="2071"/>
        <v>4.3786712472282578E-5</v>
      </c>
      <c r="DX225" s="42">
        <f t="shared" si="2072"/>
        <v>0</v>
      </c>
      <c r="DY225" s="92">
        <f t="shared" ca="1" si="2073"/>
        <v>0</v>
      </c>
      <c r="DZ225" s="42">
        <f t="shared" ca="1" si="2074"/>
        <v>0</v>
      </c>
      <c r="EA225" s="42">
        <f t="shared" ca="1" si="2075"/>
        <v>0</v>
      </c>
      <c r="EB225" s="42">
        <f t="shared" ca="1" si="2076"/>
        <v>0</v>
      </c>
      <c r="EC225" s="42">
        <f t="shared" ca="1" si="2077"/>
        <v>0</v>
      </c>
      <c r="ED225" s="42">
        <f ca="1">IF($F$16=1,0,IF($M$28=1,DX225-$G$16,OFFSET(DV225,0,$M$28))*IF($M$30=1,SIGN($B$16),$T$16))</f>
        <v>0</v>
      </c>
      <c r="EE225" s="40"/>
      <c r="EF225" s="120">
        <f t="shared" ca="1" si="2078"/>
        <v>85.4</v>
      </c>
      <c r="EG225" s="42">
        <f t="shared" ca="1" si="2079"/>
        <v>258.33906893413985</v>
      </c>
      <c r="EH225" s="36">
        <f t="shared" ca="1" si="2080"/>
        <v>258.33906893413985</v>
      </c>
      <c r="EI225" s="143">
        <f t="shared" ca="1" si="2081"/>
        <v>258.339</v>
      </c>
      <c r="EJ225" s="143">
        <f t="shared" ref="EJ225:EJ235" ca="1" si="2089">EI225-EI224</f>
        <v>0</v>
      </c>
      <c r="EK225" s="153">
        <f t="shared" ca="1" si="2082"/>
        <v>0</v>
      </c>
      <c r="EL225" s="143">
        <f t="shared" ca="1" si="2083"/>
        <v>0</v>
      </c>
    </row>
    <row r="226" spans="1:142" x14ac:dyDescent="0.3">
      <c r="A226" s="143">
        <f t="shared" ca="1" si="2084"/>
        <v>85.4</v>
      </c>
      <c r="B226" s="144">
        <f t="shared" ca="1" si="2085"/>
        <v>0.28399999999999997</v>
      </c>
      <c r="C226" s="145">
        <f t="shared" ca="1" si="2086"/>
        <v>45295.440972222219</v>
      </c>
      <c r="D226" s="144">
        <f t="shared" ca="1" si="2087"/>
        <v>2.5999999999999999E-2</v>
      </c>
      <c r="E226" s="144">
        <f t="shared" ca="1" si="2088"/>
        <v>0.04</v>
      </c>
      <c r="F226" s="36">
        <f t="shared" si="1963"/>
        <v>75</v>
      </c>
      <c r="G226" s="35">
        <f t="shared" si="1964"/>
        <v>0.28399999999999997</v>
      </c>
      <c r="H226" s="197">
        <f t="shared" ca="1" si="1290"/>
        <v>169.23611111111677</v>
      </c>
      <c r="I226" s="41">
        <f t="shared" ca="1" si="1965"/>
        <v>0.46366057838662128</v>
      </c>
      <c r="J226" s="40">
        <f t="shared" ref="J226:J235" ca="1" si="2090">LN($A226/F226)</f>
        <v>0.12985798725821379</v>
      </c>
      <c r="K226" s="40">
        <f t="shared" ref="K226:K235" ca="1" si="2091">($E226-$D226+POWER(G226,2)/2)*I226</f>
        <v>2.5189751902588361E-2</v>
      </c>
      <c r="L226" s="40">
        <f t="shared" ref="L226:L235" ca="1" si="2092">MAX(0,0.000000000001,G226*SQRT(I226))</f>
        <v>0.19338305926412305</v>
      </c>
      <c r="M226" s="42">
        <f t="shared" ref="M226:M235" ca="1" si="2093">(J226+K226)/L226</f>
        <v>0.80176484822818728</v>
      </c>
      <c r="N226" s="42">
        <f t="shared" ref="N226:N235" ca="1" si="2094">M226-L226</f>
        <v>0.60838178896406425</v>
      </c>
      <c r="O226" s="42">
        <f t="shared" ref="O226:O235" ca="1" si="2095">_xlfn.NORM.DIST(M226,0,1,TRUE)</f>
        <v>0.78865550202522283</v>
      </c>
      <c r="P226" s="42">
        <f t="shared" ref="P226:P235" ca="1" si="2096">_xlfn.NORM.DIST(-M226,0,1,TRUE)</f>
        <v>0.21134449797477717</v>
      </c>
      <c r="Q226" s="42">
        <f t="shared" ref="Q226:Q235" ca="1" si="2097">_xlfn.NORM.DIST(N226,0,1,TRUE)</f>
        <v>0.72853285658034883</v>
      </c>
      <c r="R226" s="42">
        <f t="shared" ref="R226:R235" ca="1" si="2098">_xlfn.NORM.DIST(-N226,0,1,TRUE)</f>
        <v>0.27146714341965111</v>
      </c>
      <c r="S226" s="42">
        <f t="shared" ref="S226:S235" ca="1" si="2099">EXP(-$E226*I226)</f>
        <v>0.98162450344672281</v>
      </c>
      <c r="T226" s="42">
        <f t="shared" ref="T226:T235" ca="1" si="2100">F226*S226</f>
        <v>73.621837758504213</v>
      </c>
      <c r="U226" s="42">
        <f t="shared" ref="U226:U235" ca="1" si="2101">EXP(-$D226*I226)</f>
        <v>0.98801719747153338</v>
      </c>
      <c r="V226" s="42">
        <f t="shared" ref="V226:V235" ca="1" si="2102">$A226*U226</f>
        <v>84.376668664068958</v>
      </c>
      <c r="W226" s="42">
        <f t="shared" ref="W226:W235" ca="1" si="2103">EXP(-1*POWER(M226,2)/2)/SQRT(2*PI())</f>
        <v>0.28928238154977365</v>
      </c>
      <c r="X226" s="42">
        <f t="shared" ref="X226:X235" ca="1" si="2104">IF($F$8=1,0,IF($F$8=2,$A226,IF($F$8=3,V226*O226-T226*Q226,T226*R226-V226*P226)))</f>
        <v>2.153365310014383</v>
      </c>
      <c r="Y226" s="42">
        <f t="shared" ref="Y226:Y235" ca="1" si="2105">IF($F$8=2,1,IF(OR($F$8=1,I226&lt;=0),0,IF($F$8=3,O226*U226,(O226-1)*U226)))</f>
        <v>-0.20881199859006749</v>
      </c>
      <c r="Z226" s="42">
        <f t="shared" ref="Z226:Z235" ca="1" si="2106">IF(OR($F$8&lt;=2,I226&lt;=0),0,W226*U226/($A226*L226))</f>
        <v>1.7306537635226424E-2</v>
      </c>
      <c r="AA226" s="42">
        <f t="shared" ca="1" si="1983"/>
        <v>-1.302570857267049E-2</v>
      </c>
      <c r="AB226" s="42">
        <f t="shared" ref="AB226:AB235" ca="1" si="2107">IF(OR($F$8&lt;=2,I226&lt;=0),0,(W226*$A226*U226*SQRT(I226))/100)</f>
        <v>0.16620513797420244</v>
      </c>
      <c r="AC226" s="42">
        <f t="shared" ref="AC226:AC235" ca="1" si="2108">IF(OR($F$8&lt;=2,I226&lt;=0),0,IF($F$8=3,Q226,-1*R226)*F226*I226*S226/100)</f>
        <v>-9.2666785853637385E-2</v>
      </c>
      <c r="AD226" s="42">
        <f t="shared" ref="AD226:AD235" ca="1" si="2109">IF($F$8=1,0,IF($M$28=1,X226-$G$8,OFFSET(V226,0,$M$28))*IF($M$30=1,SIGN($B$8),$T$8))</f>
        <v>-723.31734499280856</v>
      </c>
      <c r="AF226" s="36">
        <f t="shared" si="1986"/>
        <v>80</v>
      </c>
      <c r="AG226" s="35">
        <f t="shared" si="1987"/>
        <v>0.28399999999999997</v>
      </c>
      <c r="AH226" s="197">
        <f t="shared" ca="1" si="1313"/>
        <v>169.23611111111677</v>
      </c>
      <c r="AI226" s="41">
        <f t="shared" ca="1" si="1988"/>
        <v>0.46366057838662128</v>
      </c>
      <c r="AJ226" s="40">
        <f t="shared" ref="AJ226:AJ235" ca="1" si="2110">LN($A226/AF226)</f>
        <v>6.5319466120642669E-2</v>
      </c>
      <c r="AK226" s="40">
        <f t="shared" ref="AK226:AK235" ca="1" si="2111">($E226-$D226+POWER(AG226,2)/2)*AI226</f>
        <v>2.5189751902588361E-2</v>
      </c>
      <c r="AL226" s="40">
        <f t="shared" ref="AL226:AL235" ca="1" si="2112">MAX(0,0.000000000001,AG226*SQRT(AI226))</f>
        <v>0.19338305926412305</v>
      </c>
      <c r="AM226" s="42">
        <f t="shared" ref="AM226:AM235" ca="1" si="2113">(AJ226+AK226)/AL226</f>
        <v>0.46803074875143702</v>
      </c>
      <c r="AN226" s="42">
        <f t="shared" ref="AN226:AN235" ca="1" si="2114">AM226-AL226</f>
        <v>0.274647689487314</v>
      </c>
      <c r="AO226" s="42">
        <f t="shared" ref="AO226:AO235" ca="1" si="2115">_xlfn.NORM.DIST(AM226,0,1,TRUE)</f>
        <v>0.68011869960825055</v>
      </c>
      <c r="AP226" s="42">
        <f t="shared" ref="AP226:AP235" ca="1" si="2116">_xlfn.NORM.DIST(-AM226,0,1,TRUE)</f>
        <v>0.31988130039174945</v>
      </c>
      <c r="AQ226" s="42">
        <f t="shared" ref="AQ226:AQ235" ca="1" si="2117">_xlfn.NORM.DIST(AN226,0,1,TRUE)</f>
        <v>0.60820653811473968</v>
      </c>
      <c r="AR226" s="42">
        <f t="shared" ref="AR226:AR235" ca="1" si="2118">_xlfn.NORM.DIST(-AN226,0,1,TRUE)</f>
        <v>0.39179346188526026</v>
      </c>
      <c r="AS226" s="42">
        <f t="shared" ref="AS226:AS235" ca="1" si="2119">EXP(-$E226*AI226)</f>
        <v>0.98162450344672281</v>
      </c>
      <c r="AT226" s="42">
        <f t="shared" ref="AT226:AT235" ca="1" si="2120">AF226*AS226</f>
        <v>78.529960275737821</v>
      </c>
      <c r="AU226" s="42">
        <f t="shared" ref="AU226:AU235" ca="1" si="2121">EXP(-$D226*AI226)</f>
        <v>0.98801719747153338</v>
      </c>
      <c r="AV226" s="42">
        <f t="shared" ref="AV226:AV235" ca="1" si="2122">$A226*AU226</f>
        <v>84.376668664068958</v>
      </c>
      <c r="AW226" s="42">
        <f t="shared" ref="AW226:AW235" ca="1" si="2123">EXP(-1*POWER(AM226,2)/2)/SQRT(2*PI())</f>
        <v>0.3575554142041969</v>
      </c>
      <c r="AX226" s="42">
        <f t="shared" ref="AX226:AX235" ca="1" si="2124">IF($F$10=1,0,IF($F$10=2,$A226,IF($F$10=3,AV226*AO226-AT226*AQ226,AT226*AR226-AV226*AP226)))</f>
        <v>3.777006503157132</v>
      </c>
      <c r="AY226" s="42">
        <f t="shared" ref="AY226:AY235" ca="1" si="2125">IF($F$10=2,1,IF(OR($F$10=1,AI226&lt;=0),0,IF($F$10=3,AO226*AU226,(AO226-1)*AU226)))</f>
        <v>-0.31604822593660598</v>
      </c>
      <c r="AZ226" s="42">
        <f t="shared" ref="AZ226:AZ235" ca="1" si="2126">IF(OR($F$10&lt;=2,AI226&lt;=0),0,AW226*AU226/($A226*AL226))</f>
        <v>2.1391023537115056E-2</v>
      </c>
      <c r="BA226" s="42">
        <f t="shared" ca="1" si="2006"/>
        <v>-1.5787806699479157E-2</v>
      </c>
      <c r="BB226" s="42">
        <f t="shared" ref="BB226:BB235" ca="1" si="2127">IF(OR($F$10&lt;=2,AI226&lt;=0),0,(AW226*$A226*AU226*SQRT(AI226))/100)</f>
        <v>0.20543092404335248</v>
      </c>
      <c r="BC226" s="42">
        <f t="shared" ref="BC226:BC235" ca="1" si="2128">IF(OR($F$10&lt;=2,AI226&lt;=0),0,IF($F$10=3,AQ226,-1*AR226)*AF226*AI226*AS226/100)</f>
        <v>-0.14265688436163948</v>
      </c>
      <c r="BD226" s="42">
        <f t="shared" ref="BD226:BD235" ca="1" si="2129">IF($F$10=1,0,IF($M$28=1,AX226-$G$10,OFFSET(AV226,0,$M$28))*IF($M$30=1,SIGN($B$10),$T$10))</f>
        <v>936.49674842143418</v>
      </c>
      <c r="BE226" s="40"/>
      <c r="BF226" s="36">
        <f t="shared" si="2009"/>
        <v>90</v>
      </c>
      <c r="BG226" s="35">
        <f t="shared" si="2010"/>
        <v>0.28399999999999997</v>
      </c>
      <c r="BH226" s="197">
        <f t="shared" ca="1" si="1336"/>
        <v>169.23611111111677</v>
      </c>
      <c r="BI226" s="41">
        <f t="shared" ca="1" si="2011"/>
        <v>0.46366057838662128</v>
      </c>
      <c r="BJ226" s="40">
        <f t="shared" ref="BJ226:BJ235" ca="1" si="2130">LN($A226/BF226)</f>
        <v>-5.2463569535740766E-2</v>
      </c>
      <c r="BK226" s="40">
        <f t="shared" ref="BK226:BK235" ca="1" si="2131">($E226-$D226+POWER(BG226,2)/2)*BI226</f>
        <v>2.5189751902588361E-2</v>
      </c>
      <c r="BL226" s="40">
        <f t="shared" ref="BL226:BL235" ca="1" si="2132">MAX(0,0.000000000001,BG226*SQRT(BI226))</f>
        <v>0.19338305926412305</v>
      </c>
      <c r="BM226" s="42">
        <f t="shared" ref="BM226:BM235" ca="1" si="2133">(BJ226+BK226)/BL226</f>
        <v>-0.14103519582809868</v>
      </c>
      <c r="BN226" s="42">
        <f t="shared" ref="BN226:BN235" ca="1" si="2134">BM226-BL226</f>
        <v>-0.33441825509222173</v>
      </c>
      <c r="BO226" s="42">
        <f t="shared" ref="BO226:BO235" ca="1" si="2135">_xlfn.NORM.DIST(BM226,0,1,TRUE)</f>
        <v>0.44392106898616246</v>
      </c>
      <c r="BP226" s="42">
        <f t="shared" ref="BP226:BP235" ca="1" si="2136">_xlfn.NORM.DIST(-BM226,0,1,TRUE)</f>
        <v>0.55607893101383754</v>
      </c>
      <c r="BQ226" s="42">
        <f t="shared" ref="BQ226:BQ235" ca="1" si="2137">_xlfn.NORM.DIST(BN226,0,1,TRUE)</f>
        <v>0.36903198301145818</v>
      </c>
      <c r="BR226" s="42">
        <f t="shared" ref="BR226:BR235" ca="1" si="2138">_xlfn.NORM.DIST(-BN226,0,1,TRUE)</f>
        <v>0.63096801698854188</v>
      </c>
      <c r="BS226" s="42">
        <f t="shared" ref="BS226:BS235" ca="1" si="2139">EXP(-$E226*BI226)</f>
        <v>0.98162450344672281</v>
      </c>
      <c r="BT226" s="42">
        <f t="shared" ref="BT226:BT235" ca="1" si="2140">BF226*BS226</f>
        <v>88.34620531020505</v>
      </c>
      <c r="BU226" s="42">
        <f t="shared" ref="BU226:BU235" ca="1" si="2141">EXP(-$D226*BI226)</f>
        <v>0.98801719747153338</v>
      </c>
      <c r="BV226" s="42">
        <f t="shared" ref="BV226:BV235" ca="1" si="2142">$A226*BU226</f>
        <v>84.376668664068958</v>
      </c>
      <c r="BW226" s="42">
        <f t="shared" ref="BW226:BW235" ca="1" si="2143">EXP(-1*POWER(BM226,2)/2)/SQRT(2*PI())</f>
        <v>0.39499427951128013</v>
      </c>
      <c r="BX226" s="42">
        <f t="shared" ref="BX226:BX235" ca="1" si="2144">IF($F$12=1,0,IF($F$12=2,$A226,IF($F$12=3,BV226*BO226-BT226*BQ226,BT226*BR226-BV226*BP226)))</f>
        <v>4.8540056136823466</v>
      </c>
      <c r="BY226" s="42">
        <f t="shared" ref="BY226:BY235" ca="1" si="2145">IF($F$12=2,1,IF(OR($F$12=1,BI226&lt;=0),0,IF($F$12=3,BO226*BU226,(BO226-1)*BU226)))</f>
        <v>0.43860165047827548</v>
      </c>
      <c r="BZ226" s="42">
        <f t="shared" ref="BZ226:BZ235" ca="1" si="2146">IF(OR($F$12&lt;=2,BI226&lt;=0),0,BW226*BU226/($A226*BL226))</f>
        <v>2.3630832017624698E-2</v>
      </c>
      <c r="CA226" s="42">
        <f t="shared" ca="1" si="2029"/>
        <v>-1.9946570164958009E-2</v>
      </c>
      <c r="CB226" s="42">
        <f t="shared" ref="CB226:CB235" ca="1" si="2147">IF(OR($F$12&lt;=2,BI226&lt;=0),0,(BW226*$A226*BU226*SQRT(BI226))/100)</f>
        <v>0.22694115823260852</v>
      </c>
      <c r="CC226" s="42">
        <f t="shared" ref="CC226:CC235" ca="1" si="2148">IF(OR($F$12&lt;=2,BI226&lt;=0),0,IF($F$12=3,BQ226,-1*BR226)*BF226*BI226*BS226/100)</f>
        <v>0.15116528937722107</v>
      </c>
      <c r="CD226" s="42">
        <f t="shared" ref="CD226:CD235" ca="1" si="2149">IF($F$12=1,0,IF($M$28=1,BX226-$G$12,OFFSET(BV226,0,$M$28))*IF($M$30=1,SIGN($B$12),$T$12))</f>
        <v>972.99719315882658</v>
      </c>
      <c r="CE226" s="40"/>
      <c r="CF226" s="36">
        <f t="shared" si="2032"/>
        <v>95</v>
      </c>
      <c r="CG226" s="35">
        <f t="shared" si="2033"/>
        <v>0.28399999999999997</v>
      </c>
      <c r="CH226" s="197">
        <f t="shared" ca="1" si="1359"/>
        <v>169.23611111111677</v>
      </c>
      <c r="CI226" s="41">
        <f t="shared" ca="1" si="2034"/>
        <v>0.46366057838662128</v>
      </c>
      <c r="CJ226" s="40">
        <f t="shared" ref="CJ226:CJ235" ca="1" si="2150">LN($A226/CF226)</f>
        <v>-0.10653079080601656</v>
      </c>
      <c r="CK226" s="40">
        <f t="shared" ref="CK226:CK235" ca="1" si="2151">($E226-$D226+POWER(CG226,2)/2)*CI226</f>
        <v>2.5189751902588361E-2</v>
      </c>
      <c r="CL226" s="40">
        <f t="shared" ref="CL226:CL235" ca="1" si="2152">MAX(0,0.000000000001,CG226*SQRT(CI226))</f>
        <v>0.19338305926412305</v>
      </c>
      <c r="CM226" s="42">
        <f t="shared" ref="CM226:CM235" ca="1" si="2153">(CJ226+CK226)/CL226</f>
        <v>-0.42062132646444694</v>
      </c>
      <c r="CN226" s="42">
        <f t="shared" ref="CN226:CN235" ca="1" si="2154">CM226-CL226</f>
        <v>-0.61400438572856997</v>
      </c>
      <c r="CO226" s="42">
        <f t="shared" ref="CO226:CO235" ca="1" si="2155">_xlfn.NORM.DIST(CM226,0,1,TRUE)</f>
        <v>0.33701580910706302</v>
      </c>
      <c r="CP226" s="42">
        <f t="shared" ref="CP226:CP235" ca="1" si="2156">_xlfn.NORM.DIST(-CM226,0,1,TRUE)</f>
        <v>0.66298419089293703</v>
      </c>
      <c r="CQ226" s="42">
        <f t="shared" ref="CQ226:CQ235" ca="1" si="2157">_xlfn.NORM.DIST(CN226,0,1,TRUE)</f>
        <v>0.26960621453848232</v>
      </c>
      <c r="CR226" s="42">
        <f t="shared" ref="CR226:CR235" ca="1" si="2158">_xlfn.NORM.DIST(-CN226,0,1,TRUE)</f>
        <v>0.73039378546151768</v>
      </c>
      <c r="CS226" s="42">
        <f t="shared" ref="CS226:CS235" ca="1" si="2159">EXP(-$E226*CI226)</f>
        <v>0.98162450344672281</v>
      </c>
      <c r="CT226" s="42">
        <f t="shared" ref="CT226:CT235" ca="1" si="2160">CF226*CS226</f>
        <v>93.254327827438672</v>
      </c>
      <c r="CU226" s="42">
        <f t="shared" ref="CU226:CU235" ca="1" si="2161">EXP(-$D226*CI226)</f>
        <v>0.98801719747153338</v>
      </c>
      <c r="CV226" s="42">
        <f t="shared" ref="CV226:CV235" ca="1" si="2162">$A226*CU226</f>
        <v>84.376668664068958</v>
      </c>
      <c r="CW226" s="42">
        <f t="shared" ref="CW226:CW235" ca="1" si="2163">EXP(-1*POWER(CM226,2)/2)/SQRT(2*PI())</f>
        <v>0.365167296678925</v>
      </c>
      <c r="CX226" s="42">
        <f t="shared" ref="CX226:CX235" ca="1" si="2164">IF($F$14=1,0,IF($F$14=2,$A226,IF($F$14=3,CV226*CO226-CT226*CQ226,CT226*CR226-CV226*CP226)))</f>
        <v>3.2943249446933756</v>
      </c>
      <c r="CY226" s="42">
        <f t="shared" ref="CY226:CY235" ca="1" si="2165">IF($F$14=2,1,IF(OR($F$14=1,CI226&lt;=0),0,IF($F$14=3,CO226*CU226,(CO226-1)*CU226)))</f>
        <v>0.33297741521756169</v>
      </c>
      <c r="CZ226" s="42">
        <f t="shared" ref="CZ226:CZ235" ca="1" si="2166">IF(OR($F$14&lt;=2,CI226&lt;=0),0,CW226*CU226/($A226*CL226))</f>
        <v>2.1846410172893065E-2</v>
      </c>
      <c r="DA226" s="42">
        <f t="shared" ca="1" si="2052"/>
        <v>-1.8333614860733365E-2</v>
      </c>
      <c r="DB226" s="42">
        <f t="shared" ref="DB226:DB235" ca="1" si="2167">IF(OR($F$14&lt;=2,CI226&lt;=0),0,(CW226*$A226*CU226*SQRT(CI226))/100)</f>
        <v>0.20980427706325602</v>
      </c>
      <c r="DC226" s="42">
        <f t="shared" ref="DC226:DC235" ca="1" si="2168">IF(OR($F$14&lt;=2,CI226&lt;=0),0,IF($F$14=3,CQ226,-1*CR226)*CF226*CI226*CS226/100)</f>
        <v>0.11657329370125608</v>
      </c>
      <c r="DD226" s="42">
        <f t="shared" ref="DD226:DD235" ca="1" si="2169">IF($F$14=1,0,IF($M$28=1,CX226-$G$14,OFFSET(CV226,0,$M$28))*IF($M$30=1,SIGN($B$14),$T$14))</f>
        <v>-927.83752765331235</v>
      </c>
      <c r="DE226" s="40"/>
      <c r="DF226" s="36">
        <f t="shared" si="2055"/>
        <v>200</v>
      </c>
      <c r="DG226" s="35">
        <f t="shared" si="2056"/>
        <v>0.28399999999999997</v>
      </c>
      <c r="DH226" s="197">
        <f t="shared" ca="1" si="1382"/>
        <v>169.23611111111677</v>
      </c>
      <c r="DI226" s="41">
        <f t="shared" ca="1" si="2057"/>
        <v>0.46366057838662128</v>
      </c>
      <c r="DJ226" s="40">
        <f t="shared" ref="DJ226:DJ235" ca="1" si="2170">LN($A226/DF226)</f>
        <v>-0.85097126575351234</v>
      </c>
      <c r="DK226" s="40">
        <f t="shared" ref="DK226:DK235" ca="1" si="2171">($E226-$D226+POWER(DG226,2)/2)*DI226</f>
        <v>2.5189751902588361E-2</v>
      </c>
      <c r="DL226" s="40">
        <f t="shared" ref="DL226:DL235" ca="1" si="2172">MAX(0,0.000000000001,DG226*SQRT(DI226))</f>
        <v>0.19338305926412305</v>
      </c>
      <c r="DM226" s="42">
        <f t="shared" ref="DM226:DM235" ca="1" si="2173">(DJ226+DK226)/DL226</f>
        <v>-4.2701853874545943</v>
      </c>
      <c r="DN226" s="42">
        <f t="shared" ref="DN226:DN235" ca="1" si="2174">DM226-DL226</f>
        <v>-4.4635684467187176</v>
      </c>
      <c r="DO226" s="42">
        <f t="shared" ref="DO226:DO235" ca="1" si="2175">_xlfn.NORM.DIST(DM226,0,1,TRUE)</f>
        <v>9.7655276518789487E-6</v>
      </c>
      <c r="DP226" s="42">
        <f t="shared" ref="DP226:DP235" ca="1" si="2176">_xlfn.NORM.DIST(-DM226,0,1,TRUE)</f>
        <v>0.99999023447234814</v>
      </c>
      <c r="DQ226" s="42">
        <f t="shared" ref="DQ226:DQ235" ca="1" si="2177">_xlfn.NORM.DIST(DN226,0,1,TRUE)</f>
        <v>4.0302916462733568E-6</v>
      </c>
      <c r="DR226" s="42">
        <f t="shared" ref="DR226:DR235" ca="1" si="2178">_xlfn.NORM.DIST(-DN226,0,1,TRUE)</f>
        <v>0.99999596970835369</v>
      </c>
      <c r="DS226" s="42">
        <f t="shared" ref="DS226:DS235" ca="1" si="2179">EXP(-$E226*DI226)</f>
        <v>0.98162450344672281</v>
      </c>
      <c r="DT226" s="42">
        <f t="shared" ref="DT226:DT235" ca="1" si="2180">DF226*DS226</f>
        <v>196.32490068934456</v>
      </c>
      <c r="DU226" s="42">
        <f t="shared" ref="DU226:DU235" ca="1" si="2181">EXP(-$D226*DI226)</f>
        <v>0.98801719747153338</v>
      </c>
      <c r="DV226" s="42">
        <f t="shared" ref="DV226:DV235" ca="1" si="2182">$A226*DU226</f>
        <v>84.376668664068958</v>
      </c>
      <c r="DW226" s="42">
        <f t="shared" ref="DW226:DW235" ca="1" si="2183">EXP(-1*POWER(DM226,2)/2)/SQRT(2*PI())</f>
        <v>4.3786712472282578E-5</v>
      </c>
      <c r="DX226" s="42">
        <f t="shared" ref="DX226:DX235" si="2184">IF($F$16=1,0,IF($F$16=2,$A226,IF($F$16=3,DV226*DO226-DT226*DQ226,DT226*DR226-DV226*DP226)))</f>
        <v>0</v>
      </c>
      <c r="DY226" s="92">
        <f t="shared" ref="DY226:DY235" ca="1" si="2185">IF($F$16=2,1,IF(OR($F$16=1,DI226&lt;=0),0,IF($F$16=3,DO226*DU226,(DO226-1)*DU226)))</f>
        <v>0</v>
      </c>
      <c r="DZ226" s="42">
        <f t="shared" ref="DZ226:DZ235" ca="1" si="2186">IF(OR($F$16&lt;=2,DI226&lt;=0),0,DW226*DU226/($A226*DL226))</f>
        <v>0</v>
      </c>
      <c r="EA226" s="42">
        <f t="shared" ca="1" si="2075"/>
        <v>0</v>
      </c>
      <c r="EB226" s="42">
        <f t="shared" ref="EB226:EB235" ca="1" si="2187">IF(OR($F$16&lt;=2,DI226&lt;=0),0,(DW226*$A226*DU226*SQRT(DI226))/100)</f>
        <v>0</v>
      </c>
      <c r="EC226" s="42">
        <f t="shared" ref="EC226:EC235" ca="1" si="2188">IF(OR($F$16&lt;=2,DI226&lt;=0),0,IF($F$16=3,DQ226,-1*DR226)*DF226*DI226*DS226/100)</f>
        <v>0</v>
      </c>
      <c r="ED226" s="42">
        <f t="shared" ref="ED226:ED235" ca="1" si="2189">IF($F$16=1,0,IF($M$28=1,DX226-$G$16,OFFSET(DV226,0,$M$28))*IF($M$30=1,SIGN($B$16),$T$16))</f>
        <v>0</v>
      </c>
      <c r="EE226" s="40"/>
      <c r="EF226" s="120">
        <f t="shared" ca="1" si="2078"/>
        <v>85.4</v>
      </c>
      <c r="EG226" s="42">
        <f t="shared" ca="1" si="2079"/>
        <v>258.33906893413985</v>
      </c>
      <c r="EH226" s="36">
        <f t="shared" ca="1" si="2080"/>
        <v>258.33906893413985</v>
      </c>
      <c r="EI226" s="143">
        <f t="shared" ca="1" si="2081"/>
        <v>258.339</v>
      </c>
      <c r="EJ226" s="143">
        <f t="shared" ca="1" si="2089"/>
        <v>0</v>
      </c>
      <c r="EK226" s="153">
        <f t="shared" ca="1" si="2082"/>
        <v>0</v>
      </c>
      <c r="EL226" s="143">
        <f t="shared" ca="1" si="2083"/>
        <v>0</v>
      </c>
    </row>
    <row r="227" spans="1:142" x14ac:dyDescent="0.3">
      <c r="A227" s="143">
        <f t="shared" ca="1" si="2084"/>
        <v>85.4</v>
      </c>
      <c r="B227" s="144">
        <f t="shared" ca="1" si="2085"/>
        <v>0.28399999999999997</v>
      </c>
      <c r="C227" s="145">
        <f t="shared" ca="1" si="2086"/>
        <v>45295.440972222219</v>
      </c>
      <c r="D227" s="144">
        <f t="shared" ca="1" si="2087"/>
        <v>2.5999999999999999E-2</v>
      </c>
      <c r="E227" s="144">
        <f t="shared" ca="1" si="2088"/>
        <v>0.04</v>
      </c>
      <c r="F227" s="36">
        <f t="shared" si="1963"/>
        <v>75</v>
      </c>
      <c r="G227" s="35">
        <f t="shared" si="1964"/>
        <v>0.28399999999999997</v>
      </c>
      <c r="H227" s="197">
        <f t="shared" ca="1" si="1290"/>
        <v>169.23611111111677</v>
      </c>
      <c r="I227" s="41">
        <f t="shared" ca="1" si="1965"/>
        <v>0.46366057838662128</v>
      </c>
      <c r="J227" s="40">
        <f t="shared" ca="1" si="2090"/>
        <v>0.12985798725821379</v>
      </c>
      <c r="K227" s="40">
        <f t="shared" ca="1" si="2091"/>
        <v>2.5189751902588361E-2</v>
      </c>
      <c r="L227" s="40">
        <f t="shared" ca="1" si="2092"/>
        <v>0.19338305926412305</v>
      </c>
      <c r="M227" s="42">
        <f t="shared" ca="1" si="2093"/>
        <v>0.80176484822818728</v>
      </c>
      <c r="N227" s="42">
        <f t="shared" ca="1" si="2094"/>
        <v>0.60838178896406425</v>
      </c>
      <c r="O227" s="42">
        <f t="shared" ca="1" si="2095"/>
        <v>0.78865550202522283</v>
      </c>
      <c r="P227" s="42">
        <f t="shared" ca="1" si="2096"/>
        <v>0.21134449797477717</v>
      </c>
      <c r="Q227" s="42">
        <f t="shared" ca="1" si="2097"/>
        <v>0.72853285658034883</v>
      </c>
      <c r="R227" s="42">
        <f t="shared" ca="1" si="2098"/>
        <v>0.27146714341965111</v>
      </c>
      <c r="S227" s="42">
        <f t="shared" ca="1" si="2099"/>
        <v>0.98162450344672281</v>
      </c>
      <c r="T227" s="42">
        <f t="shared" ca="1" si="2100"/>
        <v>73.621837758504213</v>
      </c>
      <c r="U227" s="42">
        <f t="shared" ca="1" si="2101"/>
        <v>0.98801719747153338</v>
      </c>
      <c r="V227" s="42">
        <f t="shared" ca="1" si="2102"/>
        <v>84.376668664068958</v>
      </c>
      <c r="W227" s="42">
        <f t="shared" ca="1" si="2103"/>
        <v>0.28928238154977365</v>
      </c>
      <c r="X227" s="42">
        <f t="shared" ca="1" si="2104"/>
        <v>2.153365310014383</v>
      </c>
      <c r="Y227" s="42">
        <f t="shared" ca="1" si="2105"/>
        <v>-0.20881199859006749</v>
      </c>
      <c r="Z227" s="42">
        <f t="shared" ca="1" si="2106"/>
        <v>1.7306537635226424E-2</v>
      </c>
      <c r="AA227" s="42">
        <f t="shared" ca="1" si="1983"/>
        <v>-1.302570857267049E-2</v>
      </c>
      <c r="AB227" s="42">
        <f t="shared" ca="1" si="2107"/>
        <v>0.16620513797420244</v>
      </c>
      <c r="AC227" s="42">
        <f t="shared" ca="1" si="2108"/>
        <v>-9.2666785853637385E-2</v>
      </c>
      <c r="AD227" s="42">
        <f t="shared" ca="1" si="2109"/>
        <v>-723.31734499280856</v>
      </c>
      <c r="AF227" s="36">
        <f t="shared" si="1986"/>
        <v>80</v>
      </c>
      <c r="AG227" s="35">
        <f t="shared" si="1987"/>
        <v>0.28399999999999997</v>
      </c>
      <c r="AH227" s="197">
        <f t="shared" ca="1" si="1313"/>
        <v>169.23611111111677</v>
      </c>
      <c r="AI227" s="41">
        <f t="shared" ca="1" si="1988"/>
        <v>0.46366057838662128</v>
      </c>
      <c r="AJ227" s="40">
        <f t="shared" ca="1" si="2110"/>
        <v>6.5319466120642669E-2</v>
      </c>
      <c r="AK227" s="40">
        <f t="shared" ca="1" si="2111"/>
        <v>2.5189751902588361E-2</v>
      </c>
      <c r="AL227" s="40">
        <f t="shared" ca="1" si="2112"/>
        <v>0.19338305926412305</v>
      </c>
      <c r="AM227" s="42">
        <f t="shared" ca="1" si="2113"/>
        <v>0.46803074875143702</v>
      </c>
      <c r="AN227" s="42">
        <f t="shared" ca="1" si="2114"/>
        <v>0.274647689487314</v>
      </c>
      <c r="AO227" s="42">
        <f t="shared" ca="1" si="2115"/>
        <v>0.68011869960825055</v>
      </c>
      <c r="AP227" s="42">
        <f t="shared" ca="1" si="2116"/>
        <v>0.31988130039174945</v>
      </c>
      <c r="AQ227" s="42">
        <f t="shared" ca="1" si="2117"/>
        <v>0.60820653811473968</v>
      </c>
      <c r="AR227" s="42">
        <f t="shared" ca="1" si="2118"/>
        <v>0.39179346188526026</v>
      </c>
      <c r="AS227" s="42">
        <f t="shared" ca="1" si="2119"/>
        <v>0.98162450344672281</v>
      </c>
      <c r="AT227" s="42">
        <f t="shared" ca="1" si="2120"/>
        <v>78.529960275737821</v>
      </c>
      <c r="AU227" s="42">
        <f t="shared" ca="1" si="2121"/>
        <v>0.98801719747153338</v>
      </c>
      <c r="AV227" s="42">
        <f t="shared" ca="1" si="2122"/>
        <v>84.376668664068958</v>
      </c>
      <c r="AW227" s="42">
        <f t="shared" ca="1" si="2123"/>
        <v>0.3575554142041969</v>
      </c>
      <c r="AX227" s="42">
        <f t="shared" ca="1" si="2124"/>
        <v>3.777006503157132</v>
      </c>
      <c r="AY227" s="42">
        <f t="shared" ca="1" si="2125"/>
        <v>-0.31604822593660598</v>
      </c>
      <c r="AZ227" s="42">
        <f t="shared" ca="1" si="2126"/>
        <v>2.1391023537115056E-2</v>
      </c>
      <c r="BA227" s="42">
        <f t="shared" ca="1" si="2006"/>
        <v>-1.5787806699479157E-2</v>
      </c>
      <c r="BB227" s="42">
        <f t="shared" ca="1" si="2127"/>
        <v>0.20543092404335248</v>
      </c>
      <c r="BC227" s="42">
        <f t="shared" ca="1" si="2128"/>
        <v>-0.14265688436163948</v>
      </c>
      <c r="BD227" s="42">
        <f t="shared" ca="1" si="2129"/>
        <v>936.49674842143418</v>
      </c>
      <c r="BE227" s="40"/>
      <c r="BF227" s="36">
        <f t="shared" si="2009"/>
        <v>90</v>
      </c>
      <c r="BG227" s="35">
        <f t="shared" si="2010"/>
        <v>0.28399999999999997</v>
      </c>
      <c r="BH227" s="197">
        <f t="shared" ca="1" si="1336"/>
        <v>169.23611111111677</v>
      </c>
      <c r="BI227" s="41">
        <f t="shared" ca="1" si="2011"/>
        <v>0.46366057838662128</v>
      </c>
      <c r="BJ227" s="40">
        <f t="shared" ca="1" si="2130"/>
        <v>-5.2463569535740766E-2</v>
      </c>
      <c r="BK227" s="40">
        <f t="shared" ca="1" si="2131"/>
        <v>2.5189751902588361E-2</v>
      </c>
      <c r="BL227" s="40">
        <f t="shared" ca="1" si="2132"/>
        <v>0.19338305926412305</v>
      </c>
      <c r="BM227" s="42">
        <f t="shared" ca="1" si="2133"/>
        <v>-0.14103519582809868</v>
      </c>
      <c r="BN227" s="42">
        <f t="shared" ca="1" si="2134"/>
        <v>-0.33441825509222173</v>
      </c>
      <c r="BO227" s="42">
        <f t="shared" ca="1" si="2135"/>
        <v>0.44392106898616246</v>
      </c>
      <c r="BP227" s="42">
        <f t="shared" ca="1" si="2136"/>
        <v>0.55607893101383754</v>
      </c>
      <c r="BQ227" s="42">
        <f t="shared" ca="1" si="2137"/>
        <v>0.36903198301145818</v>
      </c>
      <c r="BR227" s="42">
        <f t="shared" ca="1" si="2138"/>
        <v>0.63096801698854188</v>
      </c>
      <c r="BS227" s="42">
        <f t="shared" ca="1" si="2139"/>
        <v>0.98162450344672281</v>
      </c>
      <c r="BT227" s="42">
        <f t="shared" ca="1" si="2140"/>
        <v>88.34620531020505</v>
      </c>
      <c r="BU227" s="42">
        <f t="shared" ca="1" si="2141"/>
        <v>0.98801719747153338</v>
      </c>
      <c r="BV227" s="42">
        <f t="shared" ca="1" si="2142"/>
        <v>84.376668664068958</v>
      </c>
      <c r="BW227" s="42">
        <f t="shared" ca="1" si="2143"/>
        <v>0.39499427951128013</v>
      </c>
      <c r="BX227" s="42">
        <f t="shared" ca="1" si="2144"/>
        <v>4.8540056136823466</v>
      </c>
      <c r="BY227" s="42">
        <f t="shared" ca="1" si="2145"/>
        <v>0.43860165047827548</v>
      </c>
      <c r="BZ227" s="42">
        <f t="shared" ca="1" si="2146"/>
        <v>2.3630832017624698E-2</v>
      </c>
      <c r="CA227" s="42">
        <f t="shared" ca="1" si="2029"/>
        <v>-1.9946570164958009E-2</v>
      </c>
      <c r="CB227" s="42">
        <f t="shared" ca="1" si="2147"/>
        <v>0.22694115823260852</v>
      </c>
      <c r="CC227" s="42">
        <f t="shared" ca="1" si="2148"/>
        <v>0.15116528937722107</v>
      </c>
      <c r="CD227" s="42">
        <f t="shared" ca="1" si="2149"/>
        <v>972.99719315882658</v>
      </c>
      <c r="CE227" s="40"/>
      <c r="CF227" s="36">
        <f t="shared" si="2032"/>
        <v>95</v>
      </c>
      <c r="CG227" s="35">
        <f t="shared" si="2033"/>
        <v>0.28399999999999997</v>
      </c>
      <c r="CH227" s="197">
        <f t="shared" ca="1" si="1359"/>
        <v>169.23611111111677</v>
      </c>
      <c r="CI227" s="41">
        <f t="shared" ca="1" si="2034"/>
        <v>0.46366057838662128</v>
      </c>
      <c r="CJ227" s="40">
        <f t="shared" ca="1" si="2150"/>
        <v>-0.10653079080601656</v>
      </c>
      <c r="CK227" s="40">
        <f t="shared" ca="1" si="2151"/>
        <v>2.5189751902588361E-2</v>
      </c>
      <c r="CL227" s="40">
        <f t="shared" ca="1" si="2152"/>
        <v>0.19338305926412305</v>
      </c>
      <c r="CM227" s="42">
        <f t="shared" ca="1" si="2153"/>
        <v>-0.42062132646444694</v>
      </c>
      <c r="CN227" s="42">
        <f t="shared" ca="1" si="2154"/>
        <v>-0.61400438572856997</v>
      </c>
      <c r="CO227" s="42">
        <f t="shared" ca="1" si="2155"/>
        <v>0.33701580910706302</v>
      </c>
      <c r="CP227" s="42">
        <f t="shared" ca="1" si="2156"/>
        <v>0.66298419089293703</v>
      </c>
      <c r="CQ227" s="42">
        <f t="shared" ca="1" si="2157"/>
        <v>0.26960621453848232</v>
      </c>
      <c r="CR227" s="42">
        <f t="shared" ca="1" si="2158"/>
        <v>0.73039378546151768</v>
      </c>
      <c r="CS227" s="42">
        <f t="shared" ca="1" si="2159"/>
        <v>0.98162450344672281</v>
      </c>
      <c r="CT227" s="42">
        <f t="shared" ca="1" si="2160"/>
        <v>93.254327827438672</v>
      </c>
      <c r="CU227" s="42">
        <f t="shared" ca="1" si="2161"/>
        <v>0.98801719747153338</v>
      </c>
      <c r="CV227" s="42">
        <f t="shared" ca="1" si="2162"/>
        <v>84.376668664068958</v>
      </c>
      <c r="CW227" s="42">
        <f t="shared" ca="1" si="2163"/>
        <v>0.365167296678925</v>
      </c>
      <c r="CX227" s="42">
        <f t="shared" ca="1" si="2164"/>
        <v>3.2943249446933756</v>
      </c>
      <c r="CY227" s="42">
        <f t="shared" ca="1" si="2165"/>
        <v>0.33297741521756169</v>
      </c>
      <c r="CZ227" s="42">
        <f t="shared" ca="1" si="2166"/>
        <v>2.1846410172893065E-2</v>
      </c>
      <c r="DA227" s="42">
        <f t="shared" ca="1" si="2052"/>
        <v>-1.8333614860733365E-2</v>
      </c>
      <c r="DB227" s="42">
        <f t="shared" ca="1" si="2167"/>
        <v>0.20980427706325602</v>
      </c>
      <c r="DC227" s="42">
        <f t="shared" ca="1" si="2168"/>
        <v>0.11657329370125608</v>
      </c>
      <c r="DD227" s="42">
        <f t="shared" ca="1" si="2169"/>
        <v>-927.83752765331235</v>
      </c>
      <c r="DE227" s="40"/>
      <c r="DF227" s="36">
        <f t="shared" si="2055"/>
        <v>200</v>
      </c>
      <c r="DG227" s="35">
        <f t="shared" si="2056"/>
        <v>0.28399999999999997</v>
      </c>
      <c r="DH227" s="197">
        <f t="shared" ca="1" si="1382"/>
        <v>169.23611111111677</v>
      </c>
      <c r="DI227" s="41">
        <f t="shared" ca="1" si="2057"/>
        <v>0.46366057838662128</v>
      </c>
      <c r="DJ227" s="40">
        <f t="shared" ca="1" si="2170"/>
        <v>-0.85097126575351234</v>
      </c>
      <c r="DK227" s="40">
        <f t="shared" ca="1" si="2171"/>
        <v>2.5189751902588361E-2</v>
      </c>
      <c r="DL227" s="40">
        <f t="shared" ca="1" si="2172"/>
        <v>0.19338305926412305</v>
      </c>
      <c r="DM227" s="42">
        <f t="shared" ca="1" si="2173"/>
        <v>-4.2701853874545943</v>
      </c>
      <c r="DN227" s="42">
        <f t="shared" ca="1" si="2174"/>
        <v>-4.4635684467187176</v>
      </c>
      <c r="DO227" s="42">
        <f t="shared" ca="1" si="2175"/>
        <v>9.7655276518789487E-6</v>
      </c>
      <c r="DP227" s="42">
        <f t="shared" ca="1" si="2176"/>
        <v>0.99999023447234814</v>
      </c>
      <c r="DQ227" s="42">
        <f t="shared" ca="1" si="2177"/>
        <v>4.0302916462733568E-6</v>
      </c>
      <c r="DR227" s="42">
        <f t="shared" ca="1" si="2178"/>
        <v>0.99999596970835369</v>
      </c>
      <c r="DS227" s="42">
        <f t="shared" ca="1" si="2179"/>
        <v>0.98162450344672281</v>
      </c>
      <c r="DT227" s="42">
        <f t="shared" ca="1" si="2180"/>
        <v>196.32490068934456</v>
      </c>
      <c r="DU227" s="42">
        <f t="shared" ca="1" si="2181"/>
        <v>0.98801719747153338</v>
      </c>
      <c r="DV227" s="42">
        <f t="shared" ca="1" si="2182"/>
        <v>84.376668664068958</v>
      </c>
      <c r="DW227" s="42">
        <f t="shared" ca="1" si="2183"/>
        <v>4.3786712472282578E-5</v>
      </c>
      <c r="DX227" s="42">
        <f t="shared" si="2184"/>
        <v>0</v>
      </c>
      <c r="DY227" s="92">
        <f t="shared" ca="1" si="2185"/>
        <v>0</v>
      </c>
      <c r="DZ227" s="42">
        <f t="shared" ca="1" si="2186"/>
        <v>0</v>
      </c>
      <c r="EA227" s="42">
        <f t="shared" ca="1" si="2075"/>
        <v>0</v>
      </c>
      <c r="EB227" s="42">
        <f t="shared" ca="1" si="2187"/>
        <v>0</v>
      </c>
      <c r="EC227" s="42">
        <f t="shared" ca="1" si="2188"/>
        <v>0</v>
      </c>
      <c r="ED227" s="42">
        <f t="shared" ca="1" si="2189"/>
        <v>0</v>
      </c>
      <c r="EE227" s="40"/>
      <c r="EF227" s="120">
        <f t="shared" ca="1" si="2078"/>
        <v>85.4</v>
      </c>
      <c r="EG227" s="42">
        <f t="shared" ca="1" si="2079"/>
        <v>258.33906893413985</v>
      </c>
      <c r="EH227" s="36">
        <f t="shared" ca="1" si="2080"/>
        <v>258.33906893413985</v>
      </c>
      <c r="EI227" s="143">
        <f t="shared" ca="1" si="2081"/>
        <v>258.339</v>
      </c>
      <c r="EJ227" s="143">
        <f t="shared" ca="1" si="2089"/>
        <v>0</v>
      </c>
      <c r="EK227" s="153">
        <f t="shared" ca="1" si="2082"/>
        <v>0</v>
      </c>
      <c r="EL227" s="143">
        <f t="shared" ca="1" si="2083"/>
        <v>0</v>
      </c>
    </row>
    <row r="228" spans="1:142" x14ac:dyDescent="0.3">
      <c r="A228" s="143">
        <f t="shared" ca="1" si="2084"/>
        <v>85.4</v>
      </c>
      <c r="B228" s="144">
        <f t="shared" ca="1" si="2085"/>
        <v>0.28399999999999997</v>
      </c>
      <c r="C228" s="145">
        <f t="shared" ca="1" si="2086"/>
        <v>45295.440972222219</v>
      </c>
      <c r="D228" s="144">
        <f t="shared" ca="1" si="2087"/>
        <v>2.5999999999999999E-2</v>
      </c>
      <c r="E228" s="144">
        <f t="shared" ca="1" si="2088"/>
        <v>0.04</v>
      </c>
      <c r="F228" s="36">
        <f t="shared" si="1963"/>
        <v>75</v>
      </c>
      <c r="G228" s="35">
        <f t="shared" si="1964"/>
        <v>0.28399999999999997</v>
      </c>
      <c r="H228" s="197">
        <f t="shared" ca="1" si="1290"/>
        <v>169.23611111111677</v>
      </c>
      <c r="I228" s="41">
        <f t="shared" ca="1" si="1965"/>
        <v>0.46366057838662128</v>
      </c>
      <c r="J228" s="40">
        <f t="shared" ca="1" si="2090"/>
        <v>0.12985798725821379</v>
      </c>
      <c r="K228" s="40">
        <f t="shared" ca="1" si="2091"/>
        <v>2.5189751902588361E-2</v>
      </c>
      <c r="L228" s="40">
        <f t="shared" ca="1" si="2092"/>
        <v>0.19338305926412305</v>
      </c>
      <c r="M228" s="42">
        <f t="shared" ca="1" si="2093"/>
        <v>0.80176484822818728</v>
      </c>
      <c r="N228" s="42">
        <f t="shared" ca="1" si="2094"/>
        <v>0.60838178896406425</v>
      </c>
      <c r="O228" s="42">
        <f t="shared" ca="1" si="2095"/>
        <v>0.78865550202522283</v>
      </c>
      <c r="P228" s="42">
        <f t="shared" ca="1" si="2096"/>
        <v>0.21134449797477717</v>
      </c>
      <c r="Q228" s="42">
        <f t="shared" ca="1" si="2097"/>
        <v>0.72853285658034883</v>
      </c>
      <c r="R228" s="42">
        <f t="shared" ca="1" si="2098"/>
        <v>0.27146714341965111</v>
      </c>
      <c r="S228" s="42">
        <f t="shared" ca="1" si="2099"/>
        <v>0.98162450344672281</v>
      </c>
      <c r="T228" s="42">
        <f t="shared" ca="1" si="2100"/>
        <v>73.621837758504213</v>
      </c>
      <c r="U228" s="42">
        <f t="shared" ca="1" si="2101"/>
        <v>0.98801719747153338</v>
      </c>
      <c r="V228" s="42">
        <f t="shared" ca="1" si="2102"/>
        <v>84.376668664068958</v>
      </c>
      <c r="W228" s="42">
        <f t="shared" ca="1" si="2103"/>
        <v>0.28928238154977365</v>
      </c>
      <c r="X228" s="42">
        <f t="shared" ca="1" si="2104"/>
        <v>2.153365310014383</v>
      </c>
      <c r="Y228" s="42">
        <f t="shared" ca="1" si="2105"/>
        <v>-0.20881199859006749</v>
      </c>
      <c r="Z228" s="42">
        <f t="shared" ca="1" si="2106"/>
        <v>1.7306537635226424E-2</v>
      </c>
      <c r="AA228" s="42">
        <f t="shared" ca="1" si="1983"/>
        <v>-1.302570857267049E-2</v>
      </c>
      <c r="AB228" s="42">
        <f t="shared" ca="1" si="2107"/>
        <v>0.16620513797420244</v>
      </c>
      <c r="AC228" s="42">
        <f t="shared" ca="1" si="2108"/>
        <v>-9.2666785853637385E-2</v>
      </c>
      <c r="AD228" s="42">
        <f t="shared" ca="1" si="2109"/>
        <v>-723.31734499280856</v>
      </c>
      <c r="AF228" s="36">
        <f t="shared" si="1986"/>
        <v>80</v>
      </c>
      <c r="AG228" s="35">
        <f t="shared" si="1987"/>
        <v>0.28399999999999997</v>
      </c>
      <c r="AH228" s="197">
        <f t="shared" ca="1" si="1313"/>
        <v>169.23611111111677</v>
      </c>
      <c r="AI228" s="41">
        <f t="shared" ca="1" si="1988"/>
        <v>0.46366057838662128</v>
      </c>
      <c r="AJ228" s="40">
        <f t="shared" ca="1" si="2110"/>
        <v>6.5319466120642669E-2</v>
      </c>
      <c r="AK228" s="40">
        <f t="shared" ca="1" si="2111"/>
        <v>2.5189751902588361E-2</v>
      </c>
      <c r="AL228" s="40">
        <f t="shared" ca="1" si="2112"/>
        <v>0.19338305926412305</v>
      </c>
      <c r="AM228" s="42">
        <f t="shared" ca="1" si="2113"/>
        <v>0.46803074875143702</v>
      </c>
      <c r="AN228" s="42">
        <f t="shared" ca="1" si="2114"/>
        <v>0.274647689487314</v>
      </c>
      <c r="AO228" s="42">
        <f t="shared" ca="1" si="2115"/>
        <v>0.68011869960825055</v>
      </c>
      <c r="AP228" s="42">
        <f t="shared" ca="1" si="2116"/>
        <v>0.31988130039174945</v>
      </c>
      <c r="AQ228" s="42">
        <f t="shared" ca="1" si="2117"/>
        <v>0.60820653811473968</v>
      </c>
      <c r="AR228" s="42">
        <f t="shared" ca="1" si="2118"/>
        <v>0.39179346188526026</v>
      </c>
      <c r="AS228" s="42">
        <f t="shared" ca="1" si="2119"/>
        <v>0.98162450344672281</v>
      </c>
      <c r="AT228" s="42">
        <f t="shared" ca="1" si="2120"/>
        <v>78.529960275737821</v>
      </c>
      <c r="AU228" s="42">
        <f t="shared" ca="1" si="2121"/>
        <v>0.98801719747153338</v>
      </c>
      <c r="AV228" s="42">
        <f t="shared" ca="1" si="2122"/>
        <v>84.376668664068958</v>
      </c>
      <c r="AW228" s="42">
        <f t="shared" ca="1" si="2123"/>
        <v>0.3575554142041969</v>
      </c>
      <c r="AX228" s="42">
        <f t="shared" ca="1" si="2124"/>
        <v>3.777006503157132</v>
      </c>
      <c r="AY228" s="42">
        <f t="shared" ca="1" si="2125"/>
        <v>-0.31604822593660598</v>
      </c>
      <c r="AZ228" s="42">
        <f t="shared" ca="1" si="2126"/>
        <v>2.1391023537115056E-2</v>
      </c>
      <c r="BA228" s="42">
        <f t="shared" ca="1" si="2006"/>
        <v>-1.5787806699479157E-2</v>
      </c>
      <c r="BB228" s="42">
        <f t="shared" ca="1" si="2127"/>
        <v>0.20543092404335248</v>
      </c>
      <c r="BC228" s="42">
        <f t="shared" ca="1" si="2128"/>
        <v>-0.14265688436163948</v>
      </c>
      <c r="BD228" s="42">
        <f t="shared" ca="1" si="2129"/>
        <v>936.49674842143418</v>
      </c>
      <c r="BE228" s="40"/>
      <c r="BF228" s="36">
        <f t="shared" si="2009"/>
        <v>90</v>
      </c>
      <c r="BG228" s="35">
        <f t="shared" si="2010"/>
        <v>0.28399999999999997</v>
      </c>
      <c r="BH228" s="197">
        <f t="shared" ca="1" si="1336"/>
        <v>169.23611111111677</v>
      </c>
      <c r="BI228" s="41">
        <f t="shared" ca="1" si="2011"/>
        <v>0.46366057838662128</v>
      </c>
      <c r="BJ228" s="40">
        <f t="shared" ca="1" si="2130"/>
        <v>-5.2463569535740766E-2</v>
      </c>
      <c r="BK228" s="40">
        <f t="shared" ca="1" si="2131"/>
        <v>2.5189751902588361E-2</v>
      </c>
      <c r="BL228" s="40">
        <f t="shared" ca="1" si="2132"/>
        <v>0.19338305926412305</v>
      </c>
      <c r="BM228" s="42">
        <f t="shared" ca="1" si="2133"/>
        <v>-0.14103519582809868</v>
      </c>
      <c r="BN228" s="42">
        <f t="shared" ca="1" si="2134"/>
        <v>-0.33441825509222173</v>
      </c>
      <c r="BO228" s="42">
        <f t="shared" ca="1" si="2135"/>
        <v>0.44392106898616246</v>
      </c>
      <c r="BP228" s="42">
        <f t="shared" ca="1" si="2136"/>
        <v>0.55607893101383754</v>
      </c>
      <c r="BQ228" s="42">
        <f t="shared" ca="1" si="2137"/>
        <v>0.36903198301145818</v>
      </c>
      <c r="BR228" s="42">
        <f t="shared" ca="1" si="2138"/>
        <v>0.63096801698854188</v>
      </c>
      <c r="BS228" s="42">
        <f t="shared" ca="1" si="2139"/>
        <v>0.98162450344672281</v>
      </c>
      <c r="BT228" s="42">
        <f t="shared" ca="1" si="2140"/>
        <v>88.34620531020505</v>
      </c>
      <c r="BU228" s="42">
        <f t="shared" ca="1" si="2141"/>
        <v>0.98801719747153338</v>
      </c>
      <c r="BV228" s="42">
        <f t="shared" ca="1" si="2142"/>
        <v>84.376668664068958</v>
      </c>
      <c r="BW228" s="42">
        <f t="shared" ca="1" si="2143"/>
        <v>0.39499427951128013</v>
      </c>
      <c r="BX228" s="42">
        <f t="shared" ca="1" si="2144"/>
        <v>4.8540056136823466</v>
      </c>
      <c r="BY228" s="42">
        <f t="shared" ca="1" si="2145"/>
        <v>0.43860165047827548</v>
      </c>
      <c r="BZ228" s="42">
        <f t="shared" ca="1" si="2146"/>
        <v>2.3630832017624698E-2</v>
      </c>
      <c r="CA228" s="42">
        <f t="shared" ca="1" si="2029"/>
        <v>-1.9946570164958009E-2</v>
      </c>
      <c r="CB228" s="42">
        <f t="shared" ca="1" si="2147"/>
        <v>0.22694115823260852</v>
      </c>
      <c r="CC228" s="42">
        <f t="shared" ca="1" si="2148"/>
        <v>0.15116528937722107</v>
      </c>
      <c r="CD228" s="42">
        <f t="shared" ca="1" si="2149"/>
        <v>972.99719315882658</v>
      </c>
      <c r="CE228" s="40"/>
      <c r="CF228" s="36">
        <f t="shared" si="2032"/>
        <v>95</v>
      </c>
      <c r="CG228" s="35">
        <f t="shared" si="2033"/>
        <v>0.28399999999999997</v>
      </c>
      <c r="CH228" s="197">
        <f t="shared" ca="1" si="1359"/>
        <v>169.23611111111677</v>
      </c>
      <c r="CI228" s="41">
        <f t="shared" ca="1" si="2034"/>
        <v>0.46366057838662128</v>
      </c>
      <c r="CJ228" s="40">
        <f t="shared" ca="1" si="2150"/>
        <v>-0.10653079080601656</v>
      </c>
      <c r="CK228" s="40">
        <f t="shared" ca="1" si="2151"/>
        <v>2.5189751902588361E-2</v>
      </c>
      <c r="CL228" s="40">
        <f t="shared" ca="1" si="2152"/>
        <v>0.19338305926412305</v>
      </c>
      <c r="CM228" s="42">
        <f t="shared" ca="1" si="2153"/>
        <v>-0.42062132646444694</v>
      </c>
      <c r="CN228" s="42">
        <f t="shared" ca="1" si="2154"/>
        <v>-0.61400438572856997</v>
      </c>
      <c r="CO228" s="42">
        <f t="shared" ca="1" si="2155"/>
        <v>0.33701580910706302</v>
      </c>
      <c r="CP228" s="42">
        <f t="shared" ca="1" si="2156"/>
        <v>0.66298419089293703</v>
      </c>
      <c r="CQ228" s="42">
        <f t="shared" ca="1" si="2157"/>
        <v>0.26960621453848232</v>
      </c>
      <c r="CR228" s="42">
        <f t="shared" ca="1" si="2158"/>
        <v>0.73039378546151768</v>
      </c>
      <c r="CS228" s="42">
        <f t="shared" ca="1" si="2159"/>
        <v>0.98162450344672281</v>
      </c>
      <c r="CT228" s="42">
        <f t="shared" ca="1" si="2160"/>
        <v>93.254327827438672</v>
      </c>
      <c r="CU228" s="42">
        <f t="shared" ca="1" si="2161"/>
        <v>0.98801719747153338</v>
      </c>
      <c r="CV228" s="42">
        <f t="shared" ca="1" si="2162"/>
        <v>84.376668664068958</v>
      </c>
      <c r="CW228" s="42">
        <f t="shared" ca="1" si="2163"/>
        <v>0.365167296678925</v>
      </c>
      <c r="CX228" s="42">
        <f t="shared" ca="1" si="2164"/>
        <v>3.2943249446933756</v>
      </c>
      <c r="CY228" s="42">
        <f t="shared" ca="1" si="2165"/>
        <v>0.33297741521756169</v>
      </c>
      <c r="CZ228" s="42">
        <f t="shared" ca="1" si="2166"/>
        <v>2.1846410172893065E-2</v>
      </c>
      <c r="DA228" s="42">
        <f t="shared" ca="1" si="2052"/>
        <v>-1.8333614860733365E-2</v>
      </c>
      <c r="DB228" s="42">
        <f t="shared" ca="1" si="2167"/>
        <v>0.20980427706325602</v>
      </c>
      <c r="DC228" s="42">
        <f t="shared" ca="1" si="2168"/>
        <v>0.11657329370125608</v>
      </c>
      <c r="DD228" s="42">
        <f t="shared" ca="1" si="2169"/>
        <v>-927.83752765331235</v>
      </c>
      <c r="DE228" s="40"/>
      <c r="DF228" s="36">
        <f t="shared" si="2055"/>
        <v>200</v>
      </c>
      <c r="DG228" s="35">
        <f t="shared" si="2056"/>
        <v>0.28399999999999997</v>
      </c>
      <c r="DH228" s="197">
        <f t="shared" ca="1" si="1382"/>
        <v>169.23611111111677</v>
      </c>
      <c r="DI228" s="41">
        <f t="shared" ca="1" si="2057"/>
        <v>0.46366057838662128</v>
      </c>
      <c r="DJ228" s="40">
        <f t="shared" ca="1" si="2170"/>
        <v>-0.85097126575351234</v>
      </c>
      <c r="DK228" s="40">
        <f t="shared" ca="1" si="2171"/>
        <v>2.5189751902588361E-2</v>
      </c>
      <c r="DL228" s="40">
        <f t="shared" ca="1" si="2172"/>
        <v>0.19338305926412305</v>
      </c>
      <c r="DM228" s="42">
        <f t="shared" ca="1" si="2173"/>
        <v>-4.2701853874545943</v>
      </c>
      <c r="DN228" s="42">
        <f t="shared" ca="1" si="2174"/>
        <v>-4.4635684467187176</v>
      </c>
      <c r="DO228" s="42">
        <f t="shared" ca="1" si="2175"/>
        <v>9.7655276518789487E-6</v>
      </c>
      <c r="DP228" s="42">
        <f t="shared" ca="1" si="2176"/>
        <v>0.99999023447234814</v>
      </c>
      <c r="DQ228" s="42">
        <f t="shared" ca="1" si="2177"/>
        <v>4.0302916462733568E-6</v>
      </c>
      <c r="DR228" s="42">
        <f t="shared" ca="1" si="2178"/>
        <v>0.99999596970835369</v>
      </c>
      <c r="DS228" s="42">
        <f t="shared" ca="1" si="2179"/>
        <v>0.98162450344672281</v>
      </c>
      <c r="DT228" s="42">
        <f t="shared" ca="1" si="2180"/>
        <v>196.32490068934456</v>
      </c>
      <c r="DU228" s="42">
        <f t="shared" ca="1" si="2181"/>
        <v>0.98801719747153338</v>
      </c>
      <c r="DV228" s="42">
        <f t="shared" ca="1" si="2182"/>
        <v>84.376668664068958</v>
      </c>
      <c r="DW228" s="42">
        <f t="shared" ca="1" si="2183"/>
        <v>4.3786712472282578E-5</v>
      </c>
      <c r="DX228" s="42">
        <f t="shared" si="2184"/>
        <v>0</v>
      </c>
      <c r="DY228" s="92">
        <f t="shared" ca="1" si="2185"/>
        <v>0</v>
      </c>
      <c r="DZ228" s="42">
        <f t="shared" ca="1" si="2186"/>
        <v>0</v>
      </c>
      <c r="EA228" s="42">
        <f t="shared" ca="1" si="2075"/>
        <v>0</v>
      </c>
      <c r="EB228" s="42">
        <f t="shared" ca="1" si="2187"/>
        <v>0</v>
      </c>
      <c r="EC228" s="42">
        <f t="shared" ca="1" si="2188"/>
        <v>0</v>
      </c>
      <c r="ED228" s="42">
        <f t="shared" ca="1" si="2189"/>
        <v>0</v>
      </c>
      <c r="EE228" s="40"/>
      <c r="EF228" s="120">
        <f t="shared" ca="1" si="2078"/>
        <v>85.4</v>
      </c>
      <c r="EG228" s="42">
        <f t="shared" ca="1" si="2079"/>
        <v>258.33906893413985</v>
      </c>
      <c r="EH228" s="36">
        <f t="shared" ca="1" si="2080"/>
        <v>258.33906893413985</v>
      </c>
      <c r="EI228" s="143">
        <f t="shared" ca="1" si="2081"/>
        <v>258.339</v>
      </c>
      <c r="EJ228" s="143">
        <f t="shared" ca="1" si="2089"/>
        <v>0</v>
      </c>
      <c r="EK228" s="153">
        <f t="shared" ca="1" si="2082"/>
        <v>0</v>
      </c>
      <c r="EL228" s="143">
        <f t="shared" ca="1" si="2083"/>
        <v>0</v>
      </c>
    </row>
    <row r="229" spans="1:142" x14ac:dyDescent="0.3">
      <c r="A229" s="143">
        <f t="shared" ca="1" si="2084"/>
        <v>85.4</v>
      </c>
      <c r="B229" s="144">
        <f t="shared" ca="1" si="2085"/>
        <v>0.28399999999999997</v>
      </c>
      <c r="C229" s="145">
        <f t="shared" ca="1" si="2086"/>
        <v>45295.440972222219</v>
      </c>
      <c r="D229" s="144">
        <f t="shared" ca="1" si="2087"/>
        <v>2.5999999999999999E-2</v>
      </c>
      <c r="E229" s="144">
        <f t="shared" ca="1" si="2088"/>
        <v>0.04</v>
      </c>
      <c r="F229" s="36">
        <f t="shared" si="1963"/>
        <v>75</v>
      </c>
      <c r="G229" s="35">
        <f t="shared" si="1964"/>
        <v>0.28399999999999997</v>
      </c>
      <c r="H229" s="197">
        <f t="shared" ca="1" si="1290"/>
        <v>169.23611111111677</v>
      </c>
      <c r="I229" s="41">
        <f t="shared" ca="1" si="1965"/>
        <v>0.46366057838662128</v>
      </c>
      <c r="J229" s="40">
        <f t="shared" ca="1" si="2090"/>
        <v>0.12985798725821379</v>
      </c>
      <c r="K229" s="40">
        <f t="shared" ca="1" si="2091"/>
        <v>2.5189751902588361E-2</v>
      </c>
      <c r="L229" s="40">
        <f t="shared" ca="1" si="2092"/>
        <v>0.19338305926412305</v>
      </c>
      <c r="M229" s="42">
        <f t="shared" ca="1" si="2093"/>
        <v>0.80176484822818728</v>
      </c>
      <c r="N229" s="42">
        <f t="shared" ca="1" si="2094"/>
        <v>0.60838178896406425</v>
      </c>
      <c r="O229" s="42">
        <f t="shared" ca="1" si="2095"/>
        <v>0.78865550202522283</v>
      </c>
      <c r="P229" s="42">
        <f t="shared" ca="1" si="2096"/>
        <v>0.21134449797477717</v>
      </c>
      <c r="Q229" s="42">
        <f t="shared" ca="1" si="2097"/>
        <v>0.72853285658034883</v>
      </c>
      <c r="R229" s="42">
        <f t="shared" ca="1" si="2098"/>
        <v>0.27146714341965111</v>
      </c>
      <c r="S229" s="42">
        <f t="shared" ca="1" si="2099"/>
        <v>0.98162450344672281</v>
      </c>
      <c r="T229" s="42">
        <f t="shared" ca="1" si="2100"/>
        <v>73.621837758504213</v>
      </c>
      <c r="U229" s="42">
        <f t="shared" ca="1" si="2101"/>
        <v>0.98801719747153338</v>
      </c>
      <c r="V229" s="42">
        <f t="shared" ca="1" si="2102"/>
        <v>84.376668664068958</v>
      </c>
      <c r="W229" s="42">
        <f t="shared" ca="1" si="2103"/>
        <v>0.28928238154977365</v>
      </c>
      <c r="X229" s="42">
        <f t="shared" ca="1" si="2104"/>
        <v>2.153365310014383</v>
      </c>
      <c r="Y229" s="42">
        <f t="shared" ca="1" si="2105"/>
        <v>-0.20881199859006749</v>
      </c>
      <c r="Z229" s="42">
        <f t="shared" ca="1" si="2106"/>
        <v>1.7306537635226424E-2</v>
      </c>
      <c r="AA229" s="42">
        <f t="shared" ca="1" si="1983"/>
        <v>-1.302570857267049E-2</v>
      </c>
      <c r="AB229" s="42">
        <f t="shared" ca="1" si="2107"/>
        <v>0.16620513797420244</v>
      </c>
      <c r="AC229" s="42">
        <f t="shared" ca="1" si="2108"/>
        <v>-9.2666785853637385E-2</v>
      </c>
      <c r="AD229" s="42">
        <f t="shared" ca="1" si="2109"/>
        <v>-723.31734499280856</v>
      </c>
      <c r="AF229" s="36">
        <f t="shared" si="1986"/>
        <v>80</v>
      </c>
      <c r="AG229" s="35">
        <f t="shared" si="1987"/>
        <v>0.28399999999999997</v>
      </c>
      <c r="AH229" s="197">
        <f t="shared" ca="1" si="1313"/>
        <v>169.23611111111677</v>
      </c>
      <c r="AI229" s="41">
        <f t="shared" ca="1" si="1988"/>
        <v>0.46366057838662128</v>
      </c>
      <c r="AJ229" s="40">
        <f t="shared" ca="1" si="2110"/>
        <v>6.5319466120642669E-2</v>
      </c>
      <c r="AK229" s="40">
        <f t="shared" ca="1" si="2111"/>
        <v>2.5189751902588361E-2</v>
      </c>
      <c r="AL229" s="40">
        <f t="shared" ca="1" si="2112"/>
        <v>0.19338305926412305</v>
      </c>
      <c r="AM229" s="42">
        <f t="shared" ca="1" si="2113"/>
        <v>0.46803074875143702</v>
      </c>
      <c r="AN229" s="42">
        <f t="shared" ca="1" si="2114"/>
        <v>0.274647689487314</v>
      </c>
      <c r="AO229" s="42">
        <f t="shared" ca="1" si="2115"/>
        <v>0.68011869960825055</v>
      </c>
      <c r="AP229" s="42">
        <f t="shared" ca="1" si="2116"/>
        <v>0.31988130039174945</v>
      </c>
      <c r="AQ229" s="42">
        <f t="shared" ca="1" si="2117"/>
        <v>0.60820653811473968</v>
      </c>
      <c r="AR229" s="42">
        <f t="shared" ca="1" si="2118"/>
        <v>0.39179346188526026</v>
      </c>
      <c r="AS229" s="42">
        <f t="shared" ca="1" si="2119"/>
        <v>0.98162450344672281</v>
      </c>
      <c r="AT229" s="42">
        <f t="shared" ca="1" si="2120"/>
        <v>78.529960275737821</v>
      </c>
      <c r="AU229" s="42">
        <f t="shared" ca="1" si="2121"/>
        <v>0.98801719747153338</v>
      </c>
      <c r="AV229" s="42">
        <f t="shared" ca="1" si="2122"/>
        <v>84.376668664068958</v>
      </c>
      <c r="AW229" s="42">
        <f t="shared" ca="1" si="2123"/>
        <v>0.3575554142041969</v>
      </c>
      <c r="AX229" s="42">
        <f t="shared" ca="1" si="2124"/>
        <v>3.777006503157132</v>
      </c>
      <c r="AY229" s="42">
        <f t="shared" ca="1" si="2125"/>
        <v>-0.31604822593660598</v>
      </c>
      <c r="AZ229" s="42">
        <f t="shared" ca="1" si="2126"/>
        <v>2.1391023537115056E-2</v>
      </c>
      <c r="BA229" s="42">
        <f t="shared" ca="1" si="2006"/>
        <v>-1.5787806699479157E-2</v>
      </c>
      <c r="BB229" s="42">
        <f t="shared" ca="1" si="2127"/>
        <v>0.20543092404335248</v>
      </c>
      <c r="BC229" s="42">
        <f t="shared" ca="1" si="2128"/>
        <v>-0.14265688436163948</v>
      </c>
      <c r="BD229" s="42">
        <f t="shared" ca="1" si="2129"/>
        <v>936.49674842143418</v>
      </c>
      <c r="BE229" s="40"/>
      <c r="BF229" s="36">
        <f t="shared" si="2009"/>
        <v>90</v>
      </c>
      <c r="BG229" s="35">
        <f t="shared" si="2010"/>
        <v>0.28399999999999997</v>
      </c>
      <c r="BH229" s="197">
        <f t="shared" ca="1" si="1336"/>
        <v>169.23611111111677</v>
      </c>
      <c r="BI229" s="41">
        <f t="shared" ca="1" si="2011"/>
        <v>0.46366057838662128</v>
      </c>
      <c r="BJ229" s="40">
        <f t="shared" ca="1" si="2130"/>
        <v>-5.2463569535740766E-2</v>
      </c>
      <c r="BK229" s="40">
        <f t="shared" ca="1" si="2131"/>
        <v>2.5189751902588361E-2</v>
      </c>
      <c r="BL229" s="40">
        <f t="shared" ca="1" si="2132"/>
        <v>0.19338305926412305</v>
      </c>
      <c r="BM229" s="42">
        <f t="shared" ca="1" si="2133"/>
        <v>-0.14103519582809868</v>
      </c>
      <c r="BN229" s="42">
        <f t="shared" ca="1" si="2134"/>
        <v>-0.33441825509222173</v>
      </c>
      <c r="BO229" s="42">
        <f t="shared" ca="1" si="2135"/>
        <v>0.44392106898616246</v>
      </c>
      <c r="BP229" s="42">
        <f t="shared" ca="1" si="2136"/>
        <v>0.55607893101383754</v>
      </c>
      <c r="BQ229" s="42">
        <f t="shared" ca="1" si="2137"/>
        <v>0.36903198301145818</v>
      </c>
      <c r="BR229" s="42">
        <f t="shared" ca="1" si="2138"/>
        <v>0.63096801698854188</v>
      </c>
      <c r="BS229" s="42">
        <f t="shared" ca="1" si="2139"/>
        <v>0.98162450344672281</v>
      </c>
      <c r="BT229" s="42">
        <f t="shared" ca="1" si="2140"/>
        <v>88.34620531020505</v>
      </c>
      <c r="BU229" s="42">
        <f t="shared" ca="1" si="2141"/>
        <v>0.98801719747153338</v>
      </c>
      <c r="BV229" s="42">
        <f t="shared" ca="1" si="2142"/>
        <v>84.376668664068958</v>
      </c>
      <c r="BW229" s="42">
        <f t="shared" ca="1" si="2143"/>
        <v>0.39499427951128013</v>
      </c>
      <c r="BX229" s="42">
        <f t="shared" ca="1" si="2144"/>
        <v>4.8540056136823466</v>
      </c>
      <c r="BY229" s="42">
        <f t="shared" ca="1" si="2145"/>
        <v>0.43860165047827548</v>
      </c>
      <c r="BZ229" s="42">
        <f t="shared" ca="1" si="2146"/>
        <v>2.3630832017624698E-2</v>
      </c>
      <c r="CA229" s="42">
        <f t="shared" ca="1" si="2029"/>
        <v>-1.9946570164958009E-2</v>
      </c>
      <c r="CB229" s="42">
        <f t="shared" ca="1" si="2147"/>
        <v>0.22694115823260852</v>
      </c>
      <c r="CC229" s="42">
        <f t="shared" ca="1" si="2148"/>
        <v>0.15116528937722107</v>
      </c>
      <c r="CD229" s="42">
        <f t="shared" ca="1" si="2149"/>
        <v>972.99719315882658</v>
      </c>
      <c r="CE229" s="40"/>
      <c r="CF229" s="36">
        <f t="shared" si="2032"/>
        <v>95</v>
      </c>
      <c r="CG229" s="35">
        <f t="shared" si="2033"/>
        <v>0.28399999999999997</v>
      </c>
      <c r="CH229" s="197">
        <f t="shared" ca="1" si="1359"/>
        <v>169.23611111111677</v>
      </c>
      <c r="CI229" s="41">
        <f t="shared" ca="1" si="2034"/>
        <v>0.46366057838662128</v>
      </c>
      <c r="CJ229" s="40">
        <f t="shared" ca="1" si="2150"/>
        <v>-0.10653079080601656</v>
      </c>
      <c r="CK229" s="40">
        <f t="shared" ca="1" si="2151"/>
        <v>2.5189751902588361E-2</v>
      </c>
      <c r="CL229" s="40">
        <f t="shared" ca="1" si="2152"/>
        <v>0.19338305926412305</v>
      </c>
      <c r="CM229" s="42">
        <f t="shared" ca="1" si="2153"/>
        <v>-0.42062132646444694</v>
      </c>
      <c r="CN229" s="42">
        <f t="shared" ca="1" si="2154"/>
        <v>-0.61400438572856997</v>
      </c>
      <c r="CO229" s="42">
        <f t="shared" ca="1" si="2155"/>
        <v>0.33701580910706302</v>
      </c>
      <c r="CP229" s="42">
        <f t="shared" ca="1" si="2156"/>
        <v>0.66298419089293703</v>
      </c>
      <c r="CQ229" s="42">
        <f t="shared" ca="1" si="2157"/>
        <v>0.26960621453848232</v>
      </c>
      <c r="CR229" s="42">
        <f t="shared" ca="1" si="2158"/>
        <v>0.73039378546151768</v>
      </c>
      <c r="CS229" s="42">
        <f t="shared" ca="1" si="2159"/>
        <v>0.98162450344672281</v>
      </c>
      <c r="CT229" s="42">
        <f t="shared" ca="1" si="2160"/>
        <v>93.254327827438672</v>
      </c>
      <c r="CU229" s="42">
        <f t="shared" ca="1" si="2161"/>
        <v>0.98801719747153338</v>
      </c>
      <c r="CV229" s="42">
        <f t="shared" ca="1" si="2162"/>
        <v>84.376668664068958</v>
      </c>
      <c r="CW229" s="42">
        <f t="shared" ca="1" si="2163"/>
        <v>0.365167296678925</v>
      </c>
      <c r="CX229" s="42">
        <f t="shared" ca="1" si="2164"/>
        <v>3.2943249446933756</v>
      </c>
      <c r="CY229" s="42">
        <f t="shared" ca="1" si="2165"/>
        <v>0.33297741521756169</v>
      </c>
      <c r="CZ229" s="42">
        <f t="shared" ca="1" si="2166"/>
        <v>2.1846410172893065E-2</v>
      </c>
      <c r="DA229" s="42">
        <f t="shared" ca="1" si="2052"/>
        <v>-1.8333614860733365E-2</v>
      </c>
      <c r="DB229" s="42">
        <f t="shared" ca="1" si="2167"/>
        <v>0.20980427706325602</v>
      </c>
      <c r="DC229" s="42">
        <f t="shared" ca="1" si="2168"/>
        <v>0.11657329370125608</v>
      </c>
      <c r="DD229" s="42">
        <f t="shared" ca="1" si="2169"/>
        <v>-927.83752765331235</v>
      </c>
      <c r="DE229" s="40"/>
      <c r="DF229" s="36">
        <f t="shared" si="2055"/>
        <v>200</v>
      </c>
      <c r="DG229" s="35">
        <f t="shared" si="2056"/>
        <v>0.28399999999999997</v>
      </c>
      <c r="DH229" s="197">
        <f t="shared" ca="1" si="1382"/>
        <v>169.23611111111677</v>
      </c>
      <c r="DI229" s="41">
        <f t="shared" ca="1" si="2057"/>
        <v>0.46366057838662128</v>
      </c>
      <c r="DJ229" s="40">
        <f t="shared" ca="1" si="2170"/>
        <v>-0.85097126575351234</v>
      </c>
      <c r="DK229" s="40">
        <f t="shared" ca="1" si="2171"/>
        <v>2.5189751902588361E-2</v>
      </c>
      <c r="DL229" s="40">
        <f t="shared" ca="1" si="2172"/>
        <v>0.19338305926412305</v>
      </c>
      <c r="DM229" s="42">
        <f t="shared" ca="1" si="2173"/>
        <v>-4.2701853874545943</v>
      </c>
      <c r="DN229" s="42">
        <f t="shared" ca="1" si="2174"/>
        <v>-4.4635684467187176</v>
      </c>
      <c r="DO229" s="42">
        <f t="shared" ca="1" si="2175"/>
        <v>9.7655276518789487E-6</v>
      </c>
      <c r="DP229" s="42">
        <f t="shared" ca="1" si="2176"/>
        <v>0.99999023447234814</v>
      </c>
      <c r="DQ229" s="42">
        <f t="shared" ca="1" si="2177"/>
        <v>4.0302916462733568E-6</v>
      </c>
      <c r="DR229" s="42">
        <f t="shared" ca="1" si="2178"/>
        <v>0.99999596970835369</v>
      </c>
      <c r="DS229" s="42">
        <f t="shared" ca="1" si="2179"/>
        <v>0.98162450344672281</v>
      </c>
      <c r="DT229" s="42">
        <f t="shared" ca="1" si="2180"/>
        <v>196.32490068934456</v>
      </c>
      <c r="DU229" s="42">
        <f t="shared" ca="1" si="2181"/>
        <v>0.98801719747153338</v>
      </c>
      <c r="DV229" s="42">
        <f t="shared" ca="1" si="2182"/>
        <v>84.376668664068958</v>
      </c>
      <c r="DW229" s="42">
        <f t="shared" ca="1" si="2183"/>
        <v>4.3786712472282578E-5</v>
      </c>
      <c r="DX229" s="42">
        <f t="shared" si="2184"/>
        <v>0</v>
      </c>
      <c r="DY229" s="92">
        <f t="shared" ca="1" si="2185"/>
        <v>0</v>
      </c>
      <c r="DZ229" s="42">
        <f t="shared" ca="1" si="2186"/>
        <v>0</v>
      </c>
      <c r="EA229" s="42">
        <f t="shared" ca="1" si="2075"/>
        <v>0</v>
      </c>
      <c r="EB229" s="42">
        <f t="shared" ca="1" si="2187"/>
        <v>0</v>
      </c>
      <c r="EC229" s="42">
        <f t="shared" ca="1" si="2188"/>
        <v>0</v>
      </c>
      <c r="ED229" s="42">
        <f t="shared" ca="1" si="2189"/>
        <v>0</v>
      </c>
      <c r="EE229" s="40"/>
      <c r="EF229" s="120">
        <f t="shared" ca="1" si="2078"/>
        <v>85.4</v>
      </c>
      <c r="EG229" s="42">
        <f t="shared" ca="1" si="2079"/>
        <v>258.33906893413985</v>
      </c>
      <c r="EH229" s="36">
        <f t="shared" ca="1" si="2080"/>
        <v>258.33906893413985</v>
      </c>
      <c r="EI229" s="143">
        <f t="shared" ca="1" si="2081"/>
        <v>258.339</v>
      </c>
      <c r="EJ229" s="143">
        <f t="shared" ca="1" si="2089"/>
        <v>0</v>
      </c>
      <c r="EK229" s="153">
        <f t="shared" ca="1" si="2082"/>
        <v>0</v>
      </c>
      <c r="EL229" s="143">
        <f t="shared" ca="1" si="2083"/>
        <v>0</v>
      </c>
    </row>
    <row r="230" spans="1:142" x14ac:dyDescent="0.3">
      <c r="A230" s="143">
        <f t="shared" ca="1" si="2084"/>
        <v>85.4</v>
      </c>
      <c r="B230" s="144">
        <f t="shared" ca="1" si="2085"/>
        <v>0.28399999999999997</v>
      </c>
      <c r="C230" s="145">
        <f t="shared" ca="1" si="2086"/>
        <v>45295.440972222219</v>
      </c>
      <c r="D230" s="144">
        <f t="shared" ca="1" si="2087"/>
        <v>2.5999999999999999E-2</v>
      </c>
      <c r="E230" s="144">
        <f t="shared" ca="1" si="2088"/>
        <v>0.04</v>
      </c>
      <c r="F230" s="36">
        <f t="shared" si="1963"/>
        <v>75</v>
      </c>
      <c r="G230" s="35">
        <f t="shared" si="1964"/>
        <v>0.28399999999999997</v>
      </c>
      <c r="H230" s="197">
        <f t="shared" ca="1" si="1290"/>
        <v>169.23611111111677</v>
      </c>
      <c r="I230" s="41">
        <f t="shared" ca="1" si="1965"/>
        <v>0.46366057838662128</v>
      </c>
      <c r="J230" s="40">
        <f t="shared" ca="1" si="2090"/>
        <v>0.12985798725821379</v>
      </c>
      <c r="K230" s="40">
        <f t="shared" ca="1" si="2091"/>
        <v>2.5189751902588361E-2</v>
      </c>
      <c r="L230" s="40">
        <f t="shared" ca="1" si="2092"/>
        <v>0.19338305926412305</v>
      </c>
      <c r="M230" s="42">
        <f t="shared" ca="1" si="2093"/>
        <v>0.80176484822818728</v>
      </c>
      <c r="N230" s="42">
        <f t="shared" ca="1" si="2094"/>
        <v>0.60838178896406425</v>
      </c>
      <c r="O230" s="42">
        <f t="shared" ca="1" si="2095"/>
        <v>0.78865550202522283</v>
      </c>
      <c r="P230" s="42">
        <f t="shared" ca="1" si="2096"/>
        <v>0.21134449797477717</v>
      </c>
      <c r="Q230" s="42">
        <f t="shared" ca="1" si="2097"/>
        <v>0.72853285658034883</v>
      </c>
      <c r="R230" s="42">
        <f t="shared" ca="1" si="2098"/>
        <v>0.27146714341965111</v>
      </c>
      <c r="S230" s="42">
        <f t="shared" ca="1" si="2099"/>
        <v>0.98162450344672281</v>
      </c>
      <c r="T230" s="42">
        <f t="shared" ca="1" si="2100"/>
        <v>73.621837758504213</v>
      </c>
      <c r="U230" s="42">
        <f t="shared" ca="1" si="2101"/>
        <v>0.98801719747153338</v>
      </c>
      <c r="V230" s="42">
        <f t="shared" ca="1" si="2102"/>
        <v>84.376668664068958</v>
      </c>
      <c r="W230" s="42">
        <f t="shared" ca="1" si="2103"/>
        <v>0.28928238154977365</v>
      </c>
      <c r="X230" s="42">
        <f t="shared" ca="1" si="2104"/>
        <v>2.153365310014383</v>
      </c>
      <c r="Y230" s="42">
        <f t="shared" ca="1" si="2105"/>
        <v>-0.20881199859006749</v>
      </c>
      <c r="Z230" s="42">
        <f t="shared" ca="1" si="2106"/>
        <v>1.7306537635226424E-2</v>
      </c>
      <c r="AA230" s="42">
        <f t="shared" ca="1" si="1983"/>
        <v>-1.302570857267049E-2</v>
      </c>
      <c r="AB230" s="42">
        <f t="shared" ca="1" si="2107"/>
        <v>0.16620513797420244</v>
      </c>
      <c r="AC230" s="42">
        <f t="shared" ca="1" si="2108"/>
        <v>-9.2666785853637385E-2</v>
      </c>
      <c r="AD230" s="42">
        <f t="shared" ca="1" si="2109"/>
        <v>-723.31734499280856</v>
      </c>
      <c r="AF230" s="36">
        <f t="shared" si="1986"/>
        <v>80</v>
      </c>
      <c r="AG230" s="35">
        <f t="shared" si="1987"/>
        <v>0.28399999999999997</v>
      </c>
      <c r="AH230" s="197">
        <f t="shared" ca="1" si="1313"/>
        <v>169.23611111111677</v>
      </c>
      <c r="AI230" s="41">
        <f t="shared" ca="1" si="1988"/>
        <v>0.46366057838662128</v>
      </c>
      <c r="AJ230" s="40">
        <f t="shared" ca="1" si="2110"/>
        <v>6.5319466120642669E-2</v>
      </c>
      <c r="AK230" s="40">
        <f t="shared" ca="1" si="2111"/>
        <v>2.5189751902588361E-2</v>
      </c>
      <c r="AL230" s="40">
        <f t="shared" ca="1" si="2112"/>
        <v>0.19338305926412305</v>
      </c>
      <c r="AM230" s="42">
        <f t="shared" ca="1" si="2113"/>
        <v>0.46803074875143702</v>
      </c>
      <c r="AN230" s="42">
        <f t="shared" ca="1" si="2114"/>
        <v>0.274647689487314</v>
      </c>
      <c r="AO230" s="42">
        <f t="shared" ca="1" si="2115"/>
        <v>0.68011869960825055</v>
      </c>
      <c r="AP230" s="42">
        <f t="shared" ca="1" si="2116"/>
        <v>0.31988130039174945</v>
      </c>
      <c r="AQ230" s="42">
        <f t="shared" ca="1" si="2117"/>
        <v>0.60820653811473968</v>
      </c>
      <c r="AR230" s="42">
        <f t="shared" ca="1" si="2118"/>
        <v>0.39179346188526026</v>
      </c>
      <c r="AS230" s="42">
        <f t="shared" ca="1" si="2119"/>
        <v>0.98162450344672281</v>
      </c>
      <c r="AT230" s="42">
        <f t="shared" ca="1" si="2120"/>
        <v>78.529960275737821</v>
      </c>
      <c r="AU230" s="42">
        <f t="shared" ca="1" si="2121"/>
        <v>0.98801719747153338</v>
      </c>
      <c r="AV230" s="42">
        <f t="shared" ca="1" si="2122"/>
        <v>84.376668664068958</v>
      </c>
      <c r="AW230" s="42">
        <f t="shared" ca="1" si="2123"/>
        <v>0.3575554142041969</v>
      </c>
      <c r="AX230" s="42">
        <f t="shared" ca="1" si="2124"/>
        <v>3.777006503157132</v>
      </c>
      <c r="AY230" s="42">
        <f t="shared" ca="1" si="2125"/>
        <v>-0.31604822593660598</v>
      </c>
      <c r="AZ230" s="42">
        <f t="shared" ca="1" si="2126"/>
        <v>2.1391023537115056E-2</v>
      </c>
      <c r="BA230" s="42">
        <f t="shared" ca="1" si="2006"/>
        <v>-1.5787806699479157E-2</v>
      </c>
      <c r="BB230" s="42">
        <f t="shared" ca="1" si="2127"/>
        <v>0.20543092404335248</v>
      </c>
      <c r="BC230" s="42">
        <f t="shared" ca="1" si="2128"/>
        <v>-0.14265688436163948</v>
      </c>
      <c r="BD230" s="42">
        <f t="shared" ca="1" si="2129"/>
        <v>936.49674842143418</v>
      </c>
      <c r="BE230" s="40"/>
      <c r="BF230" s="36">
        <f t="shared" si="2009"/>
        <v>90</v>
      </c>
      <c r="BG230" s="35">
        <f t="shared" si="2010"/>
        <v>0.28399999999999997</v>
      </c>
      <c r="BH230" s="197">
        <f t="shared" ca="1" si="1336"/>
        <v>169.23611111111677</v>
      </c>
      <c r="BI230" s="41">
        <f t="shared" ca="1" si="2011"/>
        <v>0.46366057838662128</v>
      </c>
      <c r="BJ230" s="40">
        <f t="shared" ca="1" si="2130"/>
        <v>-5.2463569535740766E-2</v>
      </c>
      <c r="BK230" s="40">
        <f t="shared" ca="1" si="2131"/>
        <v>2.5189751902588361E-2</v>
      </c>
      <c r="BL230" s="40">
        <f t="shared" ca="1" si="2132"/>
        <v>0.19338305926412305</v>
      </c>
      <c r="BM230" s="42">
        <f t="shared" ca="1" si="2133"/>
        <v>-0.14103519582809868</v>
      </c>
      <c r="BN230" s="42">
        <f t="shared" ca="1" si="2134"/>
        <v>-0.33441825509222173</v>
      </c>
      <c r="BO230" s="42">
        <f t="shared" ca="1" si="2135"/>
        <v>0.44392106898616246</v>
      </c>
      <c r="BP230" s="42">
        <f t="shared" ca="1" si="2136"/>
        <v>0.55607893101383754</v>
      </c>
      <c r="BQ230" s="42">
        <f t="shared" ca="1" si="2137"/>
        <v>0.36903198301145818</v>
      </c>
      <c r="BR230" s="42">
        <f t="shared" ca="1" si="2138"/>
        <v>0.63096801698854188</v>
      </c>
      <c r="BS230" s="42">
        <f t="shared" ca="1" si="2139"/>
        <v>0.98162450344672281</v>
      </c>
      <c r="BT230" s="42">
        <f t="shared" ca="1" si="2140"/>
        <v>88.34620531020505</v>
      </c>
      <c r="BU230" s="42">
        <f t="shared" ca="1" si="2141"/>
        <v>0.98801719747153338</v>
      </c>
      <c r="BV230" s="42">
        <f t="shared" ca="1" si="2142"/>
        <v>84.376668664068958</v>
      </c>
      <c r="BW230" s="42">
        <f t="shared" ca="1" si="2143"/>
        <v>0.39499427951128013</v>
      </c>
      <c r="BX230" s="42">
        <f t="shared" ca="1" si="2144"/>
        <v>4.8540056136823466</v>
      </c>
      <c r="BY230" s="42">
        <f t="shared" ca="1" si="2145"/>
        <v>0.43860165047827548</v>
      </c>
      <c r="BZ230" s="42">
        <f t="shared" ca="1" si="2146"/>
        <v>2.3630832017624698E-2</v>
      </c>
      <c r="CA230" s="42">
        <f t="shared" ca="1" si="2029"/>
        <v>-1.9946570164958009E-2</v>
      </c>
      <c r="CB230" s="42">
        <f t="shared" ca="1" si="2147"/>
        <v>0.22694115823260852</v>
      </c>
      <c r="CC230" s="42">
        <f t="shared" ca="1" si="2148"/>
        <v>0.15116528937722107</v>
      </c>
      <c r="CD230" s="42">
        <f t="shared" ca="1" si="2149"/>
        <v>972.99719315882658</v>
      </c>
      <c r="CE230" s="40"/>
      <c r="CF230" s="36">
        <f t="shared" si="2032"/>
        <v>95</v>
      </c>
      <c r="CG230" s="35">
        <f t="shared" si="2033"/>
        <v>0.28399999999999997</v>
      </c>
      <c r="CH230" s="197">
        <f t="shared" ca="1" si="1359"/>
        <v>169.23611111111677</v>
      </c>
      <c r="CI230" s="41">
        <f t="shared" ca="1" si="2034"/>
        <v>0.46366057838662128</v>
      </c>
      <c r="CJ230" s="40">
        <f t="shared" ca="1" si="2150"/>
        <v>-0.10653079080601656</v>
      </c>
      <c r="CK230" s="40">
        <f t="shared" ca="1" si="2151"/>
        <v>2.5189751902588361E-2</v>
      </c>
      <c r="CL230" s="40">
        <f t="shared" ca="1" si="2152"/>
        <v>0.19338305926412305</v>
      </c>
      <c r="CM230" s="42">
        <f t="shared" ca="1" si="2153"/>
        <v>-0.42062132646444694</v>
      </c>
      <c r="CN230" s="42">
        <f t="shared" ca="1" si="2154"/>
        <v>-0.61400438572856997</v>
      </c>
      <c r="CO230" s="42">
        <f t="shared" ca="1" si="2155"/>
        <v>0.33701580910706302</v>
      </c>
      <c r="CP230" s="42">
        <f t="shared" ca="1" si="2156"/>
        <v>0.66298419089293703</v>
      </c>
      <c r="CQ230" s="42">
        <f t="shared" ca="1" si="2157"/>
        <v>0.26960621453848232</v>
      </c>
      <c r="CR230" s="42">
        <f t="shared" ca="1" si="2158"/>
        <v>0.73039378546151768</v>
      </c>
      <c r="CS230" s="42">
        <f t="shared" ca="1" si="2159"/>
        <v>0.98162450344672281</v>
      </c>
      <c r="CT230" s="42">
        <f t="shared" ca="1" si="2160"/>
        <v>93.254327827438672</v>
      </c>
      <c r="CU230" s="42">
        <f t="shared" ca="1" si="2161"/>
        <v>0.98801719747153338</v>
      </c>
      <c r="CV230" s="42">
        <f t="shared" ca="1" si="2162"/>
        <v>84.376668664068958</v>
      </c>
      <c r="CW230" s="42">
        <f t="shared" ca="1" si="2163"/>
        <v>0.365167296678925</v>
      </c>
      <c r="CX230" s="42">
        <f t="shared" ca="1" si="2164"/>
        <v>3.2943249446933756</v>
      </c>
      <c r="CY230" s="42">
        <f t="shared" ca="1" si="2165"/>
        <v>0.33297741521756169</v>
      </c>
      <c r="CZ230" s="42">
        <f t="shared" ca="1" si="2166"/>
        <v>2.1846410172893065E-2</v>
      </c>
      <c r="DA230" s="42">
        <f t="shared" ca="1" si="2052"/>
        <v>-1.8333614860733365E-2</v>
      </c>
      <c r="DB230" s="42">
        <f t="shared" ca="1" si="2167"/>
        <v>0.20980427706325602</v>
      </c>
      <c r="DC230" s="42">
        <f t="shared" ca="1" si="2168"/>
        <v>0.11657329370125608</v>
      </c>
      <c r="DD230" s="42">
        <f t="shared" ca="1" si="2169"/>
        <v>-927.83752765331235</v>
      </c>
      <c r="DE230" s="40"/>
      <c r="DF230" s="36">
        <f t="shared" si="2055"/>
        <v>200</v>
      </c>
      <c r="DG230" s="35">
        <f t="shared" si="2056"/>
        <v>0.28399999999999997</v>
      </c>
      <c r="DH230" s="197">
        <f t="shared" ca="1" si="1382"/>
        <v>169.23611111111677</v>
      </c>
      <c r="DI230" s="41">
        <f t="shared" ca="1" si="2057"/>
        <v>0.46366057838662128</v>
      </c>
      <c r="DJ230" s="40">
        <f t="shared" ca="1" si="2170"/>
        <v>-0.85097126575351234</v>
      </c>
      <c r="DK230" s="40">
        <f t="shared" ca="1" si="2171"/>
        <v>2.5189751902588361E-2</v>
      </c>
      <c r="DL230" s="40">
        <f t="shared" ca="1" si="2172"/>
        <v>0.19338305926412305</v>
      </c>
      <c r="DM230" s="42">
        <f t="shared" ca="1" si="2173"/>
        <v>-4.2701853874545943</v>
      </c>
      <c r="DN230" s="42">
        <f t="shared" ca="1" si="2174"/>
        <v>-4.4635684467187176</v>
      </c>
      <c r="DO230" s="42">
        <f t="shared" ca="1" si="2175"/>
        <v>9.7655276518789487E-6</v>
      </c>
      <c r="DP230" s="42">
        <f t="shared" ca="1" si="2176"/>
        <v>0.99999023447234814</v>
      </c>
      <c r="DQ230" s="42">
        <f t="shared" ca="1" si="2177"/>
        <v>4.0302916462733568E-6</v>
      </c>
      <c r="DR230" s="42">
        <f t="shared" ca="1" si="2178"/>
        <v>0.99999596970835369</v>
      </c>
      <c r="DS230" s="42">
        <f t="shared" ca="1" si="2179"/>
        <v>0.98162450344672281</v>
      </c>
      <c r="DT230" s="42">
        <f t="shared" ca="1" si="2180"/>
        <v>196.32490068934456</v>
      </c>
      <c r="DU230" s="42">
        <f t="shared" ca="1" si="2181"/>
        <v>0.98801719747153338</v>
      </c>
      <c r="DV230" s="42">
        <f t="shared" ca="1" si="2182"/>
        <v>84.376668664068958</v>
      </c>
      <c r="DW230" s="42">
        <f t="shared" ca="1" si="2183"/>
        <v>4.3786712472282578E-5</v>
      </c>
      <c r="DX230" s="42">
        <f t="shared" si="2184"/>
        <v>0</v>
      </c>
      <c r="DY230" s="92">
        <f t="shared" ca="1" si="2185"/>
        <v>0</v>
      </c>
      <c r="DZ230" s="42">
        <f t="shared" ca="1" si="2186"/>
        <v>0</v>
      </c>
      <c r="EA230" s="42">
        <f t="shared" ca="1" si="2075"/>
        <v>0</v>
      </c>
      <c r="EB230" s="42">
        <f t="shared" ca="1" si="2187"/>
        <v>0</v>
      </c>
      <c r="EC230" s="42">
        <f t="shared" ca="1" si="2188"/>
        <v>0</v>
      </c>
      <c r="ED230" s="42">
        <f t="shared" ca="1" si="2189"/>
        <v>0</v>
      </c>
      <c r="EE230" s="40"/>
      <c r="EF230" s="120">
        <f t="shared" ca="1" si="2078"/>
        <v>85.4</v>
      </c>
      <c r="EG230" s="42">
        <f t="shared" ca="1" si="2079"/>
        <v>258.33906893413985</v>
      </c>
      <c r="EH230" s="36">
        <f t="shared" ca="1" si="2080"/>
        <v>258.33906893413985</v>
      </c>
      <c r="EI230" s="143">
        <f t="shared" ca="1" si="2081"/>
        <v>258.339</v>
      </c>
      <c r="EJ230" s="143">
        <f t="shared" ca="1" si="2089"/>
        <v>0</v>
      </c>
      <c r="EK230" s="153">
        <f t="shared" ca="1" si="2082"/>
        <v>0</v>
      </c>
      <c r="EL230" s="143">
        <f t="shared" ca="1" si="2083"/>
        <v>0</v>
      </c>
    </row>
    <row r="231" spans="1:142" x14ac:dyDescent="0.3">
      <c r="A231" s="143">
        <f t="shared" ca="1" si="2084"/>
        <v>85.4</v>
      </c>
      <c r="B231" s="144">
        <f t="shared" ca="1" si="2085"/>
        <v>0.28399999999999997</v>
      </c>
      <c r="C231" s="145">
        <f t="shared" ca="1" si="2086"/>
        <v>45295.440972222219</v>
      </c>
      <c r="D231" s="144">
        <f t="shared" ca="1" si="2087"/>
        <v>2.5999999999999999E-2</v>
      </c>
      <c r="E231" s="144">
        <f t="shared" ca="1" si="2088"/>
        <v>0.04</v>
      </c>
      <c r="F231" s="36">
        <f t="shared" si="1963"/>
        <v>75</v>
      </c>
      <c r="G231" s="35">
        <f t="shared" si="1964"/>
        <v>0.28399999999999997</v>
      </c>
      <c r="H231" s="197">
        <f t="shared" ca="1" si="1290"/>
        <v>169.23611111111677</v>
      </c>
      <c r="I231" s="41">
        <f t="shared" ca="1" si="1965"/>
        <v>0.46366057838662128</v>
      </c>
      <c r="J231" s="40">
        <f t="shared" ca="1" si="2090"/>
        <v>0.12985798725821379</v>
      </c>
      <c r="K231" s="40">
        <f t="shared" ca="1" si="2091"/>
        <v>2.5189751902588361E-2</v>
      </c>
      <c r="L231" s="40">
        <f t="shared" ca="1" si="2092"/>
        <v>0.19338305926412305</v>
      </c>
      <c r="M231" s="42">
        <f t="shared" ca="1" si="2093"/>
        <v>0.80176484822818728</v>
      </c>
      <c r="N231" s="42">
        <f t="shared" ca="1" si="2094"/>
        <v>0.60838178896406425</v>
      </c>
      <c r="O231" s="42">
        <f t="shared" ca="1" si="2095"/>
        <v>0.78865550202522283</v>
      </c>
      <c r="P231" s="42">
        <f t="shared" ca="1" si="2096"/>
        <v>0.21134449797477717</v>
      </c>
      <c r="Q231" s="42">
        <f t="shared" ca="1" si="2097"/>
        <v>0.72853285658034883</v>
      </c>
      <c r="R231" s="42">
        <f t="shared" ca="1" si="2098"/>
        <v>0.27146714341965111</v>
      </c>
      <c r="S231" s="42">
        <f t="shared" ca="1" si="2099"/>
        <v>0.98162450344672281</v>
      </c>
      <c r="T231" s="42">
        <f t="shared" ca="1" si="2100"/>
        <v>73.621837758504213</v>
      </c>
      <c r="U231" s="42">
        <f t="shared" ca="1" si="2101"/>
        <v>0.98801719747153338</v>
      </c>
      <c r="V231" s="42">
        <f t="shared" ca="1" si="2102"/>
        <v>84.376668664068958</v>
      </c>
      <c r="W231" s="42">
        <f t="shared" ca="1" si="2103"/>
        <v>0.28928238154977365</v>
      </c>
      <c r="X231" s="42">
        <f t="shared" ca="1" si="2104"/>
        <v>2.153365310014383</v>
      </c>
      <c r="Y231" s="42">
        <f t="shared" ca="1" si="2105"/>
        <v>-0.20881199859006749</v>
      </c>
      <c r="Z231" s="42">
        <f t="shared" ca="1" si="2106"/>
        <v>1.7306537635226424E-2</v>
      </c>
      <c r="AA231" s="42">
        <f t="shared" ca="1" si="1983"/>
        <v>-1.302570857267049E-2</v>
      </c>
      <c r="AB231" s="42">
        <f t="shared" ca="1" si="2107"/>
        <v>0.16620513797420244</v>
      </c>
      <c r="AC231" s="42">
        <f t="shared" ca="1" si="2108"/>
        <v>-9.2666785853637385E-2</v>
      </c>
      <c r="AD231" s="42">
        <f t="shared" ca="1" si="2109"/>
        <v>-723.31734499280856</v>
      </c>
      <c r="AF231" s="36">
        <f t="shared" si="1986"/>
        <v>80</v>
      </c>
      <c r="AG231" s="35">
        <f t="shared" si="1987"/>
        <v>0.28399999999999997</v>
      </c>
      <c r="AH231" s="197">
        <f t="shared" ca="1" si="1313"/>
        <v>169.23611111111677</v>
      </c>
      <c r="AI231" s="41">
        <f t="shared" ca="1" si="1988"/>
        <v>0.46366057838662128</v>
      </c>
      <c r="AJ231" s="40">
        <f t="shared" ca="1" si="2110"/>
        <v>6.5319466120642669E-2</v>
      </c>
      <c r="AK231" s="40">
        <f t="shared" ca="1" si="2111"/>
        <v>2.5189751902588361E-2</v>
      </c>
      <c r="AL231" s="40">
        <f t="shared" ca="1" si="2112"/>
        <v>0.19338305926412305</v>
      </c>
      <c r="AM231" s="42">
        <f t="shared" ca="1" si="2113"/>
        <v>0.46803074875143702</v>
      </c>
      <c r="AN231" s="42">
        <f t="shared" ca="1" si="2114"/>
        <v>0.274647689487314</v>
      </c>
      <c r="AO231" s="42">
        <f t="shared" ca="1" si="2115"/>
        <v>0.68011869960825055</v>
      </c>
      <c r="AP231" s="42">
        <f t="shared" ca="1" si="2116"/>
        <v>0.31988130039174945</v>
      </c>
      <c r="AQ231" s="42">
        <f t="shared" ca="1" si="2117"/>
        <v>0.60820653811473968</v>
      </c>
      <c r="AR231" s="42">
        <f t="shared" ca="1" si="2118"/>
        <v>0.39179346188526026</v>
      </c>
      <c r="AS231" s="42">
        <f t="shared" ca="1" si="2119"/>
        <v>0.98162450344672281</v>
      </c>
      <c r="AT231" s="42">
        <f t="shared" ca="1" si="2120"/>
        <v>78.529960275737821</v>
      </c>
      <c r="AU231" s="42">
        <f t="shared" ca="1" si="2121"/>
        <v>0.98801719747153338</v>
      </c>
      <c r="AV231" s="42">
        <f t="shared" ca="1" si="2122"/>
        <v>84.376668664068958</v>
      </c>
      <c r="AW231" s="42">
        <f t="shared" ca="1" si="2123"/>
        <v>0.3575554142041969</v>
      </c>
      <c r="AX231" s="42">
        <f t="shared" ca="1" si="2124"/>
        <v>3.777006503157132</v>
      </c>
      <c r="AY231" s="42">
        <f t="shared" ca="1" si="2125"/>
        <v>-0.31604822593660598</v>
      </c>
      <c r="AZ231" s="42">
        <f t="shared" ca="1" si="2126"/>
        <v>2.1391023537115056E-2</v>
      </c>
      <c r="BA231" s="42">
        <f t="shared" ca="1" si="2006"/>
        <v>-1.5787806699479157E-2</v>
      </c>
      <c r="BB231" s="42">
        <f t="shared" ca="1" si="2127"/>
        <v>0.20543092404335248</v>
      </c>
      <c r="BC231" s="42">
        <f t="shared" ca="1" si="2128"/>
        <v>-0.14265688436163948</v>
      </c>
      <c r="BD231" s="42">
        <f t="shared" ca="1" si="2129"/>
        <v>936.49674842143418</v>
      </c>
      <c r="BE231" s="40"/>
      <c r="BF231" s="36">
        <f t="shared" si="2009"/>
        <v>90</v>
      </c>
      <c r="BG231" s="35">
        <f t="shared" si="2010"/>
        <v>0.28399999999999997</v>
      </c>
      <c r="BH231" s="197">
        <f t="shared" ca="1" si="1336"/>
        <v>169.23611111111677</v>
      </c>
      <c r="BI231" s="41">
        <f t="shared" ca="1" si="2011"/>
        <v>0.46366057838662128</v>
      </c>
      <c r="BJ231" s="40">
        <f t="shared" ca="1" si="2130"/>
        <v>-5.2463569535740766E-2</v>
      </c>
      <c r="BK231" s="40">
        <f t="shared" ca="1" si="2131"/>
        <v>2.5189751902588361E-2</v>
      </c>
      <c r="BL231" s="40">
        <f t="shared" ca="1" si="2132"/>
        <v>0.19338305926412305</v>
      </c>
      <c r="BM231" s="42">
        <f t="shared" ca="1" si="2133"/>
        <v>-0.14103519582809868</v>
      </c>
      <c r="BN231" s="42">
        <f t="shared" ca="1" si="2134"/>
        <v>-0.33441825509222173</v>
      </c>
      <c r="BO231" s="42">
        <f t="shared" ca="1" si="2135"/>
        <v>0.44392106898616246</v>
      </c>
      <c r="BP231" s="42">
        <f t="shared" ca="1" si="2136"/>
        <v>0.55607893101383754</v>
      </c>
      <c r="BQ231" s="42">
        <f t="shared" ca="1" si="2137"/>
        <v>0.36903198301145818</v>
      </c>
      <c r="BR231" s="42">
        <f t="shared" ca="1" si="2138"/>
        <v>0.63096801698854188</v>
      </c>
      <c r="BS231" s="42">
        <f t="shared" ca="1" si="2139"/>
        <v>0.98162450344672281</v>
      </c>
      <c r="BT231" s="42">
        <f t="shared" ca="1" si="2140"/>
        <v>88.34620531020505</v>
      </c>
      <c r="BU231" s="42">
        <f t="shared" ca="1" si="2141"/>
        <v>0.98801719747153338</v>
      </c>
      <c r="BV231" s="42">
        <f t="shared" ca="1" si="2142"/>
        <v>84.376668664068958</v>
      </c>
      <c r="BW231" s="42">
        <f t="shared" ca="1" si="2143"/>
        <v>0.39499427951128013</v>
      </c>
      <c r="BX231" s="42">
        <f t="shared" ca="1" si="2144"/>
        <v>4.8540056136823466</v>
      </c>
      <c r="BY231" s="42">
        <f t="shared" ca="1" si="2145"/>
        <v>0.43860165047827548</v>
      </c>
      <c r="BZ231" s="42">
        <f t="shared" ca="1" si="2146"/>
        <v>2.3630832017624698E-2</v>
      </c>
      <c r="CA231" s="42">
        <f t="shared" ca="1" si="2029"/>
        <v>-1.9946570164958009E-2</v>
      </c>
      <c r="CB231" s="42">
        <f t="shared" ca="1" si="2147"/>
        <v>0.22694115823260852</v>
      </c>
      <c r="CC231" s="42">
        <f t="shared" ca="1" si="2148"/>
        <v>0.15116528937722107</v>
      </c>
      <c r="CD231" s="42">
        <f t="shared" ca="1" si="2149"/>
        <v>972.99719315882658</v>
      </c>
      <c r="CE231" s="40"/>
      <c r="CF231" s="36">
        <f t="shared" si="2032"/>
        <v>95</v>
      </c>
      <c r="CG231" s="35">
        <f t="shared" si="2033"/>
        <v>0.28399999999999997</v>
      </c>
      <c r="CH231" s="197">
        <f t="shared" ca="1" si="1359"/>
        <v>169.23611111111677</v>
      </c>
      <c r="CI231" s="41">
        <f t="shared" ca="1" si="2034"/>
        <v>0.46366057838662128</v>
      </c>
      <c r="CJ231" s="40">
        <f t="shared" ca="1" si="2150"/>
        <v>-0.10653079080601656</v>
      </c>
      <c r="CK231" s="40">
        <f t="shared" ca="1" si="2151"/>
        <v>2.5189751902588361E-2</v>
      </c>
      <c r="CL231" s="40">
        <f t="shared" ca="1" si="2152"/>
        <v>0.19338305926412305</v>
      </c>
      <c r="CM231" s="42">
        <f t="shared" ca="1" si="2153"/>
        <v>-0.42062132646444694</v>
      </c>
      <c r="CN231" s="42">
        <f t="shared" ca="1" si="2154"/>
        <v>-0.61400438572856997</v>
      </c>
      <c r="CO231" s="42">
        <f t="shared" ca="1" si="2155"/>
        <v>0.33701580910706302</v>
      </c>
      <c r="CP231" s="42">
        <f t="shared" ca="1" si="2156"/>
        <v>0.66298419089293703</v>
      </c>
      <c r="CQ231" s="42">
        <f t="shared" ca="1" si="2157"/>
        <v>0.26960621453848232</v>
      </c>
      <c r="CR231" s="42">
        <f t="shared" ca="1" si="2158"/>
        <v>0.73039378546151768</v>
      </c>
      <c r="CS231" s="42">
        <f t="shared" ca="1" si="2159"/>
        <v>0.98162450344672281</v>
      </c>
      <c r="CT231" s="42">
        <f t="shared" ca="1" si="2160"/>
        <v>93.254327827438672</v>
      </c>
      <c r="CU231" s="42">
        <f t="shared" ca="1" si="2161"/>
        <v>0.98801719747153338</v>
      </c>
      <c r="CV231" s="42">
        <f t="shared" ca="1" si="2162"/>
        <v>84.376668664068958</v>
      </c>
      <c r="CW231" s="42">
        <f t="shared" ca="1" si="2163"/>
        <v>0.365167296678925</v>
      </c>
      <c r="CX231" s="42">
        <f t="shared" ca="1" si="2164"/>
        <v>3.2943249446933756</v>
      </c>
      <c r="CY231" s="42">
        <f t="shared" ca="1" si="2165"/>
        <v>0.33297741521756169</v>
      </c>
      <c r="CZ231" s="42">
        <f t="shared" ca="1" si="2166"/>
        <v>2.1846410172893065E-2</v>
      </c>
      <c r="DA231" s="42">
        <f t="shared" ca="1" si="2052"/>
        <v>-1.8333614860733365E-2</v>
      </c>
      <c r="DB231" s="42">
        <f t="shared" ca="1" si="2167"/>
        <v>0.20980427706325602</v>
      </c>
      <c r="DC231" s="42">
        <f t="shared" ca="1" si="2168"/>
        <v>0.11657329370125608</v>
      </c>
      <c r="DD231" s="42">
        <f t="shared" ca="1" si="2169"/>
        <v>-927.83752765331235</v>
      </c>
      <c r="DE231" s="40"/>
      <c r="DF231" s="36">
        <f t="shared" si="2055"/>
        <v>200</v>
      </c>
      <c r="DG231" s="35">
        <f t="shared" si="2056"/>
        <v>0.28399999999999997</v>
      </c>
      <c r="DH231" s="197">
        <f t="shared" ca="1" si="1382"/>
        <v>169.23611111111677</v>
      </c>
      <c r="DI231" s="41">
        <f t="shared" ca="1" si="2057"/>
        <v>0.46366057838662128</v>
      </c>
      <c r="DJ231" s="40">
        <f t="shared" ca="1" si="2170"/>
        <v>-0.85097126575351234</v>
      </c>
      <c r="DK231" s="40">
        <f t="shared" ca="1" si="2171"/>
        <v>2.5189751902588361E-2</v>
      </c>
      <c r="DL231" s="40">
        <f t="shared" ca="1" si="2172"/>
        <v>0.19338305926412305</v>
      </c>
      <c r="DM231" s="42">
        <f t="shared" ca="1" si="2173"/>
        <v>-4.2701853874545943</v>
      </c>
      <c r="DN231" s="42">
        <f t="shared" ca="1" si="2174"/>
        <v>-4.4635684467187176</v>
      </c>
      <c r="DO231" s="42">
        <f t="shared" ca="1" si="2175"/>
        <v>9.7655276518789487E-6</v>
      </c>
      <c r="DP231" s="42">
        <f t="shared" ca="1" si="2176"/>
        <v>0.99999023447234814</v>
      </c>
      <c r="DQ231" s="42">
        <f t="shared" ca="1" si="2177"/>
        <v>4.0302916462733568E-6</v>
      </c>
      <c r="DR231" s="42">
        <f t="shared" ca="1" si="2178"/>
        <v>0.99999596970835369</v>
      </c>
      <c r="DS231" s="42">
        <f t="shared" ca="1" si="2179"/>
        <v>0.98162450344672281</v>
      </c>
      <c r="DT231" s="42">
        <f t="shared" ca="1" si="2180"/>
        <v>196.32490068934456</v>
      </c>
      <c r="DU231" s="42">
        <f t="shared" ca="1" si="2181"/>
        <v>0.98801719747153338</v>
      </c>
      <c r="DV231" s="42">
        <f t="shared" ca="1" si="2182"/>
        <v>84.376668664068958</v>
      </c>
      <c r="DW231" s="42">
        <f t="shared" ca="1" si="2183"/>
        <v>4.3786712472282578E-5</v>
      </c>
      <c r="DX231" s="42">
        <f t="shared" si="2184"/>
        <v>0</v>
      </c>
      <c r="DY231" s="92">
        <f t="shared" ca="1" si="2185"/>
        <v>0</v>
      </c>
      <c r="DZ231" s="42">
        <f t="shared" ca="1" si="2186"/>
        <v>0</v>
      </c>
      <c r="EA231" s="42">
        <f t="shared" ca="1" si="2075"/>
        <v>0</v>
      </c>
      <c r="EB231" s="42">
        <f t="shared" ca="1" si="2187"/>
        <v>0</v>
      </c>
      <c r="EC231" s="42">
        <f t="shared" ca="1" si="2188"/>
        <v>0</v>
      </c>
      <c r="ED231" s="42">
        <f t="shared" ca="1" si="2189"/>
        <v>0</v>
      </c>
      <c r="EE231" s="40"/>
      <c r="EF231" s="120">
        <f t="shared" ca="1" si="2078"/>
        <v>85.4</v>
      </c>
      <c r="EG231" s="42">
        <f t="shared" ca="1" si="2079"/>
        <v>258.33906893413985</v>
      </c>
      <c r="EH231" s="36">
        <f t="shared" ca="1" si="2080"/>
        <v>258.33906893413985</v>
      </c>
      <c r="EI231" s="143">
        <f t="shared" ca="1" si="2081"/>
        <v>258.339</v>
      </c>
      <c r="EJ231" s="143">
        <f t="shared" ca="1" si="2089"/>
        <v>0</v>
      </c>
      <c r="EK231" s="153">
        <f t="shared" ca="1" si="2082"/>
        <v>0</v>
      </c>
      <c r="EL231" s="143">
        <f t="shared" ca="1" si="2083"/>
        <v>0</v>
      </c>
    </row>
    <row r="232" spans="1:142" x14ac:dyDescent="0.3">
      <c r="A232" s="143">
        <f t="shared" ca="1" si="2084"/>
        <v>85.4</v>
      </c>
      <c r="B232" s="144">
        <f t="shared" ca="1" si="2085"/>
        <v>0.28399999999999997</v>
      </c>
      <c r="C232" s="145">
        <f t="shared" ca="1" si="2086"/>
        <v>45295.440972222219</v>
      </c>
      <c r="D232" s="144">
        <f t="shared" ca="1" si="2087"/>
        <v>2.5999999999999999E-2</v>
      </c>
      <c r="E232" s="144">
        <f t="shared" ca="1" si="2088"/>
        <v>0.04</v>
      </c>
      <c r="F232" s="36">
        <f t="shared" si="1963"/>
        <v>75</v>
      </c>
      <c r="G232" s="35">
        <f t="shared" si="1964"/>
        <v>0.28399999999999997</v>
      </c>
      <c r="H232" s="197">
        <f t="shared" ca="1" si="1290"/>
        <v>169.23611111111677</v>
      </c>
      <c r="I232" s="41">
        <f t="shared" ca="1" si="1965"/>
        <v>0.46366057838662128</v>
      </c>
      <c r="J232" s="40">
        <f t="shared" ca="1" si="2090"/>
        <v>0.12985798725821379</v>
      </c>
      <c r="K232" s="40">
        <f t="shared" ca="1" si="2091"/>
        <v>2.5189751902588361E-2</v>
      </c>
      <c r="L232" s="40">
        <f t="shared" ca="1" si="2092"/>
        <v>0.19338305926412305</v>
      </c>
      <c r="M232" s="42">
        <f t="shared" ca="1" si="2093"/>
        <v>0.80176484822818728</v>
      </c>
      <c r="N232" s="42">
        <f t="shared" ca="1" si="2094"/>
        <v>0.60838178896406425</v>
      </c>
      <c r="O232" s="42">
        <f t="shared" ca="1" si="2095"/>
        <v>0.78865550202522283</v>
      </c>
      <c r="P232" s="42">
        <f t="shared" ca="1" si="2096"/>
        <v>0.21134449797477717</v>
      </c>
      <c r="Q232" s="42">
        <f t="shared" ca="1" si="2097"/>
        <v>0.72853285658034883</v>
      </c>
      <c r="R232" s="42">
        <f t="shared" ca="1" si="2098"/>
        <v>0.27146714341965111</v>
      </c>
      <c r="S232" s="42">
        <f t="shared" ca="1" si="2099"/>
        <v>0.98162450344672281</v>
      </c>
      <c r="T232" s="42">
        <f t="shared" ca="1" si="2100"/>
        <v>73.621837758504213</v>
      </c>
      <c r="U232" s="42">
        <f t="shared" ca="1" si="2101"/>
        <v>0.98801719747153338</v>
      </c>
      <c r="V232" s="42">
        <f t="shared" ca="1" si="2102"/>
        <v>84.376668664068958</v>
      </c>
      <c r="W232" s="42">
        <f t="shared" ca="1" si="2103"/>
        <v>0.28928238154977365</v>
      </c>
      <c r="X232" s="42">
        <f t="shared" ca="1" si="2104"/>
        <v>2.153365310014383</v>
      </c>
      <c r="Y232" s="42">
        <f t="shared" ca="1" si="2105"/>
        <v>-0.20881199859006749</v>
      </c>
      <c r="Z232" s="42">
        <f t="shared" ca="1" si="2106"/>
        <v>1.7306537635226424E-2</v>
      </c>
      <c r="AA232" s="42">
        <f t="shared" ca="1" si="1983"/>
        <v>-1.302570857267049E-2</v>
      </c>
      <c r="AB232" s="42">
        <f t="shared" ca="1" si="2107"/>
        <v>0.16620513797420244</v>
      </c>
      <c r="AC232" s="42">
        <f t="shared" ca="1" si="2108"/>
        <v>-9.2666785853637385E-2</v>
      </c>
      <c r="AD232" s="42">
        <f t="shared" ca="1" si="2109"/>
        <v>-723.31734499280856</v>
      </c>
      <c r="AF232" s="36">
        <f t="shared" si="1986"/>
        <v>80</v>
      </c>
      <c r="AG232" s="35">
        <f t="shared" si="1987"/>
        <v>0.28399999999999997</v>
      </c>
      <c r="AH232" s="197">
        <f t="shared" ca="1" si="1313"/>
        <v>169.23611111111677</v>
      </c>
      <c r="AI232" s="41">
        <f t="shared" ca="1" si="1988"/>
        <v>0.46366057838662128</v>
      </c>
      <c r="AJ232" s="40">
        <f t="shared" ca="1" si="2110"/>
        <v>6.5319466120642669E-2</v>
      </c>
      <c r="AK232" s="40">
        <f t="shared" ca="1" si="2111"/>
        <v>2.5189751902588361E-2</v>
      </c>
      <c r="AL232" s="40">
        <f t="shared" ca="1" si="2112"/>
        <v>0.19338305926412305</v>
      </c>
      <c r="AM232" s="42">
        <f t="shared" ca="1" si="2113"/>
        <v>0.46803074875143702</v>
      </c>
      <c r="AN232" s="42">
        <f t="shared" ca="1" si="2114"/>
        <v>0.274647689487314</v>
      </c>
      <c r="AO232" s="42">
        <f t="shared" ca="1" si="2115"/>
        <v>0.68011869960825055</v>
      </c>
      <c r="AP232" s="42">
        <f t="shared" ca="1" si="2116"/>
        <v>0.31988130039174945</v>
      </c>
      <c r="AQ232" s="42">
        <f t="shared" ca="1" si="2117"/>
        <v>0.60820653811473968</v>
      </c>
      <c r="AR232" s="42">
        <f t="shared" ca="1" si="2118"/>
        <v>0.39179346188526026</v>
      </c>
      <c r="AS232" s="42">
        <f t="shared" ca="1" si="2119"/>
        <v>0.98162450344672281</v>
      </c>
      <c r="AT232" s="42">
        <f t="shared" ca="1" si="2120"/>
        <v>78.529960275737821</v>
      </c>
      <c r="AU232" s="42">
        <f t="shared" ca="1" si="2121"/>
        <v>0.98801719747153338</v>
      </c>
      <c r="AV232" s="42">
        <f t="shared" ca="1" si="2122"/>
        <v>84.376668664068958</v>
      </c>
      <c r="AW232" s="42">
        <f t="shared" ca="1" si="2123"/>
        <v>0.3575554142041969</v>
      </c>
      <c r="AX232" s="42">
        <f t="shared" ca="1" si="2124"/>
        <v>3.777006503157132</v>
      </c>
      <c r="AY232" s="42">
        <f t="shared" ca="1" si="2125"/>
        <v>-0.31604822593660598</v>
      </c>
      <c r="AZ232" s="42">
        <f t="shared" ca="1" si="2126"/>
        <v>2.1391023537115056E-2</v>
      </c>
      <c r="BA232" s="42">
        <f t="shared" ca="1" si="2006"/>
        <v>-1.5787806699479157E-2</v>
      </c>
      <c r="BB232" s="42">
        <f t="shared" ca="1" si="2127"/>
        <v>0.20543092404335248</v>
      </c>
      <c r="BC232" s="42">
        <f t="shared" ca="1" si="2128"/>
        <v>-0.14265688436163948</v>
      </c>
      <c r="BD232" s="42">
        <f t="shared" ca="1" si="2129"/>
        <v>936.49674842143418</v>
      </c>
      <c r="BE232" s="40"/>
      <c r="BF232" s="36">
        <f t="shared" si="2009"/>
        <v>90</v>
      </c>
      <c r="BG232" s="35">
        <f t="shared" si="2010"/>
        <v>0.28399999999999997</v>
      </c>
      <c r="BH232" s="197">
        <f t="shared" ca="1" si="1336"/>
        <v>169.23611111111677</v>
      </c>
      <c r="BI232" s="41">
        <f t="shared" ca="1" si="2011"/>
        <v>0.46366057838662128</v>
      </c>
      <c r="BJ232" s="40">
        <f t="shared" ca="1" si="2130"/>
        <v>-5.2463569535740766E-2</v>
      </c>
      <c r="BK232" s="40">
        <f t="shared" ca="1" si="2131"/>
        <v>2.5189751902588361E-2</v>
      </c>
      <c r="BL232" s="40">
        <f t="shared" ca="1" si="2132"/>
        <v>0.19338305926412305</v>
      </c>
      <c r="BM232" s="42">
        <f t="shared" ca="1" si="2133"/>
        <v>-0.14103519582809868</v>
      </c>
      <c r="BN232" s="42">
        <f t="shared" ca="1" si="2134"/>
        <v>-0.33441825509222173</v>
      </c>
      <c r="BO232" s="42">
        <f t="shared" ca="1" si="2135"/>
        <v>0.44392106898616246</v>
      </c>
      <c r="BP232" s="42">
        <f t="shared" ca="1" si="2136"/>
        <v>0.55607893101383754</v>
      </c>
      <c r="BQ232" s="42">
        <f t="shared" ca="1" si="2137"/>
        <v>0.36903198301145818</v>
      </c>
      <c r="BR232" s="42">
        <f t="shared" ca="1" si="2138"/>
        <v>0.63096801698854188</v>
      </c>
      <c r="BS232" s="42">
        <f t="shared" ca="1" si="2139"/>
        <v>0.98162450344672281</v>
      </c>
      <c r="BT232" s="42">
        <f t="shared" ca="1" si="2140"/>
        <v>88.34620531020505</v>
      </c>
      <c r="BU232" s="42">
        <f t="shared" ca="1" si="2141"/>
        <v>0.98801719747153338</v>
      </c>
      <c r="BV232" s="42">
        <f t="shared" ca="1" si="2142"/>
        <v>84.376668664068958</v>
      </c>
      <c r="BW232" s="42">
        <f t="shared" ca="1" si="2143"/>
        <v>0.39499427951128013</v>
      </c>
      <c r="BX232" s="42">
        <f t="shared" ca="1" si="2144"/>
        <v>4.8540056136823466</v>
      </c>
      <c r="BY232" s="42">
        <f t="shared" ca="1" si="2145"/>
        <v>0.43860165047827548</v>
      </c>
      <c r="BZ232" s="42">
        <f t="shared" ca="1" si="2146"/>
        <v>2.3630832017624698E-2</v>
      </c>
      <c r="CA232" s="42">
        <f t="shared" ca="1" si="2029"/>
        <v>-1.9946570164958009E-2</v>
      </c>
      <c r="CB232" s="42">
        <f t="shared" ca="1" si="2147"/>
        <v>0.22694115823260852</v>
      </c>
      <c r="CC232" s="42">
        <f t="shared" ca="1" si="2148"/>
        <v>0.15116528937722107</v>
      </c>
      <c r="CD232" s="42">
        <f t="shared" ca="1" si="2149"/>
        <v>972.99719315882658</v>
      </c>
      <c r="CE232" s="40"/>
      <c r="CF232" s="36">
        <f t="shared" si="2032"/>
        <v>95</v>
      </c>
      <c r="CG232" s="35">
        <f t="shared" si="2033"/>
        <v>0.28399999999999997</v>
      </c>
      <c r="CH232" s="197">
        <f t="shared" ca="1" si="1359"/>
        <v>169.23611111111677</v>
      </c>
      <c r="CI232" s="41">
        <f t="shared" ca="1" si="2034"/>
        <v>0.46366057838662128</v>
      </c>
      <c r="CJ232" s="40">
        <f t="shared" ca="1" si="2150"/>
        <v>-0.10653079080601656</v>
      </c>
      <c r="CK232" s="40">
        <f t="shared" ca="1" si="2151"/>
        <v>2.5189751902588361E-2</v>
      </c>
      <c r="CL232" s="40">
        <f t="shared" ca="1" si="2152"/>
        <v>0.19338305926412305</v>
      </c>
      <c r="CM232" s="42">
        <f t="shared" ca="1" si="2153"/>
        <v>-0.42062132646444694</v>
      </c>
      <c r="CN232" s="42">
        <f t="shared" ca="1" si="2154"/>
        <v>-0.61400438572856997</v>
      </c>
      <c r="CO232" s="42">
        <f t="shared" ca="1" si="2155"/>
        <v>0.33701580910706302</v>
      </c>
      <c r="CP232" s="42">
        <f t="shared" ca="1" si="2156"/>
        <v>0.66298419089293703</v>
      </c>
      <c r="CQ232" s="42">
        <f t="shared" ca="1" si="2157"/>
        <v>0.26960621453848232</v>
      </c>
      <c r="CR232" s="42">
        <f t="shared" ca="1" si="2158"/>
        <v>0.73039378546151768</v>
      </c>
      <c r="CS232" s="42">
        <f t="shared" ca="1" si="2159"/>
        <v>0.98162450344672281</v>
      </c>
      <c r="CT232" s="42">
        <f t="shared" ca="1" si="2160"/>
        <v>93.254327827438672</v>
      </c>
      <c r="CU232" s="42">
        <f t="shared" ca="1" si="2161"/>
        <v>0.98801719747153338</v>
      </c>
      <c r="CV232" s="42">
        <f t="shared" ca="1" si="2162"/>
        <v>84.376668664068958</v>
      </c>
      <c r="CW232" s="42">
        <f t="shared" ca="1" si="2163"/>
        <v>0.365167296678925</v>
      </c>
      <c r="CX232" s="42">
        <f t="shared" ca="1" si="2164"/>
        <v>3.2943249446933756</v>
      </c>
      <c r="CY232" s="42">
        <f t="shared" ca="1" si="2165"/>
        <v>0.33297741521756169</v>
      </c>
      <c r="CZ232" s="42">
        <f t="shared" ca="1" si="2166"/>
        <v>2.1846410172893065E-2</v>
      </c>
      <c r="DA232" s="42">
        <f t="shared" ca="1" si="2052"/>
        <v>-1.8333614860733365E-2</v>
      </c>
      <c r="DB232" s="42">
        <f t="shared" ca="1" si="2167"/>
        <v>0.20980427706325602</v>
      </c>
      <c r="DC232" s="42">
        <f t="shared" ca="1" si="2168"/>
        <v>0.11657329370125608</v>
      </c>
      <c r="DD232" s="42">
        <f t="shared" ca="1" si="2169"/>
        <v>-927.83752765331235</v>
      </c>
      <c r="DE232" s="40"/>
      <c r="DF232" s="36">
        <f t="shared" si="2055"/>
        <v>200</v>
      </c>
      <c r="DG232" s="35">
        <f t="shared" si="2056"/>
        <v>0.28399999999999997</v>
      </c>
      <c r="DH232" s="197">
        <f t="shared" ca="1" si="1382"/>
        <v>169.23611111111677</v>
      </c>
      <c r="DI232" s="41">
        <f t="shared" ca="1" si="2057"/>
        <v>0.46366057838662128</v>
      </c>
      <c r="DJ232" s="40">
        <f t="shared" ca="1" si="2170"/>
        <v>-0.85097126575351234</v>
      </c>
      <c r="DK232" s="40">
        <f t="shared" ca="1" si="2171"/>
        <v>2.5189751902588361E-2</v>
      </c>
      <c r="DL232" s="40">
        <f t="shared" ca="1" si="2172"/>
        <v>0.19338305926412305</v>
      </c>
      <c r="DM232" s="42">
        <f t="shared" ca="1" si="2173"/>
        <v>-4.2701853874545943</v>
      </c>
      <c r="DN232" s="42">
        <f t="shared" ca="1" si="2174"/>
        <v>-4.4635684467187176</v>
      </c>
      <c r="DO232" s="42">
        <f t="shared" ca="1" si="2175"/>
        <v>9.7655276518789487E-6</v>
      </c>
      <c r="DP232" s="42">
        <f t="shared" ca="1" si="2176"/>
        <v>0.99999023447234814</v>
      </c>
      <c r="DQ232" s="42">
        <f t="shared" ca="1" si="2177"/>
        <v>4.0302916462733568E-6</v>
      </c>
      <c r="DR232" s="42">
        <f t="shared" ca="1" si="2178"/>
        <v>0.99999596970835369</v>
      </c>
      <c r="DS232" s="42">
        <f t="shared" ca="1" si="2179"/>
        <v>0.98162450344672281</v>
      </c>
      <c r="DT232" s="42">
        <f t="shared" ca="1" si="2180"/>
        <v>196.32490068934456</v>
      </c>
      <c r="DU232" s="42">
        <f t="shared" ca="1" si="2181"/>
        <v>0.98801719747153338</v>
      </c>
      <c r="DV232" s="42">
        <f t="shared" ca="1" si="2182"/>
        <v>84.376668664068958</v>
      </c>
      <c r="DW232" s="42">
        <f t="shared" ca="1" si="2183"/>
        <v>4.3786712472282578E-5</v>
      </c>
      <c r="DX232" s="42">
        <f t="shared" si="2184"/>
        <v>0</v>
      </c>
      <c r="DY232" s="92">
        <f t="shared" ca="1" si="2185"/>
        <v>0</v>
      </c>
      <c r="DZ232" s="42">
        <f t="shared" ca="1" si="2186"/>
        <v>0</v>
      </c>
      <c r="EA232" s="42">
        <f t="shared" ca="1" si="2075"/>
        <v>0</v>
      </c>
      <c r="EB232" s="42">
        <f t="shared" ca="1" si="2187"/>
        <v>0</v>
      </c>
      <c r="EC232" s="42">
        <f t="shared" ca="1" si="2188"/>
        <v>0</v>
      </c>
      <c r="ED232" s="42">
        <f t="shared" ca="1" si="2189"/>
        <v>0</v>
      </c>
      <c r="EE232" s="40"/>
      <c r="EF232" s="120">
        <f t="shared" ca="1" si="2078"/>
        <v>85.4</v>
      </c>
      <c r="EG232" s="42">
        <f t="shared" ca="1" si="2079"/>
        <v>258.33906893413985</v>
      </c>
      <c r="EH232" s="36">
        <f t="shared" ca="1" si="2080"/>
        <v>258.33906893413985</v>
      </c>
      <c r="EI232" s="143">
        <f t="shared" ca="1" si="2081"/>
        <v>258.339</v>
      </c>
      <c r="EJ232" s="143">
        <f t="shared" ca="1" si="2089"/>
        <v>0</v>
      </c>
      <c r="EK232" s="153">
        <f t="shared" ca="1" si="2082"/>
        <v>0</v>
      </c>
      <c r="EL232" s="143">
        <f t="shared" ca="1" si="2083"/>
        <v>0</v>
      </c>
    </row>
    <row r="233" spans="1:142" x14ac:dyDescent="0.3">
      <c r="A233" s="143">
        <f t="shared" ca="1" si="2084"/>
        <v>85.4</v>
      </c>
      <c r="B233" s="144">
        <f t="shared" ca="1" si="2085"/>
        <v>0.28399999999999997</v>
      </c>
      <c r="C233" s="145">
        <f t="shared" ca="1" si="2086"/>
        <v>45295.440972222219</v>
      </c>
      <c r="D233" s="144">
        <f t="shared" ca="1" si="2087"/>
        <v>2.5999999999999999E-2</v>
      </c>
      <c r="E233" s="144">
        <f t="shared" ca="1" si="2088"/>
        <v>0.04</v>
      </c>
      <c r="F233" s="36">
        <f t="shared" si="1963"/>
        <v>75</v>
      </c>
      <c r="G233" s="35">
        <f t="shared" si="1964"/>
        <v>0.28399999999999997</v>
      </c>
      <c r="H233" s="197">
        <f t="shared" ca="1" si="1290"/>
        <v>169.23611111111677</v>
      </c>
      <c r="I233" s="41">
        <f t="shared" ca="1" si="1965"/>
        <v>0.46366057838662128</v>
      </c>
      <c r="J233" s="40">
        <f t="shared" ca="1" si="2090"/>
        <v>0.12985798725821379</v>
      </c>
      <c r="K233" s="40">
        <f t="shared" ca="1" si="2091"/>
        <v>2.5189751902588361E-2</v>
      </c>
      <c r="L233" s="40">
        <f t="shared" ca="1" si="2092"/>
        <v>0.19338305926412305</v>
      </c>
      <c r="M233" s="42">
        <f t="shared" ca="1" si="2093"/>
        <v>0.80176484822818728</v>
      </c>
      <c r="N233" s="42">
        <f t="shared" ca="1" si="2094"/>
        <v>0.60838178896406425</v>
      </c>
      <c r="O233" s="42">
        <f t="shared" ca="1" si="2095"/>
        <v>0.78865550202522283</v>
      </c>
      <c r="P233" s="42">
        <f t="shared" ca="1" si="2096"/>
        <v>0.21134449797477717</v>
      </c>
      <c r="Q233" s="42">
        <f t="shared" ca="1" si="2097"/>
        <v>0.72853285658034883</v>
      </c>
      <c r="R233" s="42">
        <f t="shared" ca="1" si="2098"/>
        <v>0.27146714341965111</v>
      </c>
      <c r="S233" s="42">
        <f t="shared" ca="1" si="2099"/>
        <v>0.98162450344672281</v>
      </c>
      <c r="T233" s="42">
        <f t="shared" ca="1" si="2100"/>
        <v>73.621837758504213</v>
      </c>
      <c r="U233" s="42">
        <f t="shared" ca="1" si="2101"/>
        <v>0.98801719747153338</v>
      </c>
      <c r="V233" s="42">
        <f t="shared" ca="1" si="2102"/>
        <v>84.376668664068958</v>
      </c>
      <c r="W233" s="42">
        <f t="shared" ca="1" si="2103"/>
        <v>0.28928238154977365</v>
      </c>
      <c r="X233" s="42">
        <f t="shared" ca="1" si="2104"/>
        <v>2.153365310014383</v>
      </c>
      <c r="Y233" s="42">
        <f t="shared" ca="1" si="2105"/>
        <v>-0.20881199859006749</v>
      </c>
      <c r="Z233" s="42">
        <f t="shared" ca="1" si="2106"/>
        <v>1.7306537635226424E-2</v>
      </c>
      <c r="AA233" s="42">
        <f t="shared" ca="1" si="1983"/>
        <v>-1.302570857267049E-2</v>
      </c>
      <c r="AB233" s="42">
        <f t="shared" ca="1" si="2107"/>
        <v>0.16620513797420244</v>
      </c>
      <c r="AC233" s="42">
        <f t="shared" ca="1" si="2108"/>
        <v>-9.2666785853637385E-2</v>
      </c>
      <c r="AD233" s="42">
        <f t="shared" ca="1" si="2109"/>
        <v>-723.31734499280856</v>
      </c>
      <c r="AF233" s="36">
        <f t="shared" si="1986"/>
        <v>80</v>
      </c>
      <c r="AG233" s="35">
        <f t="shared" si="1987"/>
        <v>0.28399999999999997</v>
      </c>
      <c r="AH233" s="197">
        <f t="shared" ca="1" si="1313"/>
        <v>169.23611111111677</v>
      </c>
      <c r="AI233" s="41">
        <f t="shared" ca="1" si="1988"/>
        <v>0.46366057838662128</v>
      </c>
      <c r="AJ233" s="40">
        <f t="shared" ca="1" si="2110"/>
        <v>6.5319466120642669E-2</v>
      </c>
      <c r="AK233" s="40">
        <f t="shared" ca="1" si="2111"/>
        <v>2.5189751902588361E-2</v>
      </c>
      <c r="AL233" s="40">
        <f t="shared" ca="1" si="2112"/>
        <v>0.19338305926412305</v>
      </c>
      <c r="AM233" s="42">
        <f t="shared" ca="1" si="2113"/>
        <v>0.46803074875143702</v>
      </c>
      <c r="AN233" s="42">
        <f t="shared" ca="1" si="2114"/>
        <v>0.274647689487314</v>
      </c>
      <c r="AO233" s="42">
        <f t="shared" ca="1" si="2115"/>
        <v>0.68011869960825055</v>
      </c>
      <c r="AP233" s="42">
        <f t="shared" ca="1" si="2116"/>
        <v>0.31988130039174945</v>
      </c>
      <c r="AQ233" s="42">
        <f t="shared" ca="1" si="2117"/>
        <v>0.60820653811473968</v>
      </c>
      <c r="AR233" s="42">
        <f t="shared" ca="1" si="2118"/>
        <v>0.39179346188526026</v>
      </c>
      <c r="AS233" s="42">
        <f t="shared" ca="1" si="2119"/>
        <v>0.98162450344672281</v>
      </c>
      <c r="AT233" s="42">
        <f t="shared" ca="1" si="2120"/>
        <v>78.529960275737821</v>
      </c>
      <c r="AU233" s="42">
        <f t="shared" ca="1" si="2121"/>
        <v>0.98801719747153338</v>
      </c>
      <c r="AV233" s="42">
        <f t="shared" ca="1" si="2122"/>
        <v>84.376668664068958</v>
      </c>
      <c r="AW233" s="42">
        <f t="shared" ca="1" si="2123"/>
        <v>0.3575554142041969</v>
      </c>
      <c r="AX233" s="42">
        <f t="shared" ca="1" si="2124"/>
        <v>3.777006503157132</v>
      </c>
      <c r="AY233" s="42">
        <f t="shared" ca="1" si="2125"/>
        <v>-0.31604822593660598</v>
      </c>
      <c r="AZ233" s="42">
        <f t="shared" ca="1" si="2126"/>
        <v>2.1391023537115056E-2</v>
      </c>
      <c r="BA233" s="42">
        <f t="shared" ca="1" si="2006"/>
        <v>-1.5787806699479157E-2</v>
      </c>
      <c r="BB233" s="42">
        <f t="shared" ca="1" si="2127"/>
        <v>0.20543092404335248</v>
      </c>
      <c r="BC233" s="42">
        <f t="shared" ca="1" si="2128"/>
        <v>-0.14265688436163948</v>
      </c>
      <c r="BD233" s="42">
        <f t="shared" ca="1" si="2129"/>
        <v>936.49674842143418</v>
      </c>
      <c r="BE233" s="40"/>
      <c r="BF233" s="36">
        <f t="shared" si="2009"/>
        <v>90</v>
      </c>
      <c r="BG233" s="35">
        <f t="shared" si="2010"/>
        <v>0.28399999999999997</v>
      </c>
      <c r="BH233" s="197">
        <f t="shared" ca="1" si="1336"/>
        <v>169.23611111111677</v>
      </c>
      <c r="BI233" s="41">
        <f t="shared" ca="1" si="2011"/>
        <v>0.46366057838662128</v>
      </c>
      <c r="BJ233" s="40">
        <f t="shared" ca="1" si="2130"/>
        <v>-5.2463569535740766E-2</v>
      </c>
      <c r="BK233" s="40">
        <f t="shared" ca="1" si="2131"/>
        <v>2.5189751902588361E-2</v>
      </c>
      <c r="BL233" s="40">
        <f t="shared" ca="1" si="2132"/>
        <v>0.19338305926412305</v>
      </c>
      <c r="BM233" s="42">
        <f t="shared" ca="1" si="2133"/>
        <v>-0.14103519582809868</v>
      </c>
      <c r="BN233" s="42">
        <f t="shared" ca="1" si="2134"/>
        <v>-0.33441825509222173</v>
      </c>
      <c r="BO233" s="42">
        <f t="shared" ca="1" si="2135"/>
        <v>0.44392106898616246</v>
      </c>
      <c r="BP233" s="42">
        <f t="shared" ca="1" si="2136"/>
        <v>0.55607893101383754</v>
      </c>
      <c r="BQ233" s="42">
        <f t="shared" ca="1" si="2137"/>
        <v>0.36903198301145818</v>
      </c>
      <c r="BR233" s="42">
        <f t="shared" ca="1" si="2138"/>
        <v>0.63096801698854188</v>
      </c>
      <c r="BS233" s="42">
        <f t="shared" ca="1" si="2139"/>
        <v>0.98162450344672281</v>
      </c>
      <c r="BT233" s="42">
        <f t="shared" ca="1" si="2140"/>
        <v>88.34620531020505</v>
      </c>
      <c r="BU233" s="42">
        <f t="shared" ca="1" si="2141"/>
        <v>0.98801719747153338</v>
      </c>
      <c r="BV233" s="42">
        <f t="shared" ca="1" si="2142"/>
        <v>84.376668664068958</v>
      </c>
      <c r="BW233" s="42">
        <f t="shared" ca="1" si="2143"/>
        <v>0.39499427951128013</v>
      </c>
      <c r="BX233" s="42">
        <f t="shared" ca="1" si="2144"/>
        <v>4.8540056136823466</v>
      </c>
      <c r="BY233" s="42">
        <f t="shared" ca="1" si="2145"/>
        <v>0.43860165047827548</v>
      </c>
      <c r="BZ233" s="42">
        <f t="shared" ca="1" si="2146"/>
        <v>2.3630832017624698E-2</v>
      </c>
      <c r="CA233" s="42">
        <f t="shared" ca="1" si="2029"/>
        <v>-1.9946570164958009E-2</v>
      </c>
      <c r="CB233" s="42">
        <f t="shared" ca="1" si="2147"/>
        <v>0.22694115823260852</v>
      </c>
      <c r="CC233" s="42">
        <f t="shared" ca="1" si="2148"/>
        <v>0.15116528937722107</v>
      </c>
      <c r="CD233" s="42">
        <f t="shared" ca="1" si="2149"/>
        <v>972.99719315882658</v>
      </c>
      <c r="CE233" s="40"/>
      <c r="CF233" s="36">
        <f t="shared" si="2032"/>
        <v>95</v>
      </c>
      <c r="CG233" s="35">
        <f t="shared" si="2033"/>
        <v>0.28399999999999997</v>
      </c>
      <c r="CH233" s="197">
        <f t="shared" ca="1" si="1359"/>
        <v>169.23611111111677</v>
      </c>
      <c r="CI233" s="41">
        <f t="shared" ca="1" si="2034"/>
        <v>0.46366057838662128</v>
      </c>
      <c r="CJ233" s="40">
        <f t="shared" ca="1" si="2150"/>
        <v>-0.10653079080601656</v>
      </c>
      <c r="CK233" s="40">
        <f t="shared" ca="1" si="2151"/>
        <v>2.5189751902588361E-2</v>
      </c>
      <c r="CL233" s="40">
        <f t="shared" ca="1" si="2152"/>
        <v>0.19338305926412305</v>
      </c>
      <c r="CM233" s="42">
        <f t="shared" ca="1" si="2153"/>
        <v>-0.42062132646444694</v>
      </c>
      <c r="CN233" s="42">
        <f t="shared" ca="1" si="2154"/>
        <v>-0.61400438572856997</v>
      </c>
      <c r="CO233" s="42">
        <f t="shared" ca="1" si="2155"/>
        <v>0.33701580910706302</v>
      </c>
      <c r="CP233" s="42">
        <f t="shared" ca="1" si="2156"/>
        <v>0.66298419089293703</v>
      </c>
      <c r="CQ233" s="42">
        <f t="shared" ca="1" si="2157"/>
        <v>0.26960621453848232</v>
      </c>
      <c r="CR233" s="42">
        <f t="shared" ca="1" si="2158"/>
        <v>0.73039378546151768</v>
      </c>
      <c r="CS233" s="42">
        <f t="shared" ca="1" si="2159"/>
        <v>0.98162450344672281</v>
      </c>
      <c r="CT233" s="42">
        <f t="shared" ca="1" si="2160"/>
        <v>93.254327827438672</v>
      </c>
      <c r="CU233" s="42">
        <f t="shared" ca="1" si="2161"/>
        <v>0.98801719747153338</v>
      </c>
      <c r="CV233" s="42">
        <f t="shared" ca="1" si="2162"/>
        <v>84.376668664068958</v>
      </c>
      <c r="CW233" s="42">
        <f t="shared" ca="1" si="2163"/>
        <v>0.365167296678925</v>
      </c>
      <c r="CX233" s="42">
        <f t="shared" ca="1" si="2164"/>
        <v>3.2943249446933756</v>
      </c>
      <c r="CY233" s="42">
        <f t="shared" ca="1" si="2165"/>
        <v>0.33297741521756169</v>
      </c>
      <c r="CZ233" s="42">
        <f t="shared" ca="1" si="2166"/>
        <v>2.1846410172893065E-2</v>
      </c>
      <c r="DA233" s="42">
        <f t="shared" ca="1" si="2052"/>
        <v>-1.8333614860733365E-2</v>
      </c>
      <c r="DB233" s="42">
        <f t="shared" ca="1" si="2167"/>
        <v>0.20980427706325602</v>
      </c>
      <c r="DC233" s="42">
        <f t="shared" ca="1" si="2168"/>
        <v>0.11657329370125608</v>
      </c>
      <c r="DD233" s="42">
        <f t="shared" ca="1" si="2169"/>
        <v>-927.83752765331235</v>
      </c>
      <c r="DE233" s="40"/>
      <c r="DF233" s="36">
        <f t="shared" si="2055"/>
        <v>200</v>
      </c>
      <c r="DG233" s="35">
        <f t="shared" si="2056"/>
        <v>0.28399999999999997</v>
      </c>
      <c r="DH233" s="197">
        <f t="shared" ca="1" si="1382"/>
        <v>169.23611111111677</v>
      </c>
      <c r="DI233" s="41">
        <f t="shared" ca="1" si="2057"/>
        <v>0.46366057838662128</v>
      </c>
      <c r="DJ233" s="40">
        <f t="shared" ca="1" si="2170"/>
        <v>-0.85097126575351234</v>
      </c>
      <c r="DK233" s="40">
        <f t="shared" ca="1" si="2171"/>
        <v>2.5189751902588361E-2</v>
      </c>
      <c r="DL233" s="40">
        <f t="shared" ca="1" si="2172"/>
        <v>0.19338305926412305</v>
      </c>
      <c r="DM233" s="42">
        <f t="shared" ca="1" si="2173"/>
        <v>-4.2701853874545943</v>
      </c>
      <c r="DN233" s="42">
        <f t="shared" ca="1" si="2174"/>
        <v>-4.4635684467187176</v>
      </c>
      <c r="DO233" s="42">
        <f t="shared" ca="1" si="2175"/>
        <v>9.7655276518789487E-6</v>
      </c>
      <c r="DP233" s="42">
        <f t="shared" ca="1" si="2176"/>
        <v>0.99999023447234814</v>
      </c>
      <c r="DQ233" s="42">
        <f t="shared" ca="1" si="2177"/>
        <v>4.0302916462733568E-6</v>
      </c>
      <c r="DR233" s="42">
        <f t="shared" ca="1" si="2178"/>
        <v>0.99999596970835369</v>
      </c>
      <c r="DS233" s="42">
        <f t="shared" ca="1" si="2179"/>
        <v>0.98162450344672281</v>
      </c>
      <c r="DT233" s="42">
        <f t="shared" ca="1" si="2180"/>
        <v>196.32490068934456</v>
      </c>
      <c r="DU233" s="42">
        <f t="shared" ca="1" si="2181"/>
        <v>0.98801719747153338</v>
      </c>
      <c r="DV233" s="42">
        <f t="shared" ca="1" si="2182"/>
        <v>84.376668664068958</v>
      </c>
      <c r="DW233" s="42">
        <f t="shared" ca="1" si="2183"/>
        <v>4.3786712472282578E-5</v>
      </c>
      <c r="DX233" s="42">
        <f t="shared" si="2184"/>
        <v>0</v>
      </c>
      <c r="DY233" s="92">
        <f t="shared" ca="1" si="2185"/>
        <v>0</v>
      </c>
      <c r="DZ233" s="42">
        <f t="shared" ca="1" si="2186"/>
        <v>0</v>
      </c>
      <c r="EA233" s="42">
        <f t="shared" ca="1" si="2075"/>
        <v>0</v>
      </c>
      <c r="EB233" s="42">
        <f t="shared" ca="1" si="2187"/>
        <v>0</v>
      </c>
      <c r="EC233" s="42">
        <f t="shared" ca="1" si="2188"/>
        <v>0</v>
      </c>
      <c r="ED233" s="42">
        <f t="shared" ca="1" si="2189"/>
        <v>0</v>
      </c>
      <c r="EE233" s="40"/>
      <c r="EF233" s="120">
        <f t="shared" ca="1" si="2078"/>
        <v>85.4</v>
      </c>
      <c r="EG233" s="42">
        <f t="shared" ca="1" si="2079"/>
        <v>258.33906893413985</v>
      </c>
      <c r="EH233" s="36">
        <f t="shared" ca="1" si="2080"/>
        <v>258.33906893413985</v>
      </c>
      <c r="EI233" s="143">
        <f t="shared" ca="1" si="2081"/>
        <v>258.339</v>
      </c>
      <c r="EJ233" s="143">
        <f t="shared" ca="1" si="2089"/>
        <v>0</v>
      </c>
      <c r="EK233" s="153">
        <f t="shared" ca="1" si="2082"/>
        <v>0</v>
      </c>
      <c r="EL233" s="143">
        <f t="shared" ca="1" si="2083"/>
        <v>0</v>
      </c>
    </row>
    <row r="234" spans="1:142" x14ac:dyDescent="0.3">
      <c r="A234" s="143">
        <f t="shared" ca="1" si="2084"/>
        <v>85.4</v>
      </c>
      <c r="B234" s="144">
        <f t="shared" ca="1" si="2085"/>
        <v>0.28399999999999997</v>
      </c>
      <c r="C234" s="145">
        <f t="shared" ca="1" si="2086"/>
        <v>45295.440972222219</v>
      </c>
      <c r="D234" s="144">
        <f t="shared" ca="1" si="2087"/>
        <v>2.5999999999999999E-2</v>
      </c>
      <c r="E234" s="144">
        <f t="shared" ca="1" si="2088"/>
        <v>0.04</v>
      </c>
      <c r="F234" s="36">
        <f t="shared" si="1963"/>
        <v>75</v>
      </c>
      <c r="G234" s="35">
        <f t="shared" si="1964"/>
        <v>0.28399999999999997</v>
      </c>
      <c r="H234" s="197">
        <f t="shared" ca="1" si="1290"/>
        <v>169.23611111111677</v>
      </c>
      <c r="I234" s="41">
        <f t="shared" ca="1" si="1965"/>
        <v>0.46366057838662128</v>
      </c>
      <c r="J234" s="40">
        <f t="shared" ca="1" si="2090"/>
        <v>0.12985798725821379</v>
      </c>
      <c r="K234" s="40">
        <f t="shared" ca="1" si="2091"/>
        <v>2.5189751902588361E-2</v>
      </c>
      <c r="L234" s="40">
        <f t="shared" ca="1" si="2092"/>
        <v>0.19338305926412305</v>
      </c>
      <c r="M234" s="42">
        <f t="shared" ca="1" si="2093"/>
        <v>0.80176484822818728</v>
      </c>
      <c r="N234" s="42">
        <f t="shared" ca="1" si="2094"/>
        <v>0.60838178896406425</v>
      </c>
      <c r="O234" s="42">
        <f t="shared" ca="1" si="2095"/>
        <v>0.78865550202522283</v>
      </c>
      <c r="P234" s="42">
        <f t="shared" ca="1" si="2096"/>
        <v>0.21134449797477717</v>
      </c>
      <c r="Q234" s="42">
        <f t="shared" ca="1" si="2097"/>
        <v>0.72853285658034883</v>
      </c>
      <c r="R234" s="42">
        <f t="shared" ca="1" si="2098"/>
        <v>0.27146714341965111</v>
      </c>
      <c r="S234" s="42">
        <f t="shared" ca="1" si="2099"/>
        <v>0.98162450344672281</v>
      </c>
      <c r="T234" s="42">
        <f t="shared" ca="1" si="2100"/>
        <v>73.621837758504213</v>
      </c>
      <c r="U234" s="42">
        <f t="shared" ca="1" si="2101"/>
        <v>0.98801719747153338</v>
      </c>
      <c r="V234" s="42">
        <f t="shared" ca="1" si="2102"/>
        <v>84.376668664068958</v>
      </c>
      <c r="W234" s="42">
        <f t="shared" ca="1" si="2103"/>
        <v>0.28928238154977365</v>
      </c>
      <c r="X234" s="42">
        <f t="shared" ca="1" si="2104"/>
        <v>2.153365310014383</v>
      </c>
      <c r="Y234" s="42">
        <f t="shared" ca="1" si="2105"/>
        <v>-0.20881199859006749</v>
      </c>
      <c r="Z234" s="42">
        <f t="shared" ca="1" si="2106"/>
        <v>1.7306537635226424E-2</v>
      </c>
      <c r="AA234" s="42">
        <f t="shared" ca="1" si="1983"/>
        <v>-1.302570857267049E-2</v>
      </c>
      <c r="AB234" s="42">
        <f t="shared" ca="1" si="2107"/>
        <v>0.16620513797420244</v>
      </c>
      <c r="AC234" s="42">
        <f t="shared" ca="1" si="2108"/>
        <v>-9.2666785853637385E-2</v>
      </c>
      <c r="AD234" s="42">
        <f t="shared" ca="1" si="2109"/>
        <v>-723.31734499280856</v>
      </c>
      <c r="AF234" s="36">
        <f t="shared" si="1986"/>
        <v>80</v>
      </c>
      <c r="AG234" s="35">
        <f t="shared" si="1987"/>
        <v>0.28399999999999997</v>
      </c>
      <c r="AH234" s="197">
        <f t="shared" ca="1" si="1313"/>
        <v>169.23611111111677</v>
      </c>
      <c r="AI234" s="41">
        <f t="shared" ca="1" si="1988"/>
        <v>0.46366057838662128</v>
      </c>
      <c r="AJ234" s="40">
        <f t="shared" ca="1" si="2110"/>
        <v>6.5319466120642669E-2</v>
      </c>
      <c r="AK234" s="40">
        <f t="shared" ca="1" si="2111"/>
        <v>2.5189751902588361E-2</v>
      </c>
      <c r="AL234" s="40">
        <f t="shared" ca="1" si="2112"/>
        <v>0.19338305926412305</v>
      </c>
      <c r="AM234" s="42">
        <f t="shared" ca="1" si="2113"/>
        <v>0.46803074875143702</v>
      </c>
      <c r="AN234" s="42">
        <f t="shared" ca="1" si="2114"/>
        <v>0.274647689487314</v>
      </c>
      <c r="AO234" s="42">
        <f t="shared" ca="1" si="2115"/>
        <v>0.68011869960825055</v>
      </c>
      <c r="AP234" s="42">
        <f t="shared" ca="1" si="2116"/>
        <v>0.31988130039174945</v>
      </c>
      <c r="AQ234" s="42">
        <f t="shared" ca="1" si="2117"/>
        <v>0.60820653811473968</v>
      </c>
      <c r="AR234" s="42">
        <f t="shared" ca="1" si="2118"/>
        <v>0.39179346188526026</v>
      </c>
      <c r="AS234" s="42">
        <f t="shared" ca="1" si="2119"/>
        <v>0.98162450344672281</v>
      </c>
      <c r="AT234" s="42">
        <f t="shared" ca="1" si="2120"/>
        <v>78.529960275737821</v>
      </c>
      <c r="AU234" s="42">
        <f t="shared" ca="1" si="2121"/>
        <v>0.98801719747153338</v>
      </c>
      <c r="AV234" s="42">
        <f t="shared" ca="1" si="2122"/>
        <v>84.376668664068958</v>
      </c>
      <c r="AW234" s="42">
        <f t="shared" ca="1" si="2123"/>
        <v>0.3575554142041969</v>
      </c>
      <c r="AX234" s="42">
        <f t="shared" ca="1" si="2124"/>
        <v>3.777006503157132</v>
      </c>
      <c r="AY234" s="42">
        <f t="shared" ca="1" si="2125"/>
        <v>-0.31604822593660598</v>
      </c>
      <c r="AZ234" s="42">
        <f t="shared" ca="1" si="2126"/>
        <v>2.1391023537115056E-2</v>
      </c>
      <c r="BA234" s="42">
        <f t="shared" ca="1" si="2006"/>
        <v>-1.5787806699479157E-2</v>
      </c>
      <c r="BB234" s="42">
        <f t="shared" ca="1" si="2127"/>
        <v>0.20543092404335248</v>
      </c>
      <c r="BC234" s="42">
        <f t="shared" ca="1" si="2128"/>
        <v>-0.14265688436163948</v>
      </c>
      <c r="BD234" s="42">
        <f t="shared" ca="1" si="2129"/>
        <v>936.49674842143418</v>
      </c>
      <c r="BE234" s="40"/>
      <c r="BF234" s="36">
        <f t="shared" si="2009"/>
        <v>90</v>
      </c>
      <c r="BG234" s="35">
        <f t="shared" si="2010"/>
        <v>0.28399999999999997</v>
      </c>
      <c r="BH234" s="197">
        <f t="shared" ca="1" si="1336"/>
        <v>169.23611111111677</v>
      </c>
      <c r="BI234" s="41">
        <f t="shared" ca="1" si="2011"/>
        <v>0.46366057838662128</v>
      </c>
      <c r="BJ234" s="40">
        <f t="shared" ca="1" si="2130"/>
        <v>-5.2463569535740766E-2</v>
      </c>
      <c r="BK234" s="40">
        <f t="shared" ca="1" si="2131"/>
        <v>2.5189751902588361E-2</v>
      </c>
      <c r="BL234" s="40">
        <f t="shared" ca="1" si="2132"/>
        <v>0.19338305926412305</v>
      </c>
      <c r="BM234" s="42">
        <f t="shared" ca="1" si="2133"/>
        <v>-0.14103519582809868</v>
      </c>
      <c r="BN234" s="42">
        <f t="shared" ca="1" si="2134"/>
        <v>-0.33441825509222173</v>
      </c>
      <c r="BO234" s="42">
        <f t="shared" ca="1" si="2135"/>
        <v>0.44392106898616246</v>
      </c>
      <c r="BP234" s="42">
        <f t="shared" ca="1" si="2136"/>
        <v>0.55607893101383754</v>
      </c>
      <c r="BQ234" s="42">
        <f t="shared" ca="1" si="2137"/>
        <v>0.36903198301145818</v>
      </c>
      <c r="BR234" s="42">
        <f t="shared" ca="1" si="2138"/>
        <v>0.63096801698854188</v>
      </c>
      <c r="BS234" s="42">
        <f t="shared" ca="1" si="2139"/>
        <v>0.98162450344672281</v>
      </c>
      <c r="BT234" s="42">
        <f t="shared" ca="1" si="2140"/>
        <v>88.34620531020505</v>
      </c>
      <c r="BU234" s="42">
        <f t="shared" ca="1" si="2141"/>
        <v>0.98801719747153338</v>
      </c>
      <c r="BV234" s="42">
        <f t="shared" ca="1" si="2142"/>
        <v>84.376668664068958</v>
      </c>
      <c r="BW234" s="42">
        <f t="shared" ca="1" si="2143"/>
        <v>0.39499427951128013</v>
      </c>
      <c r="BX234" s="42">
        <f t="shared" ca="1" si="2144"/>
        <v>4.8540056136823466</v>
      </c>
      <c r="BY234" s="42">
        <f t="shared" ca="1" si="2145"/>
        <v>0.43860165047827548</v>
      </c>
      <c r="BZ234" s="42">
        <f t="shared" ca="1" si="2146"/>
        <v>2.3630832017624698E-2</v>
      </c>
      <c r="CA234" s="42">
        <f t="shared" ca="1" si="2029"/>
        <v>-1.9946570164958009E-2</v>
      </c>
      <c r="CB234" s="42">
        <f t="shared" ca="1" si="2147"/>
        <v>0.22694115823260852</v>
      </c>
      <c r="CC234" s="42">
        <f t="shared" ca="1" si="2148"/>
        <v>0.15116528937722107</v>
      </c>
      <c r="CD234" s="42">
        <f t="shared" ca="1" si="2149"/>
        <v>972.99719315882658</v>
      </c>
      <c r="CE234" s="40"/>
      <c r="CF234" s="36">
        <f t="shared" si="2032"/>
        <v>95</v>
      </c>
      <c r="CG234" s="35">
        <f t="shared" si="2033"/>
        <v>0.28399999999999997</v>
      </c>
      <c r="CH234" s="197">
        <f t="shared" ca="1" si="1359"/>
        <v>169.23611111111677</v>
      </c>
      <c r="CI234" s="41">
        <f t="shared" ca="1" si="2034"/>
        <v>0.46366057838662128</v>
      </c>
      <c r="CJ234" s="40">
        <f t="shared" ca="1" si="2150"/>
        <v>-0.10653079080601656</v>
      </c>
      <c r="CK234" s="40">
        <f t="shared" ca="1" si="2151"/>
        <v>2.5189751902588361E-2</v>
      </c>
      <c r="CL234" s="40">
        <f t="shared" ca="1" si="2152"/>
        <v>0.19338305926412305</v>
      </c>
      <c r="CM234" s="42">
        <f t="shared" ca="1" si="2153"/>
        <v>-0.42062132646444694</v>
      </c>
      <c r="CN234" s="42">
        <f t="shared" ca="1" si="2154"/>
        <v>-0.61400438572856997</v>
      </c>
      <c r="CO234" s="42">
        <f t="shared" ca="1" si="2155"/>
        <v>0.33701580910706302</v>
      </c>
      <c r="CP234" s="42">
        <f t="shared" ca="1" si="2156"/>
        <v>0.66298419089293703</v>
      </c>
      <c r="CQ234" s="42">
        <f t="shared" ca="1" si="2157"/>
        <v>0.26960621453848232</v>
      </c>
      <c r="CR234" s="42">
        <f t="shared" ca="1" si="2158"/>
        <v>0.73039378546151768</v>
      </c>
      <c r="CS234" s="42">
        <f t="shared" ca="1" si="2159"/>
        <v>0.98162450344672281</v>
      </c>
      <c r="CT234" s="42">
        <f t="shared" ca="1" si="2160"/>
        <v>93.254327827438672</v>
      </c>
      <c r="CU234" s="42">
        <f t="shared" ca="1" si="2161"/>
        <v>0.98801719747153338</v>
      </c>
      <c r="CV234" s="42">
        <f t="shared" ca="1" si="2162"/>
        <v>84.376668664068958</v>
      </c>
      <c r="CW234" s="42">
        <f t="shared" ca="1" si="2163"/>
        <v>0.365167296678925</v>
      </c>
      <c r="CX234" s="42">
        <f t="shared" ca="1" si="2164"/>
        <v>3.2943249446933756</v>
      </c>
      <c r="CY234" s="42">
        <f t="shared" ca="1" si="2165"/>
        <v>0.33297741521756169</v>
      </c>
      <c r="CZ234" s="42">
        <f t="shared" ca="1" si="2166"/>
        <v>2.1846410172893065E-2</v>
      </c>
      <c r="DA234" s="42">
        <f t="shared" ca="1" si="2052"/>
        <v>-1.8333614860733365E-2</v>
      </c>
      <c r="DB234" s="42">
        <f t="shared" ca="1" si="2167"/>
        <v>0.20980427706325602</v>
      </c>
      <c r="DC234" s="42">
        <f t="shared" ca="1" si="2168"/>
        <v>0.11657329370125608</v>
      </c>
      <c r="DD234" s="42">
        <f t="shared" ca="1" si="2169"/>
        <v>-927.83752765331235</v>
      </c>
      <c r="DE234" s="40"/>
      <c r="DF234" s="36">
        <f t="shared" si="2055"/>
        <v>200</v>
      </c>
      <c r="DG234" s="35">
        <f t="shared" si="2056"/>
        <v>0.28399999999999997</v>
      </c>
      <c r="DH234" s="197">
        <f t="shared" ca="1" si="1382"/>
        <v>169.23611111111677</v>
      </c>
      <c r="DI234" s="41">
        <f t="shared" ca="1" si="2057"/>
        <v>0.46366057838662128</v>
      </c>
      <c r="DJ234" s="40">
        <f t="shared" ca="1" si="2170"/>
        <v>-0.85097126575351234</v>
      </c>
      <c r="DK234" s="40">
        <f t="shared" ca="1" si="2171"/>
        <v>2.5189751902588361E-2</v>
      </c>
      <c r="DL234" s="40">
        <f t="shared" ca="1" si="2172"/>
        <v>0.19338305926412305</v>
      </c>
      <c r="DM234" s="42">
        <f t="shared" ca="1" si="2173"/>
        <v>-4.2701853874545943</v>
      </c>
      <c r="DN234" s="42">
        <f t="shared" ca="1" si="2174"/>
        <v>-4.4635684467187176</v>
      </c>
      <c r="DO234" s="42">
        <f t="shared" ca="1" si="2175"/>
        <v>9.7655276518789487E-6</v>
      </c>
      <c r="DP234" s="42">
        <f t="shared" ca="1" si="2176"/>
        <v>0.99999023447234814</v>
      </c>
      <c r="DQ234" s="42">
        <f t="shared" ca="1" si="2177"/>
        <v>4.0302916462733568E-6</v>
      </c>
      <c r="DR234" s="42">
        <f t="shared" ca="1" si="2178"/>
        <v>0.99999596970835369</v>
      </c>
      <c r="DS234" s="42">
        <f t="shared" ca="1" si="2179"/>
        <v>0.98162450344672281</v>
      </c>
      <c r="DT234" s="42">
        <f t="shared" ca="1" si="2180"/>
        <v>196.32490068934456</v>
      </c>
      <c r="DU234" s="42">
        <f t="shared" ca="1" si="2181"/>
        <v>0.98801719747153338</v>
      </c>
      <c r="DV234" s="42">
        <f t="shared" ca="1" si="2182"/>
        <v>84.376668664068958</v>
      </c>
      <c r="DW234" s="42">
        <f t="shared" ca="1" si="2183"/>
        <v>4.3786712472282578E-5</v>
      </c>
      <c r="DX234" s="42">
        <f t="shared" si="2184"/>
        <v>0</v>
      </c>
      <c r="DY234" s="92">
        <f t="shared" ca="1" si="2185"/>
        <v>0</v>
      </c>
      <c r="DZ234" s="42">
        <f t="shared" ca="1" si="2186"/>
        <v>0</v>
      </c>
      <c r="EA234" s="42">
        <f t="shared" ca="1" si="2075"/>
        <v>0</v>
      </c>
      <c r="EB234" s="42">
        <f t="shared" ca="1" si="2187"/>
        <v>0</v>
      </c>
      <c r="EC234" s="42">
        <f t="shared" ca="1" si="2188"/>
        <v>0</v>
      </c>
      <c r="ED234" s="42">
        <f t="shared" ca="1" si="2189"/>
        <v>0</v>
      </c>
      <c r="EE234" s="40"/>
      <c r="EF234" s="120">
        <f t="shared" ca="1" si="2078"/>
        <v>85.4</v>
      </c>
      <c r="EG234" s="42">
        <f t="shared" ca="1" si="2079"/>
        <v>258.33906893413985</v>
      </c>
      <c r="EH234" s="36">
        <f t="shared" ca="1" si="2080"/>
        <v>258.33906893413985</v>
      </c>
      <c r="EI234" s="143">
        <f t="shared" ca="1" si="2081"/>
        <v>258.339</v>
      </c>
      <c r="EJ234" s="143">
        <f t="shared" ca="1" si="2089"/>
        <v>0</v>
      </c>
      <c r="EK234" s="153">
        <f t="shared" ca="1" si="2082"/>
        <v>0</v>
      </c>
      <c r="EL234" s="143">
        <f t="shared" ca="1" si="2083"/>
        <v>0</v>
      </c>
    </row>
    <row r="235" spans="1:142" x14ac:dyDescent="0.3">
      <c r="A235" s="143">
        <f t="shared" ca="1" si="2084"/>
        <v>85.4</v>
      </c>
      <c r="B235" s="144">
        <f t="shared" ca="1" si="2085"/>
        <v>0.28399999999999997</v>
      </c>
      <c r="C235" s="145">
        <f t="shared" ca="1" si="2086"/>
        <v>45295.440972222219</v>
      </c>
      <c r="D235" s="144">
        <f t="shared" ca="1" si="2087"/>
        <v>2.5999999999999999E-2</v>
      </c>
      <c r="E235" s="144">
        <f t="shared" ca="1" si="2088"/>
        <v>0.04</v>
      </c>
      <c r="F235" s="36">
        <f t="shared" si="1963"/>
        <v>75</v>
      </c>
      <c r="G235" s="35">
        <f t="shared" si="1964"/>
        <v>0.28399999999999997</v>
      </c>
      <c r="H235" s="197">
        <f t="shared" ca="1" si="1290"/>
        <v>169.23611111111677</v>
      </c>
      <c r="I235" s="41">
        <f t="shared" ca="1" si="1965"/>
        <v>0.46366057838662128</v>
      </c>
      <c r="J235" s="40">
        <f t="shared" ca="1" si="2090"/>
        <v>0.12985798725821379</v>
      </c>
      <c r="K235" s="40">
        <f t="shared" ca="1" si="2091"/>
        <v>2.5189751902588361E-2</v>
      </c>
      <c r="L235" s="40">
        <f t="shared" ca="1" si="2092"/>
        <v>0.19338305926412305</v>
      </c>
      <c r="M235" s="42">
        <f t="shared" ca="1" si="2093"/>
        <v>0.80176484822818728</v>
      </c>
      <c r="N235" s="42">
        <f t="shared" ca="1" si="2094"/>
        <v>0.60838178896406425</v>
      </c>
      <c r="O235" s="42">
        <f t="shared" ca="1" si="2095"/>
        <v>0.78865550202522283</v>
      </c>
      <c r="P235" s="42">
        <f t="shared" ca="1" si="2096"/>
        <v>0.21134449797477717</v>
      </c>
      <c r="Q235" s="42">
        <f t="shared" ca="1" si="2097"/>
        <v>0.72853285658034883</v>
      </c>
      <c r="R235" s="42">
        <f t="shared" ca="1" si="2098"/>
        <v>0.27146714341965111</v>
      </c>
      <c r="S235" s="42">
        <f t="shared" ca="1" si="2099"/>
        <v>0.98162450344672281</v>
      </c>
      <c r="T235" s="42">
        <f t="shared" ca="1" si="2100"/>
        <v>73.621837758504213</v>
      </c>
      <c r="U235" s="42">
        <f t="shared" ca="1" si="2101"/>
        <v>0.98801719747153338</v>
      </c>
      <c r="V235" s="42">
        <f t="shared" ca="1" si="2102"/>
        <v>84.376668664068958</v>
      </c>
      <c r="W235" s="42">
        <f t="shared" ca="1" si="2103"/>
        <v>0.28928238154977365</v>
      </c>
      <c r="X235" s="42">
        <f t="shared" ca="1" si="2104"/>
        <v>2.153365310014383</v>
      </c>
      <c r="Y235" s="42">
        <f t="shared" ca="1" si="2105"/>
        <v>-0.20881199859006749</v>
      </c>
      <c r="Z235" s="42">
        <f t="shared" ca="1" si="2106"/>
        <v>1.7306537635226424E-2</v>
      </c>
      <c r="AA235" s="42">
        <f t="shared" ca="1" si="1983"/>
        <v>-1.302570857267049E-2</v>
      </c>
      <c r="AB235" s="42">
        <f t="shared" ca="1" si="2107"/>
        <v>0.16620513797420244</v>
      </c>
      <c r="AC235" s="42">
        <f t="shared" ca="1" si="2108"/>
        <v>-9.2666785853637385E-2</v>
      </c>
      <c r="AD235" s="42">
        <f t="shared" ca="1" si="2109"/>
        <v>-723.31734499280856</v>
      </c>
      <c r="AF235" s="36">
        <f t="shared" si="1986"/>
        <v>80</v>
      </c>
      <c r="AG235" s="35">
        <f t="shared" si="1987"/>
        <v>0.28399999999999997</v>
      </c>
      <c r="AH235" s="197">
        <f t="shared" ca="1" si="1313"/>
        <v>169.23611111111677</v>
      </c>
      <c r="AI235" s="41">
        <f t="shared" ca="1" si="1988"/>
        <v>0.46366057838662128</v>
      </c>
      <c r="AJ235" s="40">
        <f t="shared" ca="1" si="2110"/>
        <v>6.5319466120642669E-2</v>
      </c>
      <c r="AK235" s="40">
        <f t="shared" ca="1" si="2111"/>
        <v>2.5189751902588361E-2</v>
      </c>
      <c r="AL235" s="40">
        <f t="shared" ca="1" si="2112"/>
        <v>0.19338305926412305</v>
      </c>
      <c r="AM235" s="42">
        <f t="shared" ca="1" si="2113"/>
        <v>0.46803074875143702</v>
      </c>
      <c r="AN235" s="42">
        <f t="shared" ca="1" si="2114"/>
        <v>0.274647689487314</v>
      </c>
      <c r="AO235" s="42">
        <f t="shared" ca="1" si="2115"/>
        <v>0.68011869960825055</v>
      </c>
      <c r="AP235" s="42">
        <f t="shared" ca="1" si="2116"/>
        <v>0.31988130039174945</v>
      </c>
      <c r="AQ235" s="42">
        <f t="shared" ca="1" si="2117"/>
        <v>0.60820653811473968</v>
      </c>
      <c r="AR235" s="42">
        <f t="shared" ca="1" si="2118"/>
        <v>0.39179346188526026</v>
      </c>
      <c r="AS235" s="42">
        <f t="shared" ca="1" si="2119"/>
        <v>0.98162450344672281</v>
      </c>
      <c r="AT235" s="42">
        <f t="shared" ca="1" si="2120"/>
        <v>78.529960275737821</v>
      </c>
      <c r="AU235" s="42">
        <f t="shared" ca="1" si="2121"/>
        <v>0.98801719747153338</v>
      </c>
      <c r="AV235" s="42">
        <f t="shared" ca="1" si="2122"/>
        <v>84.376668664068958</v>
      </c>
      <c r="AW235" s="42">
        <f t="shared" ca="1" si="2123"/>
        <v>0.3575554142041969</v>
      </c>
      <c r="AX235" s="42">
        <f t="shared" ca="1" si="2124"/>
        <v>3.777006503157132</v>
      </c>
      <c r="AY235" s="42">
        <f t="shared" ca="1" si="2125"/>
        <v>-0.31604822593660598</v>
      </c>
      <c r="AZ235" s="42">
        <f t="shared" ca="1" si="2126"/>
        <v>2.1391023537115056E-2</v>
      </c>
      <c r="BA235" s="42">
        <f t="shared" ca="1" si="2006"/>
        <v>-1.5787806699479157E-2</v>
      </c>
      <c r="BB235" s="42">
        <f t="shared" ca="1" si="2127"/>
        <v>0.20543092404335248</v>
      </c>
      <c r="BC235" s="42">
        <f t="shared" ca="1" si="2128"/>
        <v>-0.14265688436163948</v>
      </c>
      <c r="BD235" s="42">
        <f t="shared" ca="1" si="2129"/>
        <v>936.49674842143418</v>
      </c>
      <c r="BE235" s="40"/>
      <c r="BF235" s="36">
        <f t="shared" si="2009"/>
        <v>90</v>
      </c>
      <c r="BG235" s="35">
        <f t="shared" si="2010"/>
        <v>0.28399999999999997</v>
      </c>
      <c r="BH235" s="197">
        <f t="shared" ca="1" si="1336"/>
        <v>169.23611111111677</v>
      </c>
      <c r="BI235" s="41">
        <f t="shared" ca="1" si="2011"/>
        <v>0.46366057838662128</v>
      </c>
      <c r="BJ235" s="40">
        <f t="shared" ca="1" si="2130"/>
        <v>-5.2463569535740766E-2</v>
      </c>
      <c r="BK235" s="40">
        <f t="shared" ca="1" si="2131"/>
        <v>2.5189751902588361E-2</v>
      </c>
      <c r="BL235" s="40">
        <f t="shared" ca="1" si="2132"/>
        <v>0.19338305926412305</v>
      </c>
      <c r="BM235" s="42">
        <f t="shared" ca="1" si="2133"/>
        <v>-0.14103519582809868</v>
      </c>
      <c r="BN235" s="42">
        <f t="shared" ca="1" si="2134"/>
        <v>-0.33441825509222173</v>
      </c>
      <c r="BO235" s="42">
        <f t="shared" ca="1" si="2135"/>
        <v>0.44392106898616246</v>
      </c>
      <c r="BP235" s="42">
        <f t="shared" ca="1" si="2136"/>
        <v>0.55607893101383754</v>
      </c>
      <c r="BQ235" s="42">
        <f t="shared" ca="1" si="2137"/>
        <v>0.36903198301145818</v>
      </c>
      <c r="BR235" s="42">
        <f t="shared" ca="1" si="2138"/>
        <v>0.63096801698854188</v>
      </c>
      <c r="BS235" s="42">
        <f t="shared" ca="1" si="2139"/>
        <v>0.98162450344672281</v>
      </c>
      <c r="BT235" s="42">
        <f t="shared" ca="1" si="2140"/>
        <v>88.34620531020505</v>
      </c>
      <c r="BU235" s="42">
        <f t="shared" ca="1" si="2141"/>
        <v>0.98801719747153338</v>
      </c>
      <c r="BV235" s="42">
        <f t="shared" ca="1" si="2142"/>
        <v>84.376668664068958</v>
      </c>
      <c r="BW235" s="42">
        <f t="shared" ca="1" si="2143"/>
        <v>0.39499427951128013</v>
      </c>
      <c r="BX235" s="42">
        <f t="shared" ca="1" si="2144"/>
        <v>4.8540056136823466</v>
      </c>
      <c r="BY235" s="42">
        <f t="shared" ca="1" si="2145"/>
        <v>0.43860165047827548</v>
      </c>
      <c r="BZ235" s="42">
        <f t="shared" ca="1" si="2146"/>
        <v>2.3630832017624698E-2</v>
      </c>
      <c r="CA235" s="42">
        <f t="shared" ca="1" si="2029"/>
        <v>-1.9946570164958009E-2</v>
      </c>
      <c r="CB235" s="42">
        <f t="shared" ca="1" si="2147"/>
        <v>0.22694115823260852</v>
      </c>
      <c r="CC235" s="42">
        <f t="shared" ca="1" si="2148"/>
        <v>0.15116528937722107</v>
      </c>
      <c r="CD235" s="42">
        <f t="shared" ca="1" si="2149"/>
        <v>972.99719315882658</v>
      </c>
      <c r="CE235" s="40"/>
      <c r="CF235" s="36">
        <f t="shared" si="2032"/>
        <v>95</v>
      </c>
      <c r="CG235" s="35">
        <f t="shared" si="2033"/>
        <v>0.28399999999999997</v>
      </c>
      <c r="CH235" s="197">
        <f t="shared" ca="1" si="1359"/>
        <v>169.23611111111677</v>
      </c>
      <c r="CI235" s="41">
        <f t="shared" ca="1" si="2034"/>
        <v>0.46366057838662128</v>
      </c>
      <c r="CJ235" s="40">
        <f t="shared" ca="1" si="2150"/>
        <v>-0.10653079080601656</v>
      </c>
      <c r="CK235" s="40">
        <f t="shared" ca="1" si="2151"/>
        <v>2.5189751902588361E-2</v>
      </c>
      <c r="CL235" s="40">
        <f t="shared" ca="1" si="2152"/>
        <v>0.19338305926412305</v>
      </c>
      <c r="CM235" s="42">
        <f t="shared" ca="1" si="2153"/>
        <v>-0.42062132646444694</v>
      </c>
      <c r="CN235" s="42">
        <f t="shared" ca="1" si="2154"/>
        <v>-0.61400438572856997</v>
      </c>
      <c r="CO235" s="42">
        <f t="shared" ca="1" si="2155"/>
        <v>0.33701580910706302</v>
      </c>
      <c r="CP235" s="42">
        <f t="shared" ca="1" si="2156"/>
        <v>0.66298419089293703</v>
      </c>
      <c r="CQ235" s="42">
        <f t="shared" ca="1" si="2157"/>
        <v>0.26960621453848232</v>
      </c>
      <c r="CR235" s="42">
        <f t="shared" ca="1" si="2158"/>
        <v>0.73039378546151768</v>
      </c>
      <c r="CS235" s="42">
        <f t="shared" ca="1" si="2159"/>
        <v>0.98162450344672281</v>
      </c>
      <c r="CT235" s="42">
        <f t="shared" ca="1" si="2160"/>
        <v>93.254327827438672</v>
      </c>
      <c r="CU235" s="42">
        <f t="shared" ca="1" si="2161"/>
        <v>0.98801719747153338</v>
      </c>
      <c r="CV235" s="42">
        <f t="shared" ca="1" si="2162"/>
        <v>84.376668664068958</v>
      </c>
      <c r="CW235" s="42">
        <f t="shared" ca="1" si="2163"/>
        <v>0.365167296678925</v>
      </c>
      <c r="CX235" s="42">
        <f t="shared" ca="1" si="2164"/>
        <v>3.2943249446933756</v>
      </c>
      <c r="CY235" s="42">
        <f t="shared" ca="1" si="2165"/>
        <v>0.33297741521756169</v>
      </c>
      <c r="CZ235" s="42">
        <f t="shared" ca="1" si="2166"/>
        <v>2.1846410172893065E-2</v>
      </c>
      <c r="DA235" s="42">
        <f t="shared" ca="1" si="2052"/>
        <v>-1.8333614860733365E-2</v>
      </c>
      <c r="DB235" s="42">
        <f t="shared" ca="1" si="2167"/>
        <v>0.20980427706325602</v>
      </c>
      <c r="DC235" s="42">
        <f t="shared" ca="1" si="2168"/>
        <v>0.11657329370125608</v>
      </c>
      <c r="DD235" s="42">
        <f t="shared" ca="1" si="2169"/>
        <v>-927.83752765331235</v>
      </c>
      <c r="DE235" s="40"/>
      <c r="DF235" s="36">
        <f t="shared" si="2055"/>
        <v>200</v>
      </c>
      <c r="DG235" s="35">
        <f t="shared" si="2056"/>
        <v>0.28399999999999997</v>
      </c>
      <c r="DH235" s="197">
        <f t="shared" ca="1" si="1382"/>
        <v>169.23611111111677</v>
      </c>
      <c r="DI235" s="41">
        <f t="shared" ca="1" si="2057"/>
        <v>0.46366057838662128</v>
      </c>
      <c r="DJ235" s="40">
        <f t="shared" ca="1" si="2170"/>
        <v>-0.85097126575351234</v>
      </c>
      <c r="DK235" s="40">
        <f t="shared" ca="1" si="2171"/>
        <v>2.5189751902588361E-2</v>
      </c>
      <c r="DL235" s="40">
        <f t="shared" ca="1" si="2172"/>
        <v>0.19338305926412305</v>
      </c>
      <c r="DM235" s="42">
        <f t="shared" ca="1" si="2173"/>
        <v>-4.2701853874545943</v>
      </c>
      <c r="DN235" s="42">
        <f t="shared" ca="1" si="2174"/>
        <v>-4.4635684467187176</v>
      </c>
      <c r="DO235" s="42">
        <f t="shared" ca="1" si="2175"/>
        <v>9.7655276518789487E-6</v>
      </c>
      <c r="DP235" s="42">
        <f t="shared" ca="1" si="2176"/>
        <v>0.99999023447234814</v>
      </c>
      <c r="DQ235" s="42">
        <f t="shared" ca="1" si="2177"/>
        <v>4.0302916462733568E-6</v>
      </c>
      <c r="DR235" s="42">
        <f t="shared" ca="1" si="2178"/>
        <v>0.99999596970835369</v>
      </c>
      <c r="DS235" s="42">
        <f t="shared" ca="1" si="2179"/>
        <v>0.98162450344672281</v>
      </c>
      <c r="DT235" s="42">
        <f t="shared" ca="1" si="2180"/>
        <v>196.32490068934456</v>
      </c>
      <c r="DU235" s="42">
        <f t="shared" ca="1" si="2181"/>
        <v>0.98801719747153338</v>
      </c>
      <c r="DV235" s="42">
        <f t="shared" ca="1" si="2182"/>
        <v>84.376668664068958</v>
      </c>
      <c r="DW235" s="42">
        <f t="shared" ca="1" si="2183"/>
        <v>4.3786712472282578E-5</v>
      </c>
      <c r="DX235" s="42">
        <f t="shared" si="2184"/>
        <v>0</v>
      </c>
      <c r="DY235" s="92">
        <f t="shared" ca="1" si="2185"/>
        <v>0</v>
      </c>
      <c r="DZ235" s="42">
        <f t="shared" ca="1" si="2186"/>
        <v>0</v>
      </c>
      <c r="EA235" s="42">
        <f t="shared" ca="1" si="2075"/>
        <v>0</v>
      </c>
      <c r="EB235" s="42">
        <f t="shared" ca="1" si="2187"/>
        <v>0</v>
      </c>
      <c r="EC235" s="42">
        <f t="shared" ca="1" si="2188"/>
        <v>0</v>
      </c>
      <c r="ED235" s="42">
        <f t="shared" ca="1" si="2189"/>
        <v>0</v>
      </c>
      <c r="EE235" s="40"/>
      <c r="EF235" s="120">
        <f t="shared" ca="1" si="2078"/>
        <v>85.4</v>
      </c>
      <c r="EG235" s="42">
        <f t="shared" ca="1" si="2079"/>
        <v>258.33906893413985</v>
      </c>
      <c r="EH235" s="36">
        <f t="shared" ca="1" si="2080"/>
        <v>258.33906893413985</v>
      </c>
      <c r="EI235" s="143">
        <f t="shared" ca="1" si="2081"/>
        <v>258.339</v>
      </c>
      <c r="EJ235" s="143">
        <f t="shared" ca="1" si="2089"/>
        <v>0</v>
      </c>
      <c r="EK235" s="153">
        <f t="shared" ca="1" si="2082"/>
        <v>0</v>
      </c>
      <c r="EL235" s="143">
        <f t="shared" ca="1" si="2083"/>
        <v>0</v>
      </c>
    </row>
    <row r="236" spans="1:142" x14ac:dyDescent="0.3">
      <c r="A236" s="152" t="s">
        <v>128</v>
      </c>
      <c r="AH236" s="201"/>
      <c r="BH236" s="201"/>
      <c r="CH236" s="201"/>
      <c r="DH236" s="201"/>
    </row>
    <row r="237" spans="1:142" x14ac:dyDescent="0.3">
      <c r="A237" s="151">
        <f ca="1">IF($M$22=1,$V$152,A$48)</f>
        <v>72.306303479748976</v>
      </c>
      <c r="B237" s="164">
        <f>IF($M$22=2,$V$152,B$48)</f>
        <v>0.28399999999999997</v>
      </c>
      <c r="C237" s="165">
        <f>IF($M$22=3,$V$152,C$48)</f>
        <v>45295.440972222219</v>
      </c>
      <c r="D237" s="164">
        <f>IF($M$22=4,$V$152,D$48)</f>
        <v>2.5999999999999999E-2</v>
      </c>
      <c r="E237" s="164">
        <f>IF($M$22=5,$V$152,E$48)</f>
        <v>0.04</v>
      </c>
      <c r="F237" s="36">
        <f t="shared" ref="F237:F242" si="2190">F$48</f>
        <v>75</v>
      </c>
      <c r="G237" s="35">
        <f t="shared" ref="G237:G242" si="2191">IF($M$22=2,$B237,G$48)</f>
        <v>0.28399999999999997</v>
      </c>
      <c r="H237" s="197">
        <f t="shared" ref="H237:H242" si="2192">MAX($C$48+H$48-$C237,0)</f>
        <v>169.23611111111677</v>
      </c>
      <c r="I237" s="41">
        <f t="shared" ref="I237:I242" si="2193">H237/365</f>
        <v>0.46366057838662128</v>
      </c>
      <c r="J237" s="40">
        <f t="shared" ref="J237" ca="1" si="2194">LN($A237/F237)</f>
        <v>-3.6576803113219092E-2</v>
      </c>
      <c r="K237" s="40">
        <f t="shared" ref="K237" si="2195">($E237-$D237+POWER(G237,2)/2)*I237</f>
        <v>2.5189751902588361E-2</v>
      </c>
      <c r="L237" s="40">
        <f t="shared" ref="L237" si="2196">MAX(0,0.000000000001,G237*SQRT(I237))</f>
        <v>0.19338305926412305</v>
      </c>
      <c r="M237" s="42">
        <f t="shared" ref="M237" ca="1" si="2197">(J237+K237)/L237</f>
        <v>-5.8883395753287097E-2</v>
      </c>
      <c r="N237" s="42">
        <f t="shared" ref="N237" ca="1" si="2198">M237-L237</f>
        <v>-0.25226645501741013</v>
      </c>
      <c r="O237" s="42">
        <f t="shared" ref="O237" ca="1" si="2199">_xlfn.NORM.DIST(M237,0,1,TRUE)</f>
        <v>0.47652249168562527</v>
      </c>
      <c r="P237" s="42">
        <f t="shared" ref="P237" ca="1" si="2200">_xlfn.NORM.DIST(-M237,0,1,TRUE)</f>
        <v>0.52347750831437478</v>
      </c>
      <c r="Q237" s="42">
        <f t="shared" ref="Q237" ca="1" si="2201">_xlfn.NORM.DIST(N237,0,1,TRUE)</f>
        <v>0.40041755740724339</v>
      </c>
      <c r="R237" s="42">
        <f t="shared" ref="R237" ca="1" si="2202">_xlfn.NORM.DIST(-N237,0,1,TRUE)</f>
        <v>0.59958244259275661</v>
      </c>
      <c r="S237" s="42">
        <f t="shared" ref="S237" si="2203">EXP(-$E237*I237)</f>
        <v>0.98162450344672281</v>
      </c>
      <c r="T237" s="42">
        <f t="shared" ref="T237" si="2204">F237*S237</f>
        <v>73.621837758504213</v>
      </c>
      <c r="U237" s="42">
        <f t="shared" ref="U237" si="2205">EXP(-$D237*I237)</f>
        <v>0.98801719747153338</v>
      </c>
      <c r="V237" s="42">
        <f t="shared" ref="V237" ca="1" si="2206">$A237*U237</f>
        <v>71.439871323587766</v>
      </c>
      <c r="W237" s="42">
        <f t="shared" ref="W237" ca="1" si="2207">EXP(-1*POWER(M237,2)/2)/SQRT(2*PI())</f>
        <v>0.39825126239061648</v>
      </c>
      <c r="X237" s="42">
        <f t="shared" ref="X237" ca="1" si="2208">IF($F$8=1,0,IF($F$8=2,$A237,IF($F$8=3,V237*O237-T237*Q237,T237*R237-V237*P237)))</f>
        <v>6.7451954766403119</v>
      </c>
      <c r="Y237" s="42">
        <f t="shared" ref="Y237" ca="1" si="2209">IF($F$8=2,1,IF(OR($F$8=1,I237&lt;=0),0,IF($F$8=3,O237*U237,(O237-1)*U237)))</f>
        <v>-0.51720478070414988</v>
      </c>
      <c r="Z237" s="42">
        <f t="shared" ref="Z237" ca="1" si="2210">IF(OR($F$8&lt;=2,I237&lt;=0),0,W237*U237/($A237*L237))</f>
        <v>2.8140193479286358E-2</v>
      </c>
      <c r="AA237" s="42">
        <f t="shared" ref="AA237:AA242" ca="1" si="2211">IF(OR($F$8&lt;=2,I237&lt;=0),0,(IF($F$8=3,-1*$E237*F237*S237*Q237+$D237*$A237*U237*O237,$E237*F237*S237*R237-$D237*$A237*U237*P237)-(W237*$A237*G237*U237/(2*SQRT(I237))))/365)</f>
        <v>-1.4081622380729698E-2</v>
      </c>
      <c r="AB237" s="42">
        <f t="shared" ref="AB237" ca="1" si="2212">IF(OR($F$8&lt;=2,I237&lt;=0),0,(W237*$A237*U237*SQRT(I237))/100)</f>
        <v>0.19373046062427754</v>
      </c>
      <c r="AC237" s="42">
        <f t="shared" ref="AC237" ca="1" si="2213">IF(OR($F$8&lt;=2,I237&lt;=0),0,IF($F$8=3,Q237,-1*R237)*F237*I237*S237/100)</f>
        <v>-0.20467072777000311</v>
      </c>
      <c r="AD237" s="42">
        <f t="shared" ref="AD237" ca="1" si="2214">IF($F$8=1,0,IF($M$28=1,X237-$G$8,OFFSET(V237,0,$M$28))*IF($M$30=1,SIGN($B$8),$T$8))</f>
        <v>1572.5977383201559</v>
      </c>
      <c r="AF237" s="36">
        <f t="shared" ref="AF237:AF242" si="2215">AF$48</f>
        <v>80</v>
      </c>
      <c r="AG237" s="35">
        <f t="shared" ref="AG237:AG242" si="2216">IF($M$22=2,$B237,AG$48)</f>
        <v>0.28399999999999997</v>
      </c>
      <c r="AH237" s="197">
        <f t="shared" ref="AH237:AH242" si="2217">MAX($C$48+AH$48-$C237,0)</f>
        <v>169.23611111111677</v>
      </c>
      <c r="AI237" s="41">
        <f t="shared" ref="AI237:AI242" si="2218">AH237/365</f>
        <v>0.46366057838662128</v>
      </c>
      <c r="AJ237" s="40">
        <f t="shared" ref="AJ237" ca="1" si="2219">LN($A237/AF237)</f>
        <v>-0.10111532425079028</v>
      </c>
      <c r="AK237" s="40">
        <f t="shared" ref="AK237" si="2220">($E237-$D237+POWER(AG237,2)/2)*AI237</f>
        <v>2.5189751902588361E-2</v>
      </c>
      <c r="AL237" s="40">
        <f t="shared" ref="AL237" si="2221">MAX(0,0.000000000001,AG237*SQRT(AI237))</f>
        <v>0.19338305926412305</v>
      </c>
      <c r="AM237" s="42">
        <f t="shared" ref="AM237" ca="1" si="2222">(AJ237+AK237)/AL237</f>
        <v>-0.39261749523003764</v>
      </c>
      <c r="AN237" s="42">
        <f t="shared" ref="AN237" ca="1" si="2223">AM237-AL237</f>
        <v>-0.58600055449416066</v>
      </c>
      <c r="AO237" s="42">
        <f t="shared" ref="AO237" ca="1" si="2224">_xlfn.NORM.DIST(AM237,0,1,TRUE)</f>
        <v>0.34730100790675533</v>
      </c>
      <c r="AP237" s="42">
        <f t="shared" ref="AP237" ca="1" si="2225">_xlfn.NORM.DIST(-AM237,0,1,TRUE)</f>
        <v>0.65269899209324467</v>
      </c>
      <c r="AQ237" s="42">
        <f t="shared" ref="AQ237" ca="1" si="2226">_xlfn.NORM.DIST(AN237,0,1,TRUE)</f>
        <v>0.2789375711097638</v>
      </c>
      <c r="AR237" s="42">
        <f t="shared" ref="AR237" ca="1" si="2227">_xlfn.NORM.DIST(-AN237,0,1,TRUE)</f>
        <v>0.7210624288902362</v>
      </c>
      <c r="AS237" s="42">
        <f t="shared" ref="AS237" si="2228">EXP(-$E237*AI237)</f>
        <v>0.98162450344672281</v>
      </c>
      <c r="AT237" s="42">
        <f t="shared" ref="AT237" si="2229">AF237*AS237</f>
        <v>78.529960275737821</v>
      </c>
      <c r="AU237" s="42">
        <f t="shared" ref="AU237" si="2230">EXP(-$D237*AI237)</f>
        <v>0.98801719747153338</v>
      </c>
      <c r="AV237" s="42">
        <f t="shared" ref="AV237" ca="1" si="2231">$A237*AU237</f>
        <v>71.439871323587766</v>
      </c>
      <c r="AW237" s="42">
        <f t="shared" ref="AW237" ca="1" si="2232">EXP(-1*POWER(AM237,2)/2)/SQRT(2*PI())</f>
        <v>0.36934918485370938</v>
      </c>
      <c r="AX237" s="42">
        <f t="shared" ref="AX237" ca="1" si="2233">IF($F$10=1,0,IF($F$10=2,$A237,IF($F$10=3,AV237*AO237-AT237*AQ237,AT237*AR237-AV237*AP237)))</f>
        <v>9.996271888900452</v>
      </c>
      <c r="AY237" s="42">
        <f t="shared" ref="AY237" ca="1" si="2234">IF($F$10=2,1,IF(OR($F$10=1,AI237&lt;=0),0,IF($F$10=3,AO237*AU237,(AO237-1)*AU237)))</f>
        <v>-0.64487782896046209</v>
      </c>
      <c r="AZ237" s="42">
        <f t="shared" ref="AZ237" ca="1" si="2235">IF(OR($F$10&lt;=2,AI237&lt;=0),0,AW237*AU237/($A237*AL237))</f>
        <v>2.6097990150262922E-2</v>
      </c>
      <c r="BA237" s="42">
        <f t="shared" ref="BA237:BA242" ca="1" si="2236">IF(OR($F$10&lt;=2,AI237&lt;=0),0,(IF($F$10=3,-1*$E237*AF237*AS237*AQ237+$D237*$A237*AU237*AO237,$E237*AF237*AS237*AR237-$D237*$A237*AU237*AP237)-(AW237*$A237*AG237*AU237/(2*SQRT(AI237))))/365)</f>
        <v>-1.2191570113071037E-2</v>
      </c>
      <c r="BB237" s="42">
        <f t="shared" ref="BB237" ca="1" si="2237">IF(OR($F$10&lt;=2,AI237&lt;=0),0,(AW237*$A237*AU237*SQRT(AI237))/100)</f>
        <v>0.17967096270677507</v>
      </c>
      <c r="BC237" s="42">
        <f t="shared" ref="BC237" ca="1" si="2238">IF(OR($F$10&lt;=2,AI237&lt;=0),0,IF($F$10=3,AQ237,-1*AR237)*AF237*AI237*AS237/100)</f>
        <v>-0.26254782058063536</v>
      </c>
      <c r="BD237" s="42">
        <f t="shared" ref="BD237" ca="1" si="2239">IF($F$10=1,0,IF($M$28=1,AX237-$G$10,OFFSET(AV237,0,$M$28))*IF($M$30=1,SIGN($B$10),$T$10))</f>
        <v>-2173.1359444502259</v>
      </c>
      <c r="BE237" s="40"/>
      <c r="BF237" s="36">
        <f t="shared" ref="BF237:BF242" si="2240">BF$48</f>
        <v>90</v>
      </c>
      <c r="BG237" s="35">
        <f t="shared" ref="BG237:BG242" si="2241">IF($M$22=2,$B237,BG$48)</f>
        <v>0.28399999999999997</v>
      </c>
      <c r="BH237" s="197">
        <f t="shared" ref="BH237:BH242" si="2242">MAX($C$48+BH$48-$C237,0)</f>
        <v>169.23611111111677</v>
      </c>
      <c r="BI237" s="41">
        <f t="shared" ref="BI237:BI242" si="2243">BH237/365</f>
        <v>0.46366057838662128</v>
      </c>
      <c r="BJ237" s="40">
        <f t="shared" ref="BJ237" ca="1" si="2244">LN($A237/BF237)</f>
        <v>-0.21889835990717366</v>
      </c>
      <c r="BK237" s="40">
        <f t="shared" ref="BK237" si="2245">($E237-$D237+POWER(BG237,2)/2)*BI237</f>
        <v>2.5189751902588361E-2</v>
      </c>
      <c r="BL237" s="40">
        <f t="shared" ref="BL237" si="2246">MAX(0,0.000000000001,BG237*SQRT(BI237))</f>
        <v>0.19338305926412305</v>
      </c>
      <c r="BM237" s="42">
        <f t="shared" ref="BM237" ca="1" si="2247">(BJ237+BK237)/BL237</f>
        <v>-1.0016834398095729</v>
      </c>
      <c r="BN237" s="42">
        <f t="shared" ref="BN237" ca="1" si="2248">BM237-BL237</f>
        <v>-1.1950664990736959</v>
      </c>
      <c r="BO237" s="42">
        <f t="shared" ref="BO237" ca="1" si="2249">_xlfn.NORM.DIST(BM237,0,1,TRUE)</f>
        <v>0.15824825364972617</v>
      </c>
      <c r="BP237" s="42">
        <f t="shared" ref="BP237" ca="1" si="2250">_xlfn.NORM.DIST(-BM237,0,1,TRUE)</f>
        <v>0.84175174635027383</v>
      </c>
      <c r="BQ237" s="42">
        <f t="shared" ref="BQ237" ca="1" si="2251">_xlfn.NORM.DIST(BN237,0,1,TRUE)</f>
        <v>0.11603052483170746</v>
      </c>
      <c r="BR237" s="42">
        <f t="shared" ref="BR237" ca="1" si="2252">_xlfn.NORM.DIST(-BN237,0,1,TRUE)</f>
        <v>0.8839694751682925</v>
      </c>
      <c r="BS237" s="42">
        <f t="shared" ref="BS237" si="2253">EXP(-$E237*BI237)</f>
        <v>0.98162450344672281</v>
      </c>
      <c r="BT237" s="42">
        <f t="shared" ref="BT237" si="2254">BF237*BS237</f>
        <v>88.34620531020505</v>
      </c>
      <c r="BU237" s="42">
        <f t="shared" ref="BU237" si="2255">EXP(-$D237*BI237)</f>
        <v>0.98801719747153338</v>
      </c>
      <c r="BV237" s="42">
        <f t="shared" ref="BV237" ca="1" si="2256">$A237*BU237</f>
        <v>71.439871323587766</v>
      </c>
      <c r="BW237" s="42">
        <f t="shared" ref="BW237" ca="1" si="2257">EXP(-1*POWER(BM237,2)/2)/SQRT(2*PI())</f>
        <v>0.24156338175337391</v>
      </c>
      <c r="BX237" s="42">
        <f t="shared" ref="BX237" ca="1" si="2258">IF($F$12=1,0,IF($F$12=2,$A237,IF($F$12=3,BV237*BO237-BT237*BQ237,BT237*BR237-BV237*BP237)))</f>
        <v>1.0543783088860419</v>
      </c>
      <c r="BY237" s="42">
        <f t="shared" ref="BY237" ca="1" si="2259">IF($F$12=2,1,IF(OR($F$12=1,BI237&lt;=0),0,IF($F$12=3,BO237*BU237,(BO237-1)*BU237)))</f>
        <v>0.1563519960757668</v>
      </c>
      <c r="BZ237" s="42">
        <f t="shared" ref="BZ237" ca="1" si="2260">IF(OR($F$12&lt;=2,BI237&lt;=0),0,BW237*BU237/($A237*BL237))</f>
        <v>1.7068722542763291E-2</v>
      </c>
      <c r="CA237" s="42">
        <f t="shared" ref="CA237:CA242" ca="1" si="2261">IF(OR($F$12&lt;=2,BI237&lt;=0),0,(IF($F$12=3,-1*$E237*BF237*BS237*BQ237+$D237*$A237*BU237*BO237,$E237*BF237*BS237*BR237-$D237*$A237*BU237*BP237)-(BW237*$A237*BG237*BU237/(2*SQRT(BI237))))/365)</f>
        <v>-1.0177855627867232E-2</v>
      </c>
      <c r="CB237" s="42">
        <f t="shared" ref="CB237" ca="1" si="2262">IF(OR($F$12&lt;=2,BI237&lt;=0),0,(BW237*$A237*BU237*SQRT(BI237))/100)</f>
        <v>0.11750919491408492</v>
      </c>
      <c r="CC237" s="42">
        <f t="shared" ref="CC237" ca="1" si="2263">IF(OR($F$12&lt;=2,BI237&lt;=0),0,IF($F$12=3,BQ237,-1*BR237)*BF237*BI237*BS237/100)</f>
        <v>4.7529180857560777E-2</v>
      </c>
      <c r="CD237" s="42">
        <f t="shared" ref="CD237" ca="1" si="2264">IF($F$12=1,0,IF($M$28=1,BX237-$G$12,OFFSET(BV237,0,$M$28))*IF($M$30=1,SIGN($B$12),$T$12))</f>
        <v>2872.8108455569791</v>
      </c>
      <c r="CE237" s="40"/>
      <c r="CF237" s="36">
        <f t="shared" ref="CF237:CF242" si="2265">CF$48</f>
        <v>95</v>
      </c>
      <c r="CG237" s="35">
        <f t="shared" ref="CG237:CG242" si="2266">IF($M$22=2,$B237,CG$48)</f>
        <v>0.28399999999999997</v>
      </c>
      <c r="CH237" s="197">
        <f t="shared" ref="CH237:CH242" si="2267">MAX($C$48+CH$48-$C237,0)</f>
        <v>169.23611111111677</v>
      </c>
      <c r="CI237" s="41">
        <f t="shared" ref="CI237:CI242" si="2268">CH237/365</f>
        <v>0.46366057838662128</v>
      </c>
      <c r="CJ237" s="40">
        <f t="shared" ref="CJ237" ca="1" si="2269">LN($A237/CF237)</f>
        <v>-0.27296558117744946</v>
      </c>
      <c r="CK237" s="40">
        <f t="shared" ref="CK237" si="2270">($E237-$D237+POWER(CG237,2)/2)*CI237</f>
        <v>2.5189751902588361E-2</v>
      </c>
      <c r="CL237" s="40">
        <f t="shared" ref="CL237" si="2271">MAX(0,0.000000000001,CG237*SQRT(CI237))</f>
        <v>0.19338305926412305</v>
      </c>
      <c r="CM237" s="42">
        <f t="shared" ref="CM237" ca="1" si="2272">(CJ237+CK237)/CL237</f>
        <v>-1.2812695704459214</v>
      </c>
      <c r="CN237" s="42">
        <f t="shared" ref="CN237" ca="1" si="2273">CM237-CL237</f>
        <v>-1.4746526297100444</v>
      </c>
      <c r="CO237" s="42">
        <f t="shared" ref="CO237" ca="1" si="2274">_xlfn.NORM.DIST(CM237,0,1,TRUE)</f>
        <v>0.10004949861241957</v>
      </c>
      <c r="CP237" s="42">
        <f t="shared" ref="CP237" ca="1" si="2275">_xlfn.NORM.DIST(-CM237,0,1,TRUE)</f>
        <v>0.89995050138758037</v>
      </c>
      <c r="CQ237" s="42">
        <f t="shared" ref="CQ237" ca="1" si="2276">_xlfn.NORM.DIST(CN237,0,1,TRUE)</f>
        <v>7.015297882452709E-2</v>
      </c>
      <c r="CR237" s="42">
        <f t="shared" ref="CR237" ca="1" si="2277">_xlfn.NORM.DIST(-CN237,0,1,TRUE)</f>
        <v>0.92984702117547291</v>
      </c>
      <c r="CS237" s="42">
        <f t="shared" ref="CS237" si="2278">EXP(-$E237*CI237)</f>
        <v>0.98162450344672281</v>
      </c>
      <c r="CT237" s="42">
        <f t="shared" ref="CT237" si="2279">CF237*CS237</f>
        <v>93.254327827438672</v>
      </c>
      <c r="CU237" s="42">
        <f t="shared" ref="CU237" si="2280">EXP(-$D237*CI237)</f>
        <v>0.98801719747153338</v>
      </c>
      <c r="CV237" s="42">
        <f t="shared" ref="CV237" ca="1" si="2281">$A237*CU237</f>
        <v>71.439871323587766</v>
      </c>
      <c r="CW237" s="42">
        <f t="shared" ref="CW237" ca="1" si="2282">EXP(-1*POWER(CM237,2)/2)/SQRT(2*PI())</f>
        <v>0.17556175997712203</v>
      </c>
      <c r="CX237" s="42">
        <f t="shared" ref="CX237" ca="1" si="2283">IF($F$14=1,0,IF($F$14=2,$A237,IF($F$14=3,CV237*CO237-CT237*CQ237,CT237*CR237-CV237*CP237)))</f>
        <v>0.60545442148691464</v>
      </c>
      <c r="CY237" s="42">
        <f t="shared" ref="CY237" ca="1" si="2284">IF($F$14=2,1,IF(OR($F$14=1,CI237&lt;=0),0,IF($F$14=3,CO237*CU237,(CO237-1)*CU237)))</f>
        <v>9.8850625227474856E-2</v>
      </c>
      <c r="CZ237" s="42">
        <f t="shared" ref="CZ237" ca="1" si="2285">IF(OR($F$14&lt;=2,CI237&lt;=0),0,CW237*CU237/($A237*CL237))</f>
        <v>1.240508784244509E-2</v>
      </c>
      <c r="DA237" s="42">
        <f t="shared" ref="DA237:DA242" ca="1" si="2286">IF(OR($F$14&lt;=2,CI237&lt;=0),0,(IF($F$14=3,-1*$E237*CF237*CS237*CQ237+$D237*$A237*CU237*CO237,$E237*CF237*CS237*CR237-$D237*$A237*CU237*CP237)-(CW237*$A237*CG237*CU237/(2*SQRT(CI237))))/365)</f>
        <v>-7.3736218672427519E-3</v>
      </c>
      <c r="DB237" s="42">
        <f t="shared" ref="DB237" ca="1" si="2287">IF(OR($F$14&lt;=2,CI237&lt;=0),0,(CW237*$A237*CU237*SQRT(CI237))/100)</f>
        <v>8.5402518059106799E-2</v>
      </c>
      <c r="DC237" s="42">
        <f t="shared" ref="DC237" ca="1" si="2288">IF(OR($F$14&lt;=2,CI237&lt;=0),0,IF($F$14=3,CQ237,-1*CR237)*CF237*CI237*CS237/100)</f>
        <v>3.0332994432375405E-2</v>
      </c>
      <c r="DD237" s="42">
        <f t="shared" ref="DD237" ca="1" si="2289">IF($F$14=1,0,IF($M$28=1,CX237-$G$14,OFFSET(CV237,0,$M$28))*IF($M$30=1,SIGN($B$14),$T$14))</f>
        <v>-2272.2727892565426</v>
      </c>
      <c r="DE237" s="40"/>
      <c r="DF237" s="36">
        <f t="shared" ref="DF237:DF242" si="2290">DF$48</f>
        <v>200</v>
      </c>
      <c r="DG237" s="35">
        <f t="shared" ref="DG237:DG242" si="2291">IF($M$22=2,$B237,DG$48)</f>
        <v>0.28399999999999997</v>
      </c>
      <c r="DH237" s="197">
        <f t="shared" ref="DH237:DH242" si="2292">MAX($C$48+DH$48-$C237,0)</f>
        <v>169.23611111111677</v>
      </c>
      <c r="DI237" s="41">
        <f t="shared" ref="DI237:DI242" si="2293">DH237/365</f>
        <v>0.46366057838662128</v>
      </c>
      <c r="DJ237" s="40">
        <f t="shared" ref="DJ237" ca="1" si="2294">LN($A237/DF237)</f>
        <v>-1.0174060561249454</v>
      </c>
      <c r="DK237" s="40">
        <f t="shared" ref="DK237" si="2295">($E237-$D237+POWER(DG237,2)/2)*DI237</f>
        <v>2.5189751902588361E-2</v>
      </c>
      <c r="DL237" s="40">
        <f t="shared" ref="DL237" si="2296">MAX(0,0.000000000001,DG237*SQRT(DI237))</f>
        <v>0.19338305926412305</v>
      </c>
      <c r="DM237" s="42">
        <f t="shared" ref="DM237" ca="1" si="2297">(DJ237+DK237)/DL237</f>
        <v>-5.1308336314360696</v>
      </c>
      <c r="DN237" s="42">
        <f t="shared" ref="DN237" ca="1" si="2298">DM237-DL237</f>
        <v>-5.3242166907001929</v>
      </c>
      <c r="DO237" s="42">
        <f t="shared" ref="DO237" ca="1" si="2299">_xlfn.NORM.DIST(DM237,0,1,TRUE)</f>
        <v>1.4423089240079754E-7</v>
      </c>
      <c r="DP237" s="42">
        <f t="shared" ref="DP237" ca="1" si="2300">_xlfn.NORM.DIST(-DM237,0,1,TRUE)</f>
        <v>0.99999985576910755</v>
      </c>
      <c r="DQ237" s="42">
        <f t="shared" ref="DQ237" ca="1" si="2301">_xlfn.NORM.DIST(DN237,0,1,TRUE)</f>
        <v>5.0694493250880616E-8</v>
      </c>
      <c r="DR237" s="42">
        <f t="shared" ref="DR237" ca="1" si="2302">_xlfn.NORM.DIST(-DN237,0,1,TRUE)</f>
        <v>0.99999994930550673</v>
      </c>
      <c r="DS237" s="42">
        <f t="shared" ref="DS237" si="2303">EXP(-$E237*DI237)</f>
        <v>0.98162450344672281</v>
      </c>
      <c r="DT237" s="42">
        <f t="shared" ref="DT237" si="2304">DF237*DS237</f>
        <v>196.32490068934456</v>
      </c>
      <c r="DU237" s="42">
        <f t="shared" ref="DU237" si="2305">EXP(-$D237*DI237)</f>
        <v>0.98801719747153338</v>
      </c>
      <c r="DV237" s="42">
        <f t="shared" ref="DV237" ca="1" si="2306">$A237*DU237</f>
        <v>71.439871323587766</v>
      </c>
      <c r="DW237" s="42">
        <f t="shared" ref="DW237" ca="1" si="2307">EXP(-1*POWER(DM237,2)/2)/SQRT(2*PI())</f>
        <v>7.6632045207481497E-7</v>
      </c>
      <c r="DX237" s="42">
        <f t="shared" ref="DX237" si="2308">IF($F$16=1,0,IF($F$16=2,$A237,IF($F$16=3,DV237*DO237-DT237*DQ237,DT237*DR237-DV237*DP237)))</f>
        <v>0</v>
      </c>
      <c r="DY237" s="92">
        <f t="shared" ref="DY237" si="2309">IF($F$16=2,1,IF(OR($F$16=1,DI237&lt;=0),0,IF($F$16=3,DO237*DU237,(DO237-1)*DU237)))</f>
        <v>0</v>
      </c>
      <c r="DZ237" s="42">
        <f t="shared" ref="DZ237" si="2310">IF(OR($F$16&lt;=2,DI237&lt;=0),0,DW237*DU237/($A237*DL237))</f>
        <v>0</v>
      </c>
      <c r="EA237" s="42">
        <f t="shared" ref="EA237:EA242" si="2311">IF(OR($F$16&lt;=2,DI237&lt;=0),0,(IF($F$16=3,-1*$E237*DF237*DS237*DQ237+$D237*$A237*DU237*DO237,$E237*DF237*DS237*DR237-$D237*$A237*DU237*DP237)-(DW237*$A237*DG237*DU237/(2*SQRT(DI237))))/365)</f>
        <v>0</v>
      </c>
      <c r="EB237" s="42">
        <f t="shared" ref="EB237" si="2312">IF(OR($F$16&lt;=2,DI237&lt;=0),0,(DW237*$A237*DU237*SQRT(DI237))/100)</f>
        <v>0</v>
      </c>
      <c r="EC237" s="42">
        <f t="shared" ref="EC237" si="2313">IF(OR($F$16&lt;=2,DI237&lt;=0),0,IF($F$16=3,DQ237,-1*DR237)*DF237*DI237*DS237/100)</f>
        <v>0</v>
      </c>
      <c r="ED237" s="42">
        <f t="shared" ref="ED237" ca="1" si="2314">IF($F$16=1,0,IF($M$28=1,DX237-$G$16,OFFSET(DV237,0,$M$28))*IF($M$30=1,SIGN($B$16),$T$16))</f>
        <v>0</v>
      </c>
      <c r="EE237" s="40"/>
      <c r="EF237" s="120">
        <f t="shared" ref="EF237:EF242" ca="1" si="2315">OFFSET($A237,0,$M$22-1)</f>
        <v>72.306303479748976</v>
      </c>
      <c r="EG237" s="42">
        <f t="shared" ref="EG237" ca="1" si="2316">AD237+BD237+CD237+DD237+ED237</f>
        <v>-1.4982963330112398E-4</v>
      </c>
      <c r="EH237" s="36">
        <f t="shared" ref="EH237" ca="1" si="2317">IF($M$26=1,EG237,OFFSET($AD237,0,$M$26*26-52))</f>
        <v>-1.4982963330112398E-4</v>
      </c>
      <c r="EI237" s="143">
        <f t="shared" ca="1" si="2081"/>
        <v>0</v>
      </c>
    </row>
    <row r="238" spans="1:142" x14ac:dyDescent="0.3">
      <c r="A238" s="151">
        <f ca="1">IF($M$22=1,$V$166,A$48)</f>
        <v>85.674999999999997</v>
      </c>
      <c r="B238" s="164">
        <f>IF($M$22=2,$V$166,B$48)</f>
        <v>0.28399999999999997</v>
      </c>
      <c r="C238" s="165">
        <f>IF($M$22=3,$V$166,C$48)</f>
        <v>45295.440972222219</v>
      </c>
      <c r="D238" s="164">
        <f>IF($M$22=4,$V$166,D$48)</f>
        <v>2.5999999999999999E-2</v>
      </c>
      <c r="E238" s="164">
        <f>IF($M$22=5,$V$166,E$48)</f>
        <v>0.04</v>
      </c>
      <c r="F238" s="36">
        <f t="shared" si="2190"/>
        <v>75</v>
      </c>
      <c r="G238" s="35">
        <f t="shared" si="2191"/>
        <v>0.28399999999999997</v>
      </c>
      <c r="H238" s="197">
        <f t="shared" si="2192"/>
        <v>169.23611111111677</v>
      </c>
      <c r="I238" s="41">
        <f t="shared" si="2193"/>
        <v>0.46366057838662128</v>
      </c>
      <c r="J238" s="40">
        <f t="shared" ref="J238:J242" ca="1" si="2318">LN($A238/F238)</f>
        <v>0.13307295422436197</v>
      </c>
      <c r="K238" s="40">
        <f t="shared" ref="K238:K242" si="2319">($E238-$D238+POWER(G238,2)/2)*I238</f>
        <v>2.5189751902588361E-2</v>
      </c>
      <c r="L238" s="40">
        <f t="shared" ref="L238:L242" si="2320">MAX(0,0.000000000001,G238*SQRT(I238))</f>
        <v>0.19338305926412305</v>
      </c>
      <c r="M238" s="42">
        <f t="shared" ref="M238:M242" ca="1" si="2321">(J238+K238)/L238</f>
        <v>0.81838971174199249</v>
      </c>
      <c r="N238" s="42">
        <f t="shared" ref="N238:N242" ca="1" si="2322">M238-L238</f>
        <v>0.62500665247786946</v>
      </c>
      <c r="O238" s="42">
        <f t="shared" ref="O238:O242" ca="1" si="2323">_xlfn.NORM.DIST(M238,0,1,TRUE)</f>
        <v>0.79343265274413488</v>
      </c>
      <c r="P238" s="42">
        <f t="shared" ref="P238:P242" ca="1" si="2324">_xlfn.NORM.DIST(-M238,0,1,TRUE)</f>
        <v>0.20656734725586512</v>
      </c>
      <c r="Q238" s="42">
        <f t="shared" ref="Q238:Q242" ca="1" si="2325">_xlfn.NORM.DIST(N238,0,1,TRUE)</f>
        <v>0.734016654030342</v>
      </c>
      <c r="R238" s="42">
        <f t="shared" ref="R238:R242" ca="1" si="2326">_xlfn.NORM.DIST(-N238,0,1,TRUE)</f>
        <v>0.265983345969658</v>
      </c>
      <c r="S238" s="42">
        <f t="shared" ref="S238:S242" si="2327">EXP(-$E238*I238)</f>
        <v>0.98162450344672281</v>
      </c>
      <c r="T238" s="42">
        <f t="shared" ref="T238:T242" si="2328">F238*S238</f>
        <v>73.621837758504213</v>
      </c>
      <c r="U238" s="42">
        <f t="shared" ref="U238:U242" si="2329">EXP(-$D238*I238)</f>
        <v>0.98801719747153338</v>
      </c>
      <c r="V238" s="42">
        <f t="shared" ref="V238:V242" ca="1" si="2330">$A238*U238</f>
        <v>84.648373393373618</v>
      </c>
      <c r="W238" s="42">
        <f t="shared" ref="W238:W242" ca="1" si="2331">EXP(-1*POWER(M238,2)/2)/SQRT(2*PI())</f>
        <v>0.28541260941954555</v>
      </c>
      <c r="X238" s="42">
        <f t="shared" ref="X238:X242" ca="1" si="2332">IF($F$8=1,0,IF($F$8=2,$A238,IF($F$8=3,V238*O238-T238*Q238,T238*R238-V238*P238)))</f>
        <v>2.0965928020491162</v>
      </c>
      <c r="Y238" s="42">
        <f t="shared" ref="Y238:Y242" ca="1" si="2333">IF($F$8=2,1,IF(OR($F$8=1,I238&lt;=0),0,IF($F$8=3,O238*U238,(O238-1)*U238)))</f>
        <v>-0.2040920915248689</v>
      </c>
      <c r="Z238" s="42">
        <f t="shared" ref="Z238:Z242" ca="1" si="2334">IF(OR($F$8&lt;=2,I238&lt;=0),0,W238*U238/($A238*L238))</f>
        <v>1.7020218091957997E-2</v>
      </c>
      <c r="AA238" s="42">
        <f t="shared" ca="1" si="2211"/>
        <v>-1.2902991000604288E-2</v>
      </c>
      <c r="AB238" s="42">
        <f t="shared" ref="AB238:AB242" ca="1" si="2335">IF(OR($F$8&lt;=2,I238&lt;=0),0,(W238*$A238*U238*SQRT(I238))/100)</f>
        <v>0.16450983227695684</v>
      </c>
      <c r="AC238" s="42">
        <f t="shared" ref="AC238:AC242" ca="1" si="2336">IF(OR($F$8&lt;=2,I238&lt;=0),0,IF($F$8=3,Q238,-1*R238)*F238*I238*S238/100)</f>
        <v>-9.0794861768969518E-2</v>
      </c>
      <c r="AD238" s="42">
        <f t="shared" ref="AD238:AD242" ca="1" si="2337">IF($F$8=1,0,IF($M$28=1,X238-$G$8,OFFSET(V238,0,$M$28))*IF($M$30=1,SIGN($B$8),$T$8))</f>
        <v>-751.70359897544188</v>
      </c>
      <c r="AF238" s="36">
        <f t="shared" si="2215"/>
        <v>80</v>
      </c>
      <c r="AG238" s="35">
        <f t="shared" si="2216"/>
        <v>0.28399999999999997</v>
      </c>
      <c r="AH238" s="197">
        <f t="shared" si="2217"/>
        <v>169.23611111111677</v>
      </c>
      <c r="AI238" s="41">
        <f t="shared" si="2218"/>
        <v>0.46366057838662128</v>
      </c>
      <c r="AJ238" s="40">
        <f t="shared" ref="AJ238:AJ242" ca="1" si="2338">LN($A238/AF238)</f>
        <v>6.8534433086790802E-2</v>
      </c>
      <c r="AK238" s="40">
        <f t="shared" ref="AK238:AK242" si="2339">($E238-$D238+POWER(AG238,2)/2)*AI238</f>
        <v>2.5189751902588361E-2</v>
      </c>
      <c r="AL238" s="40">
        <f t="shared" ref="AL238:AL242" si="2340">MAX(0,0.000000000001,AG238*SQRT(AI238))</f>
        <v>0.19338305926412305</v>
      </c>
      <c r="AM238" s="42">
        <f t="shared" ref="AM238:AM242" ca="1" si="2341">(AJ238+AK238)/AL238</f>
        <v>0.48465561226524212</v>
      </c>
      <c r="AN238" s="42">
        <f t="shared" ref="AN238:AN242" ca="1" si="2342">AM238-AL238</f>
        <v>0.29127255300111909</v>
      </c>
      <c r="AO238" s="42">
        <f t="shared" ref="AO238:AO242" ca="1" si="2343">_xlfn.NORM.DIST(AM238,0,1,TRUE)</f>
        <v>0.68603967103489327</v>
      </c>
      <c r="AP238" s="42">
        <f t="shared" ref="AP238:AP242" ca="1" si="2344">_xlfn.NORM.DIST(-AM238,0,1,TRUE)</f>
        <v>0.31396032896510673</v>
      </c>
      <c r="AQ238" s="42">
        <f t="shared" ref="AQ238:AQ242" ca="1" si="2345">_xlfn.NORM.DIST(AN238,0,1,TRUE)</f>
        <v>0.61457856132454958</v>
      </c>
      <c r="AR238" s="42">
        <f t="shared" ref="AR238:AR242" ca="1" si="2346">_xlfn.NORM.DIST(-AN238,0,1,TRUE)</f>
        <v>0.38542143867545048</v>
      </c>
      <c r="AS238" s="42">
        <f t="shared" ref="AS238:AS242" si="2347">EXP(-$E238*AI238)</f>
        <v>0.98162450344672281</v>
      </c>
      <c r="AT238" s="42">
        <f t="shared" ref="AT238:AT242" si="2348">AF238*AS238</f>
        <v>78.529960275737821</v>
      </c>
      <c r="AU238" s="42">
        <f t="shared" ref="AU238:AU242" si="2349">EXP(-$D238*AI238)</f>
        <v>0.98801719747153338</v>
      </c>
      <c r="AV238" s="42">
        <f t="shared" ref="AV238:AV242" ca="1" si="2350">$A238*AU238</f>
        <v>84.648373393373618</v>
      </c>
      <c r="AW238" s="42">
        <f t="shared" ref="AW238:AW242" ca="1" si="2351">EXP(-1*POWER(AM238,2)/2)/SQRT(2*PI())</f>
        <v>0.35473506480273859</v>
      </c>
      <c r="AX238" s="42">
        <f t="shared" ref="AX238:AX242" ca="1" si="2352">IF($F$10=1,0,IF($F$10=2,$A238,IF($F$10=3,AV238*AO238-AT238*AQ238,AT238*AR238-AV238*AP238)))</f>
        <v>3.6908991116560799</v>
      </c>
      <c r="AY238" s="42">
        <f t="shared" ref="AY238:AY242" ca="1" si="2353">IF($F$10=2,1,IF(OR($F$10=1,AI238&lt;=0),0,IF($F$10=3,AO238*AU238,(AO238-1)*AU238)))</f>
        <v>-0.31019820434134543</v>
      </c>
      <c r="AZ238" s="42">
        <f t="shared" ref="AZ238:AZ242" ca="1" si="2354">IF(OR($F$10&lt;=2,AI238&lt;=0),0,AW238*AU238/($A238*AL238))</f>
        <v>2.1154174582848666E-2</v>
      </c>
      <c r="BA238" s="42">
        <f t="shared" ca="1" si="2236"/>
        <v>-1.573223828789547E-2</v>
      </c>
      <c r="BB238" s="42">
        <f t="shared" ref="BB238:BB242" ca="1" si="2355">IF(OR($F$10&lt;=2,AI238&lt;=0),0,(AW238*$A238*AU238*SQRT(AI238))/100)</f>
        <v>0.20446681081167931</v>
      </c>
      <c r="BC238" s="42">
        <f t="shared" ref="BC238:BC242" ca="1" si="2356">IF(OR($F$10&lt;=2,AI238&lt;=0),0,IF($F$10=3,AQ238,-1*AR238)*AF238*AI238*AS238/100)</f>
        <v>-0.1403367512644268</v>
      </c>
      <c r="BD238" s="42">
        <f t="shared" ref="BD238:BD242" ca="1" si="2357">IF($F$10=1,0,IF($M$28=1,AX238-$G$10,OFFSET(AV238,0,$M$28))*IF($M$30=1,SIGN($B$10),$T$10))</f>
        <v>979.55044417196029</v>
      </c>
      <c r="BE238" s="40"/>
      <c r="BF238" s="36">
        <f t="shared" si="2240"/>
        <v>90</v>
      </c>
      <c r="BG238" s="35">
        <f t="shared" si="2241"/>
        <v>0.28399999999999997</v>
      </c>
      <c r="BH238" s="197">
        <f t="shared" si="2242"/>
        <v>169.23611111111677</v>
      </c>
      <c r="BI238" s="41">
        <f t="shared" si="2243"/>
        <v>0.46366057838662128</v>
      </c>
      <c r="BJ238" s="40">
        <f t="shared" ref="BJ238:BJ242" ca="1" si="2358">LN($A238/BF238)</f>
        <v>-4.9248602569592619E-2</v>
      </c>
      <c r="BK238" s="40">
        <f t="shared" ref="BK238:BK242" si="2359">($E238-$D238+POWER(BG238,2)/2)*BI238</f>
        <v>2.5189751902588361E-2</v>
      </c>
      <c r="BL238" s="40">
        <f t="shared" ref="BL238:BL242" si="2360">MAX(0,0.000000000001,BG238*SQRT(BI238))</f>
        <v>0.19338305926412305</v>
      </c>
      <c r="BM238" s="42">
        <f t="shared" ref="BM238:BM242" ca="1" si="2361">(BJ238+BK238)/BL238</f>
        <v>-0.12441033231429346</v>
      </c>
      <c r="BN238" s="42">
        <f t="shared" ref="BN238:BN242" ca="1" si="2362">BM238-BL238</f>
        <v>-0.31779339157841652</v>
      </c>
      <c r="BO238" s="42">
        <f t="shared" ref="BO238:BO242" ca="1" si="2363">_xlfn.NORM.DIST(BM238,0,1,TRUE)</f>
        <v>0.45049519645159242</v>
      </c>
      <c r="BP238" s="42">
        <f t="shared" ref="BP238:BP242" ca="1" si="2364">_xlfn.NORM.DIST(-BM238,0,1,TRUE)</f>
        <v>0.54950480354840758</v>
      </c>
      <c r="BQ238" s="42">
        <f t="shared" ref="BQ238:BQ242" ca="1" si="2365">_xlfn.NORM.DIST(BN238,0,1,TRUE)</f>
        <v>0.37532083190541099</v>
      </c>
      <c r="BR238" s="42">
        <f t="shared" ref="BR238:BR242" ca="1" si="2366">_xlfn.NORM.DIST(-BN238,0,1,TRUE)</f>
        <v>0.62467916809458901</v>
      </c>
      <c r="BS238" s="42">
        <f t="shared" ref="BS238:BS242" si="2367">EXP(-$E238*BI238)</f>
        <v>0.98162450344672281</v>
      </c>
      <c r="BT238" s="42">
        <f t="shared" ref="BT238:BT242" si="2368">BF238*BS238</f>
        <v>88.34620531020505</v>
      </c>
      <c r="BU238" s="42">
        <f t="shared" ref="BU238:BU242" si="2369">EXP(-$D238*BI238)</f>
        <v>0.98801719747153338</v>
      </c>
      <c r="BV238" s="42">
        <f t="shared" ref="BV238:BV242" ca="1" si="2370">$A238*BU238</f>
        <v>84.648373393373618</v>
      </c>
      <c r="BW238" s="42">
        <f t="shared" ref="BW238:BW242" ca="1" si="2371">EXP(-1*POWER(BM238,2)/2)/SQRT(2*PI())</f>
        <v>0.39586679578362571</v>
      </c>
      <c r="BX238" s="42">
        <f t="shared" ref="BX238:BX242" ca="1" si="2372">IF($F$12=1,0,IF($F$12=2,$A238,IF($F$12=3,BV238*BO238-BT238*BQ238,BT238*BR238-BV238*BP238)))</f>
        <v>4.9755143284432037</v>
      </c>
      <c r="BY238" s="42">
        <f t="shared" ref="BY238:BY242" ca="1" si="2373">IF($F$12=2,1,IF(OR($F$12=1,BI238&lt;=0),0,IF($F$12=3,BO238*BU238,(BO238-1)*BU238)))</f>
        <v>0.44509700147249021</v>
      </c>
      <c r="BZ238" s="42">
        <f t="shared" ref="BZ238:BZ242" ca="1" si="2374">IF(OR($F$12&lt;=2,BI238&lt;=0),0,BW238*BU238/($A238*BL238))</f>
        <v>2.3607013065416783E-2</v>
      </c>
      <c r="CA238" s="42">
        <f t="shared" ca="1" si="2261"/>
        <v>-2.0062740211609663E-2</v>
      </c>
      <c r="CB238" s="42">
        <f t="shared" ref="CB238:CB242" ca="1" si="2375">IF(OR($F$12&lt;=2,BI238&lt;=0),0,(BW238*$A238*BU238*SQRT(BI238))/100)</f>
        <v>0.22817485292897779</v>
      </c>
      <c r="CC238" s="42">
        <f t="shared" ref="CC238:CC242" ca="1" si="2376">IF(OR($F$12&lt;=2,BI238&lt;=0),0,IF($F$12=3,BQ238,-1*BR238)*BF238*BI238*BS238/100)</f>
        <v>0.15374136870548483</v>
      </c>
      <c r="CD238" s="42">
        <f t="shared" ref="CD238:CD242" ca="1" si="2377">IF($F$12=1,0,IF($M$28=1,BX238-$G$12,OFFSET(BV238,0,$M$28))*IF($M$30=1,SIGN($B$12),$T$12))</f>
        <v>912.24283577839799</v>
      </c>
      <c r="CE238" s="40"/>
      <c r="CF238" s="36">
        <f t="shared" si="2265"/>
        <v>95</v>
      </c>
      <c r="CG238" s="35">
        <f t="shared" si="2266"/>
        <v>0.28399999999999997</v>
      </c>
      <c r="CH238" s="197">
        <f t="shared" si="2267"/>
        <v>169.23611111111677</v>
      </c>
      <c r="CI238" s="41">
        <f t="shared" si="2268"/>
        <v>0.46366057838662128</v>
      </c>
      <c r="CJ238" s="40">
        <f t="shared" ref="CJ238:CJ242" ca="1" si="2378">LN($A238/CF238)</f>
        <v>-0.10331582383986831</v>
      </c>
      <c r="CK238" s="40">
        <f t="shared" ref="CK238:CK242" si="2379">($E238-$D238+POWER(CG238,2)/2)*CI238</f>
        <v>2.5189751902588361E-2</v>
      </c>
      <c r="CL238" s="40">
        <f t="shared" ref="CL238:CL242" si="2380">MAX(0,0.000000000001,CG238*SQRT(CI238))</f>
        <v>0.19338305926412305</v>
      </c>
      <c r="CM238" s="42">
        <f t="shared" ref="CM238:CM242" ca="1" si="2381">(CJ238+CK238)/CL238</f>
        <v>-0.40399646295064129</v>
      </c>
      <c r="CN238" s="42">
        <f t="shared" ref="CN238:CN242" ca="1" si="2382">CM238-CL238</f>
        <v>-0.59737952221476431</v>
      </c>
      <c r="CO238" s="42">
        <f t="shared" ref="CO238:CO242" ca="1" si="2383">_xlfn.NORM.DIST(CM238,0,1,TRUE)</f>
        <v>0.34310766008585469</v>
      </c>
      <c r="CP238" s="42">
        <f t="shared" ref="CP238:CP242" ca="1" si="2384">_xlfn.NORM.DIST(-CM238,0,1,TRUE)</f>
        <v>0.65689233991414531</v>
      </c>
      <c r="CQ238" s="42">
        <f t="shared" ref="CQ238:CQ242" ca="1" si="2385">_xlfn.NORM.DIST(CN238,0,1,TRUE)</f>
        <v>0.27512701124520039</v>
      </c>
      <c r="CR238" s="42">
        <f t="shared" ref="CR238:CR242" ca="1" si="2386">_xlfn.NORM.DIST(-CN238,0,1,TRUE)</f>
        <v>0.72487298875479955</v>
      </c>
      <c r="CS238" s="42">
        <f t="shared" ref="CS238:CS242" si="2387">EXP(-$E238*CI238)</f>
        <v>0.98162450344672281</v>
      </c>
      <c r="CT238" s="42">
        <f t="shared" ref="CT238:CT242" si="2388">CF238*CS238</f>
        <v>93.254327827438672</v>
      </c>
      <c r="CU238" s="42">
        <f t="shared" ref="CU238:CU242" si="2389">EXP(-$D238*CI238)</f>
        <v>0.98801719747153338</v>
      </c>
      <c r="CV238" s="42">
        <f t="shared" ref="CV238:CV242" ca="1" si="2390">$A238*CU238</f>
        <v>84.648373393373618</v>
      </c>
      <c r="CW238" s="42">
        <f t="shared" ref="CW238:CW242" ca="1" si="2391">EXP(-1*POWER(CM238,2)/2)/SQRT(2*PI())</f>
        <v>0.36767896317282006</v>
      </c>
      <c r="CX238" s="42">
        <f t="shared" ref="CX238:CX242" ca="1" si="2392">IF($F$14=1,0,IF($F$14=2,$A238,IF($F$14=3,CV238*CO238-CT238*CQ238,CT238*CR238-CV238*CP238)))</f>
        <v>3.3867208242308209</v>
      </c>
      <c r="CY238" s="42">
        <f t="shared" ref="CY238:CY242" ca="1" si="2393">IF($F$14=2,1,IF(OR($F$14=1,CI238&lt;=0),0,IF($F$14=3,CO238*CU238,(CO238-1)*CU238)))</f>
        <v>0.33899626874904165</v>
      </c>
      <c r="CZ238" s="42">
        <f t="shared" ref="CZ238:CZ242" ca="1" si="2394">IF(OR($F$14&lt;=2,CI238&lt;=0),0,CW238*CU238/($A238*CL238))</f>
        <v>2.1926067505403751E-2</v>
      </c>
      <c r="DA238" s="42">
        <f t="shared" ca="1" si="2286"/>
        <v>-1.8524939528541947E-2</v>
      </c>
      <c r="DB238" s="42">
        <f t="shared" ref="DB238:DB242" ca="1" si="2395">IF(OR($F$14&lt;=2,CI238&lt;=0),0,(CW238*$A238*CU238*SQRT(CI238))/100)</f>
        <v>0.21192758331995329</v>
      </c>
      <c r="DC238" s="42">
        <f t="shared" ref="DC238:DC242" ca="1" si="2396">IF(OR($F$14&lt;=2,CI238&lt;=0),0,IF($F$14=3,CQ238,-1*CR238)*CF238*CI238*CS238/100)</f>
        <v>0.11896039541201915</v>
      </c>
      <c r="DD238" s="42">
        <f t="shared" ref="DD238:DD242" ca="1" si="2397">IF($F$14=1,0,IF($M$28=1,CX238-$G$14,OFFSET(CV238,0,$M$28))*IF($M$30=1,SIGN($B$14),$T$14))</f>
        <v>-881.63958788458979</v>
      </c>
      <c r="DE238" s="40"/>
      <c r="DF238" s="36">
        <f t="shared" si="2290"/>
        <v>200</v>
      </c>
      <c r="DG238" s="35">
        <f t="shared" si="2291"/>
        <v>0.28399999999999997</v>
      </c>
      <c r="DH238" s="197">
        <f t="shared" si="2292"/>
        <v>169.23611111111677</v>
      </c>
      <c r="DI238" s="41">
        <f t="shared" si="2293"/>
        <v>0.46366057838662128</v>
      </c>
      <c r="DJ238" s="40">
        <f t="shared" ref="DJ238:DJ242" ca="1" si="2398">LN($A238/DF238)</f>
        <v>-0.84775629878736414</v>
      </c>
      <c r="DK238" s="40">
        <f t="shared" ref="DK238:DK242" si="2399">($E238-$D238+POWER(DG238,2)/2)*DI238</f>
        <v>2.5189751902588361E-2</v>
      </c>
      <c r="DL238" s="40">
        <f t="shared" ref="DL238:DL242" si="2400">MAX(0,0.000000000001,DG238*SQRT(DI238))</f>
        <v>0.19338305926412305</v>
      </c>
      <c r="DM238" s="42">
        <f t="shared" ref="DM238:DM242" ca="1" si="2401">(DJ238+DK238)/DL238</f>
        <v>-4.2535605239407888</v>
      </c>
      <c r="DN238" s="42">
        <f t="shared" ref="DN238:DN242" ca="1" si="2402">DM238-DL238</f>
        <v>-4.446943583204912</v>
      </c>
      <c r="DO238" s="42">
        <f t="shared" ref="DO238:DO242" ca="1" si="2403">_xlfn.NORM.DIST(DM238,0,1,TRUE)</f>
        <v>1.051990183029303E-5</v>
      </c>
      <c r="DP238" s="42">
        <f t="shared" ref="DP238:DP242" ca="1" si="2404">_xlfn.NORM.DIST(-DM238,0,1,TRUE)</f>
        <v>0.99998948009816968</v>
      </c>
      <c r="DQ238" s="42">
        <f t="shared" ref="DQ238:DQ242" ca="1" si="2405">_xlfn.NORM.DIST(DN238,0,1,TRUE)</f>
        <v>4.3550350618199057E-6</v>
      </c>
      <c r="DR238" s="42">
        <f t="shared" ref="DR238:DR242" ca="1" si="2406">_xlfn.NORM.DIST(-DN238,0,1,TRUE)</f>
        <v>0.9999956449649382</v>
      </c>
      <c r="DS238" s="42">
        <f t="shared" ref="DS238:DS242" si="2407">EXP(-$E238*DI238)</f>
        <v>0.98162450344672281</v>
      </c>
      <c r="DT238" s="42">
        <f t="shared" ref="DT238:DT242" si="2408">DF238*DS238</f>
        <v>196.32490068934456</v>
      </c>
      <c r="DU238" s="42">
        <f t="shared" ref="DU238:DU242" si="2409">EXP(-$D238*DI238)</f>
        <v>0.98801719747153338</v>
      </c>
      <c r="DV238" s="42">
        <f t="shared" ref="DV238:DV242" ca="1" si="2410">$A238*DU238</f>
        <v>84.648373393373618</v>
      </c>
      <c r="DW238" s="42">
        <f t="shared" ref="DW238:DW242" ca="1" si="2411">EXP(-1*POWER(DM238,2)/2)/SQRT(2*PI())</f>
        <v>4.7001685339099727E-5</v>
      </c>
      <c r="DX238" s="42">
        <f t="shared" ref="DX238:DX242" si="2412">IF($F$16=1,0,IF($F$16=2,$A238,IF($F$16=3,DV238*DO238-DT238*DQ238,DT238*DR238-DV238*DP238)))</f>
        <v>0</v>
      </c>
      <c r="DY238" s="92">
        <f t="shared" ref="DY238:DY242" si="2413">IF($F$16=2,1,IF(OR($F$16=1,DI238&lt;=0),0,IF($F$16=3,DO238*DU238,(DO238-1)*DU238)))</f>
        <v>0</v>
      </c>
      <c r="DZ238" s="42">
        <f t="shared" ref="DZ238:DZ242" si="2414">IF(OR($F$16&lt;=2,DI238&lt;=0),0,DW238*DU238/($A238*DL238))</f>
        <v>0</v>
      </c>
      <c r="EA238" s="42">
        <f t="shared" si="2311"/>
        <v>0</v>
      </c>
      <c r="EB238" s="42">
        <f t="shared" ref="EB238:EB242" si="2415">IF(OR($F$16&lt;=2,DI238&lt;=0),0,(DW238*$A238*DU238*SQRT(DI238))/100)</f>
        <v>0</v>
      </c>
      <c r="EC238" s="42">
        <f t="shared" ref="EC238:EC242" si="2416">IF(OR($F$16&lt;=2,DI238&lt;=0),0,IF($F$16=3,DQ238,-1*DR238)*DF238*DI238*DS238/100)</f>
        <v>0</v>
      </c>
      <c r="ED238" s="42">
        <f t="shared" ref="ED238:ED242" ca="1" si="2417">IF($F$16=1,0,IF($M$28=1,DX238-$G$16,OFFSET(DV238,0,$M$28))*IF($M$30=1,SIGN($B$16),$T$16))</f>
        <v>0</v>
      </c>
      <c r="EE238" s="40"/>
      <c r="EF238" s="120">
        <f t="shared" ca="1" si="2315"/>
        <v>85.674999999999997</v>
      </c>
      <c r="EG238" s="42">
        <f t="shared" ref="EG238:EG242" ca="1" si="2418">AD238+BD238+CD238+DD238+ED238</f>
        <v>258.45009309032673</v>
      </c>
      <c r="EH238" s="36">
        <f t="shared" ref="EH238:EH242" ca="1" si="2419">IF($M$26=1,EG238,OFFSET($AD238,0,$M$26*26-52))</f>
        <v>258.45009309032673</v>
      </c>
      <c r="EI238" s="143">
        <f t="shared" ref="EI238:EI242" ca="1" si="2420">ROUND(EH238,EI$49)</f>
        <v>258.45</v>
      </c>
    </row>
    <row r="239" spans="1:142" x14ac:dyDescent="0.3">
      <c r="A239" s="151">
        <f ca="1">IF($M$22=1,$V$180,A$48)</f>
        <v>101.51447999999999</v>
      </c>
      <c r="B239" s="164">
        <f>IF($M$22=2,$V$180,B$48)</f>
        <v>0.28399999999999997</v>
      </c>
      <c r="C239" s="165">
        <f>IF($M$22=3,$V$180,C$48)</f>
        <v>45295.440972222219</v>
      </c>
      <c r="D239" s="164">
        <f>IF($M$22=4,$V$180,D$48)</f>
        <v>2.5999999999999999E-2</v>
      </c>
      <c r="E239" s="164">
        <f>IF($M$22=5,$V$180,E$48)</f>
        <v>0.04</v>
      </c>
      <c r="F239" s="36">
        <f t="shared" si="2190"/>
        <v>75</v>
      </c>
      <c r="G239" s="35">
        <f t="shared" si="2191"/>
        <v>0.28399999999999997</v>
      </c>
      <c r="H239" s="197">
        <f t="shared" si="2192"/>
        <v>169.23611111111677</v>
      </c>
      <c r="I239" s="41">
        <f t="shared" si="2193"/>
        <v>0.46366057838662128</v>
      </c>
      <c r="J239" s="40">
        <f t="shared" ca="1" si="2318"/>
        <v>0.30271333486906943</v>
      </c>
      <c r="K239" s="40">
        <f t="shared" si="2319"/>
        <v>2.5189751902588361E-2</v>
      </c>
      <c r="L239" s="40">
        <f t="shared" si="2320"/>
        <v>0.19338305926412305</v>
      </c>
      <c r="M239" s="42">
        <f t="shared" ca="1" si="2321"/>
        <v>1.6956143315728962</v>
      </c>
      <c r="N239" s="42">
        <f t="shared" ca="1" si="2322"/>
        <v>1.5022312723087732</v>
      </c>
      <c r="O239" s="42">
        <f t="shared" ca="1" si="2323"/>
        <v>0.95502052906748969</v>
      </c>
      <c r="P239" s="42">
        <f t="shared" ca="1" si="2324"/>
        <v>4.4979470932510361E-2</v>
      </c>
      <c r="Q239" s="42">
        <f t="shared" ca="1" si="2325"/>
        <v>0.93348130444583444</v>
      </c>
      <c r="R239" s="42">
        <f t="shared" ca="1" si="2326"/>
        <v>6.6518695554165591E-2</v>
      </c>
      <c r="S239" s="42">
        <f t="shared" si="2327"/>
        <v>0.98162450344672281</v>
      </c>
      <c r="T239" s="42">
        <f t="shared" si="2328"/>
        <v>73.621837758504213</v>
      </c>
      <c r="U239" s="42">
        <f t="shared" si="2329"/>
        <v>0.98801719747153338</v>
      </c>
      <c r="V239" s="42">
        <f t="shared" ca="1" si="2330"/>
        <v>100.29805203238001</v>
      </c>
      <c r="W239" s="42">
        <f t="shared" ca="1" si="2331"/>
        <v>9.475198229469825E-2</v>
      </c>
      <c r="X239" s="42">
        <f t="shared" ca="1" si="2332"/>
        <v>0.38587529601826542</v>
      </c>
      <c r="Y239" s="42">
        <f t="shared" ca="1" si="2333"/>
        <v>-4.444049081449114E-2</v>
      </c>
      <c r="Z239" s="42">
        <f t="shared" ca="1" si="2334"/>
        <v>4.7687701225281346E-3</v>
      </c>
      <c r="AA239" s="42">
        <f t="shared" ca="1" si="2211"/>
        <v>-5.2143786095224303E-3</v>
      </c>
      <c r="AB239" s="42">
        <f t="shared" ca="1" si="2335"/>
        <v>6.4711413935432699E-2</v>
      </c>
      <c r="AC239" s="42">
        <f t="shared" ca="1" si="2336"/>
        <v>-2.270651850729629E-2</v>
      </c>
      <c r="AD239" s="42">
        <f t="shared" ca="1" si="2337"/>
        <v>-1607.0623519908672</v>
      </c>
      <c r="AF239" s="36">
        <f t="shared" si="2215"/>
        <v>80</v>
      </c>
      <c r="AG239" s="35">
        <f t="shared" si="2216"/>
        <v>0.28399999999999997</v>
      </c>
      <c r="AH239" s="197">
        <f t="shared" si="2217"/>
        <v>169.23611111111677</v>
      </c>
      <c r="AI239" s="41">
        <f t="shared" si="2218"/>
        <v>0.46366057838662128</v>
      </c>
      <c r="AJ239" s="40">
        <f t="shared" ca="1" si="2338"/>
        <v>0.23817481373149826</v>
      </c>
      <c r="AK239" s="40">
        <f t="shared" si="2339"/>
        <v>2.5189751902588361E-2</v>
      </c>
      <c r="AL239" s="40">
        <f t="shared" si="2340"/>
        <v>0.19338305926412305</v>
      </c>
      <c r="AM239" s="42">
        <f t="shared" ca="1" si="2341"/>
        <v>1.3618802320961458</v>
      </c>
      <c r="AN239" s="42">
        <f t="shared" ca="1" si="2342"/>
        <v>1.1684971728320228</v>
      </c>
      <c r="AO239" s="42">
        <f t="shared" ca="1" si="2343"/>
        <v>0.91338215716113524</v>
      </c>
      <c r="AP239" s="42">
        <f t="shared" ca="1" si="2344"/>
        <v>8.6617842838864784E-2</v>
      </c>
      <c r="AQ239" s="42">
        <f t="shared" ca="1" si="2345"/>
        <v>0.8786968605118628</v>
      </c>
      <c r="AR239" s="42">
        <f t="shared" ca="1" si="2346"/>
        <v>0.12130313948813716</v>
      </c>
      <c r="AS239" s="42">
        <f t="shared" si="2347"/>
        <v>0.98162450344672281</v>
      </c>
      <c r="AT239" s="42">
        <f t="shared" si="2348"/>
        <v>78.529960275737821</v>
      </c>
      <c r="AU239" s="42">
        <f t="shared" si="2349"/>
        <v>0.98801719747153338</v>
      </c>
      <c r="AV239" s="42">
        <f t="shared" ca="1" si="2350"/>
        <v>100.29805203238001</v>
      </c>
      <c r="AW239" s="42">
        <f t="shared" ca="1" si="2351"/>
        <v>0.15782042917588901</v>
      </c>
      <c r="AX239" s="42">
        <f t="shared" ca="1" si="2352"/>
        <v>0.83832981734072121</v>
      </c>
      <c r="AY239" s="42">
        <f t="shared" ca="1" si="2353"/>
        <v>-8.5579918332684884E-2</v>
      </c>
      <c r="AZ239" s="42">
        <f t="shared" ca="1" si="2354"/>
        <v>7.942940391872504E-3</v>
      </c>
      <c r="BA239" s="42">
        <f t="shared" ca="1" si="2236"/>
        <v>-8.6187085739698657E-3</v>
      </c>
      <c r="BB239" s="42">
        <f t="shared" ca="1" si="2355"/>
        <v>0.10778437424247997</v>
      </c>
      <c r="BC239" s="42">
        <f t="shared" ca="1" si="2356"/>
        <v>-4.4167985497753984E-2</v>
      </c>
      <c r="BD239" s="42">
        <f t="shared" ca="1" si="2357"/>
        <v>2405.8350913296395</v>
      </c>
      <c r="BE239" s="40"/>
      <c r="BF239" s="36">
        <f t="shared" si="2240"/>
        <v>90</v>
      </c>
      <c r="BG239" s="35">
        <f t="shared" si="2241"/>
        <v>0.28399999999999997</v>
      </c>
      <c r="BH239" s="197">
        <f t="shared" si="2242"/>
        <v>169.23611111111677</v>
      </c>
      <c r="BI239" s="41">
        <f t="shared" si="2243"/>
        <v>0.46366057838662128</v>
      </c>
      <c r="BJ239" s="40">
        <f t="shared" ca="1" si="2358"/>
        <v>0.12039177807511495</v>
      </c>
      <c r="BK239" s="40">
        <f t="shared" si="2359"/>
        <v>2.5189751902588361E-2</v>
      </c>
      <c r="BL239" s="40">
        <f t="shared" si="2360"/>
        <v>0.19338305926412305</v>
      </c>
      <c r="BM239" s="42">
        <f t="shared" ca="1" si="2361"/>
        <v>0.75281428751661073</v>
      </c>
      <c r="BN239" s="42">
        <f t="shared" ca="1" si="2362"/>
        <v>0.5594312282524877</v>
      </c>
      <c r="BO239" s="42">
        <f t="shared" ca="1" si="2363"/>
        <v>0.77421924004886566</v>
      </c>
      <c r="BP239" s="42">
        <f t="shared" ca="1" si="2364"/>
        <v>0.22578075995113436</v>
      </c>
      <c r="BQ239" s="42">
        <f t="shared" ca="1" si="2365"/>
        <v>0.71206627305692127</v>
      </c>
      <c r="BR239" s="42">
        <f t="shared" ca="1" si="2366"/>
        <v>0.28793372694307873</v>
      </c>
      <c r="BS239" s="42">
        <f t="shared" si="2367"/>
        <v>0.98162450344672281</v>
      </c>
      <c r="BT239" s="42">
        <f t="shared" si="2368"/>
        <v>88.34620531020505</v>
      </c>
      <c r="BU239" s="42">
        <f t="shared" si="2369"/>
        <v>0.98801719747153338</v>
      </c>
      <c r="BV239" s="42">
        <f t="shared" ca="1" si="2370"/>
        <v>100.29805203238001</v>
      </c>
      <c r="BW239" s="42">
        <f t="shared" ca="1" si="2371"/>
        <v>0.30050129697811706</v>
      </c>
      <c r="BX239" s="42">
        <f t="shared" ca="1" si="2372"/>
        <v>14.744328468931542</v>
      </c>
      <c r="BY239" s="42">
        <f t="shared" ca="1" si="2373"/>
        <v>0.76494192378162063</v>
      </c>
      <c r="BZ239" s="42">
        <f t="shared" ca="1" si="2374"/>
        <v>1.5123922181946603E-2</v>
      </c>
      <c r="CA239" s="42">
        <f t="shared" ca="1" si="2261"/>
        <v>-1.8582685643706062E-2</v>
      </c>
      <c r="CB239" s="42">
        <f t="shared" ca="1" si="2375"/>
        <v>0.20522909754441515</v>
      </c>
      <c r="CC239" s="42">
        <f t="shared" ca="1" si="2376"/>
        <v>0.29168123408714597</v>
      </c>
      <c r="CD239" s="42">
        <f t="shared" ca="1" si="2377"/>
        <v>-3972.1642344657712</v>
      </c>
      <c r="CE239" s="40"/>
      <c r="CF239" s="36">
        <f t="shared" si="2265"/>
        <v>95</v>
      </c>
      <c r="CG239" s="35">
        <f t="shared" si="2266"/>
        <v>0.28399999999999997</v>
      </c>
      <c r="CH239" s="197">
        <f t="shared" si="2267"/>
        <v>169.23611111111677</v>
      </c>
      <c r="CI239" s="41">
        <f t="shared" si="2268"/>
        <v>0.46366057838662128</v>
      </c>
      <c r="CJ239" s="40">
        <f t="shared" ca="1" si="2378"/>
        <v>6.6324556804839188E-2</v>
      </c>
      <c r="CK239" s="40">
        <f t="shared" si="2379"/>
        <v>2.5189751902588361E-2</v>
      </c>
      <c r="CL239" s="40">
        <f t="shared" si="2380"/>
        <v>0.19338305926412305</v>
      </c>
      <c r="CM239" s="42">
        <f t="shared" ca="1" si="2381"/>
        <v>0.47322815688026265</v>
      </c>
      <c r="CN239" s="42">
        <f t="shared" ca="1" si="2382"/>
        <v>0.27984509761613963</v>
      </c>
      <c r="CO239" s="42">
        <f t="shared" ca="1" si="2383"/>
        <v>0.68197479422920848</v>
      </c>
      <c r="CP239" s="42">
        <f t="shared" ca="1" si="2384"/>
        <v>0.31802520577079152</v>
      </c>
      <c r="CQ239" s="42">
        <f t="shared" ca="1" si="2385"/>
        <v>0.61020182473826268</v>
      </c>
      <c r="CR239" s="42">
        <f t="shared" ca="1" si="2386"/>
        <v>0.38979817526173732</v>
      </c>
      <c r="CS239" s="42">
        <f t="shared" si="2387"/>
        <v>0.98162450344672281</v>
      </c>
      <c r="CT239" s="42">
        <f t="shared" si="2388"/>
        <v>93.254327827438672</v>
      </c>
      <c r="CU239" s="42">
        <f t="shared" si="2389"/>
        <v>0.98801719747153338</v>
      </c>
      <c r="CV239" s="42">
        <f t="shared" ca="1" si="2390"/>
        <v>100.29805203238001</v>
      </c>
      <c r="CW239" s="42">
        <f t="shared" ca="1" si="2391"/>
        <v>0.35668188337475787</v>
      </c>
      <c r="CX239" s="42">
        <f t="shared" ca="1" si="2392"/>
        <v>11.496782391329582</v>
      </c>
      <c r="CY239" s="42">
        <f t="shared" ca="1" si="2393"/>
        <v>0.6738028249405682</v>
      </c>
      <c r="CZ239" s="42">
        <f t="shared" ca="1" si="2394"/>
        <v>1.7951433495020229E-2</v>
      </c>
      <c r="DA239" s="42">
        <f t="shared" ca="1" si="2286"/>
        <v>-2.1803106459787041E-2</v>
      </c>
      <c r="DB239" s="42">
        <f t="shared" ca="1" si="2395"/>
        <v>0.24359795372455423</v>
      </c>
      <c r="DC239" s="42">
        <f t="shared" ca="1" si="2396"/>
        <v>0.26384123472088084</v>
      </c>
      <c r="DD239" s="42">
        <f t="shared" ca="1" si="2397"/>
        <v>3173.3911956647908</v>
      </c>
      <c r="DE239" s="40"/>
      <c r="DF239" s="36">
        <f t="shared" si="2290"/>
        <v>200</v>
      </c>
      <c r="DG239" s="35">
        <f t="shared" si="2291"/>
        <v>0.28399999999999997</v>
      </c>
      <c r="DH239" s="197">
        <f t="shared" si="2292"/>
        <v>169.23611111111677</v>
      </c>
      <c r="DI239" s="41">
        <f t="shared" si="2293"/>
        <v>0.46366057838662128</v>
      </c>
      <c r="DJ239" s="40">
        <f t="shared" ca="1" si="2398"/>
        <v>-0.67811591814265681</v>
      </c>
      <c r="DK239" s="40">
        <f t="shared" si="2399"/>
        <v>2.5189751902588361E-2</v>
      </c>
      <c r="DL239" s="40">
        <f t="shared" si="2400"/>
        <v>0.19338305926412305</v>
      </c>
      <c r="DM239" s="42">
        <f t="shared" ca="1" si="2401"/>
        <v>-3.3763359041098857</v>
      </c>
      <c r="DN239" s="42">
        <f t="shared" ca="1" si="2402"/>
        <v>-3.569718963374009</v>
      </c>
      <c r="DO239" s="42">
        <f t="shared" ca="1" si="2403"/>
        <v>3.6729088141435132E-4</v>
      </c>
      <c r="DP239" s="42">
        <f t="shared" ca="1" si="2404"/>
        <v>0.99963270911858559</v>
      </c>
      <c r="DQ239" s="42">
        <f t="shared" ca="1" si="2405"/>
        <v>1.7868220309160069E-4</v>
      </c>
      <c r="DR239" s="42">
        <f t="shared" ca="1" si="2406"/>
        <v>0.99982131779690842</v>
      </c>
      <c r="DS239" s="42">
        <f t="shared" si="2407"/>
        <v>0.98162450344672281</v>
      </c>
      <c r="DT239" s="42">
        <f t="shared" si="2408"/>
        <v>196.32490068934456</v>
      </c>
      <c r="DU239" s="42">
        <f t="shared" si="2409"/>
        <v>0.98801719747153338</v>
      </c>
      <c r="DV239" s="42">
        <f t="shared" ca="1" si="2410"/>
        <v>100.29805203238001</v>
      </c>
      <c r="DW239" s="42">
        <f t="shared" ca="1" si="2411"/>
        <v>1.3350846219699097E-3</v>
      </c>
      <c r="DX239" s="42">
        <f t="shared" si="2412"/>
        <v>0</v>
      </c>
      <c r="DY239" s="92">
        <f t="shared" si="2413"/>
        <v>0</v>
      </c>
      <c r="DZ239" s="42">
        <f t="shared" si="2414"/>
        <v>0</v>
      </c>
      <c r="EA239" s="42">
        <f t="shared" si="2311"/>
        <v>0</v>
      </c>
      <c r="EB239" s="42">
        <f t="shared" si="2415"/>
        <v>0</v>
      </c>
      <c r="EC239" s="42">
        <f t="shared" si="2416"/>
        <v>0</v>
      </c>
      <c r="ED239" s="42">
        <f t="shared" ca="1" si="2417"/>
        <v>0</v>
      </c>
      <c r="EE239" s="40"/>
      <c r="EF239" s="120">
        <f t="shared" ca="1" si="2315"/>
        <v>101.51447999999999</v>
      </c>
      <c r="EG239" s="42">
        <f t="shared" ca="1" si="2418"/>
        <v>-2.9946220820420422E-4</v>
      </c>
      <c r="EH239" s="36">
        <f t="shared" ca="1" si="2419"/>
        <v>-2.9946220820420422E-4</v>
      </c>
      <c r="EI239" s="143">
        <f t="shared" ca="1" si="2420"/>
        <v>0</v>
      </c>
    </row>
    <row r="240" spans="1:142" x14ac:dyDescent="0.3">
      <c r="A240" s="151" t="str">
        <f ca="1">IF($M$22=1,$V$194,A$48)</f>
        <v/>
      </c>
      <c r="B240" s="164">
        <f>IF($M$22=2,$V$194,B$48)</f>
        <v>0.28399999999999997</v>
      </c>
      <c r="C240" s="165">
        <f>IF($M$22=3,$V$194,C$48)</f>
        <v>45295.440972222219</v>
      </c>
      <c r="D240" s="164">
        <f>IF($M$22=4,$V$194,D$48)</f>
        <v>2.5999999999999999E-2</v>
      </c>
      <c r="E240" s="164">
        <f>IF($M$22=5,$V$194,E$48)</f>
        <v>0.04</v>
      </c>
      <c r="F240" s="36">
        <f t="shared" si="2190"/>
        <v>75</v>
      </c>
      <c r="G240" s="35">
        <f t="shared" si="2191"/>
        <v>0.28399999999999997</v>
      </c>
      <c r="H240" s="197">
        <f t="shared" si="2192"/>
        <v>169.23611111111677</v>
      </c>
      <c r="I240" s="41">
        <f t="shared" si="2193"/>
        <v>0.46366057838662128</v>
      </c>
      <c r="J240" s="40" t="e">
        <f t="shared" ca="1" si="2318"/>
        <v>#VALUE!</v>
      </c>
      <c r="K240" s="40">
        <f t="shared" si="2319"/>
        <v>2.5189751902588361E-2</v>
      </c>
      <c r="L240" s="40">
        <f t="shared" si="2320"/>
        <v>0.19338305926412305</v>
      </c>
      <c r="M240" s="42" t="e">
        <f t="shared" ca="1" si="2321"/>
        <v>#VALUE!</v>
      </c>
      <c r="N240" s="42" t="e">
        <f t="shared" ca="1" si="2322"/>
        <v>#VALUE!</v>
      </c>
      <c r="O240" s="42" t="e">
        <f t="shared" ca="1" si="2323"/>
        <v>#VALUE!</v>
      </c>
      <c r="P240" s="42" t="e">
        <f t="shared" ca="1" si="2324"/>
        <v>#VALUE!</v>
      </c>
      <c r="Q240" s="42" t="e">
        <f t="shared" ca="1" si="2325"/>
        <v>#VALUE!</v>
      </c>
      <c r="R240" s="42" t="e">
        <f t="shared" ca="1" si="2326"/>
        <v>#VALUE!</v>
      </c>
      <c r="S240" s="42">
        <f t="shared" si="2327"/>
        <v>0.98162450344672281</v>
      </c>
      <c r="T240" s="42">
        <f t="shared" si="2328"/>
        <v>73.621837758504213</v>
      </c>
      <c r="U240" s="42">
        <f t="shared" si="2329"/>
        <v>0.98801719747153338</v>
      </c>
      <c r="V240" s="42" t="e">
        <f t="shared" ca="1" si="2330"/>
        <v>#VALUE!</v>
      </c>
      <c r="W240" s="42" t="e">
        <f t="shared" ca="1" si="2331"/>
        <v>#VALUE!</v>
      </c>
      <c r="X240" s="42" t="e">
        <f t="shared" ca="1" si="2332"/>
        <v>#VALUE!</v>
      </c>
      <c r="Y240" s="42" t="e">
        <f t="shared" ca="1" si="2333"/>
        <v>#VALUE!</v>
      </c>
      <c r="Z240" s="42" t="e">
        <f t="shared" ca="1" si="2334"/>
        <v>#VALUE!</v>
      </c>
      <c r="AA240" s="42" t="e">
        <f t="shared" ca="1" si="2211"/>
        <v>#VALUE!</v>
      </c>
      <c r="AB240" s="42" t="e">
        <f t="shared" ca="1" si="2335"/>
        <v>#VALUE!</v>
      </c>
      <c r="AC240" s="42" t="e">
        <f t="shared" ca="1" si="2336"/>
        <v>#VALUE!</v>
      </c>
      <c r="AD240" s="42" t="e">
        <f t="shared" ca="1" si="2337"/>
        <v>#VALUE!</v>
      </c>
      <c r="AF240" s="36">
        <f t="shared" si="2215"/>
        <v>80</v>
      </c>
      <c r="AG240" s="35">
        <f t="shared" si="2216"/>
        <v>0.28399999999999997</v>
      </c>
      <c r="AH240" s="197">
        <f t="shared" si="2217"/>
        <v>169.23611111111677</v>
      </c>
      <c r="AI240" s="41">
        <f t="shared" si="2218"/>
        <v>0.46366057838662128</v>
      </c>
      <c r="AJ240" s="40" t="e">
        <f t="shared" ca="1" si="2338"/>
        <v>#VALUE!</v>
      </c>
      <c r="AK240" s="40">
        <f t="shared" si="2339"/>
        <v>2.5189751902588361E-2</v>
      </c>
      <c r="AL240" s="40">
        <f t="shared" si="2340"/>
        <v>0.19338305926412305</v>
      </c>
      <c r="AM240" s="42" t="e">
        <f t="shared" ca="1" si="2341"/>
        <v>#VALUE!</v>
      </c>
      <c r="AN240" s="42" t="e">
        <f t="shared" ca="1" si="2342"/>
        <v>#VALUE!</v>
      </c>
      <c r="AO240" s="42" t="e">
        <f t="shared" ca="1" si="2343"/>
        <v>#VALUE!</v>
      </c>
      <c r="AP240" s="42" t="e">
        <f t="shared" ca="1" si="2344"/>
        <v>#VALUE!</v>
      </c>
      <c r="AQ240" s="42" t="e">
        <f t="shared" ca="1" si="2345"/>
        <v>#VALUE!</v>
      </c>
      <c r="AR240" s="42" t="e">
        <f t="shared" ca="1" si="2346"/>
        <v>#VALUE!</v>
      </c>
      <c r="AS240" s="42">
        <f t="shared" si="2347"/>
        <v>0.98162450344672281</v>
      </c>
      <c r="AT240" s="42">
        <f t="shared" si="2348"/>
        <v>78.529960275737821</v>
      </c>
      <c r="AU240" s="42">
        <f t="shared" si="2349"/>
        <v>0.98801719747153338</v>
      </c>
      <c r="AV240" s="42" t="e">
        <f t="shared" ca="1" si="2350"/>
        <v>#VALUE!</v>
      </c>
      <c r="AW240" s="42" t="e">
        <f t="shared" ca="1" si="2351"/>
        <v>#VALUE!</v>
      </c>
      <c r="AX240" s="42" t="e">
        <f t="shared" ca="1" si="2352"/>
        <v>#VALUE!</v>
      </c>
      <c r="AY240" s="42" t="e">
        <f t="shared" ca="1" si="2353"/>
        <v>#VALUE!</v>
      </c>
      <c r="AZ240" s="42" t="e">
        <f t="shared" ca="1" si="2354"/>
        <v>#VALUE!</v>
      </c>
      <c r="BA240" s="42" t="e">
        <f t="shared" ca="1" si="2236"/>
        <v>#VALUE!</v>
      </c>
      <c r="BB240" s="42" t="e">
        <f t="shared" ca="1" si="2355"/>
        <v>#VALUE!</v>
      </c>
      <c r="BC240" s="42" t="e">
        <f t="shared" ca="1" si="2356"/>
        <v>#VALUE!</v>
      </c>
      <c r="BD240" s="42" t="e">
        <f t="shared" ca="1" si="2357"/>
        <v>#VALUE!</v>
      </c>
      <c r="BE240" s="40"/>
      <c r="BF240" s="36">
        <f t="shared" si="2240"/>
        <v>90</v>
      </c>
      <c r="BG240" s="35">
        <f t="shared" si="2241"/>
        <v>0.28399999999999997</v>
      </c>
      <c r="BH240" s="197">
        <f t="shared" si="2242"/>
        <v>169.23611111111677</v>
      </c>
      <c r="BI240" s="41">
        <f t="shared" si="2243"/>
        <v>0.46366057838662128</v>
      </c>
      <c r="BJ240" s="40" t="e">
        <f t="shared" ca="1" si="2358"/>
        <v>#VALUE!</v>
      </c>
      <c r="BK240" s="40">
        <f t="shared" si="2359"/>
        <v>2.5189751902588361E-2</v>
      </c>
      <c r="BL240" s="40">
        <f t="shared" si="2360"/>
        <v>0.19338305926412305</v>
      </c>
      <c r="BM240" s="42" t="e">
        <f t="shared" ca="1" si="2361"/>
        <v>#VALUE!</v>
      </c>
      <c r="BN240" s="42" t="e">
        <f t="shared" ca="1" si="2362"/>
        <v>#VALUE!</v>
      </c>
      <c r="BO240" s="42" t="e">
        <f t="shared" ca="1" si="2363"/>
        <v>#VALUE!</v>
      </c>
      <c r="BP240" s="42" t="e">
        <f t="shared" ca="1" si="2364"/>
        <v>#VALUE!</v>
      </c>
      <c r="BQ240" s="42" t="e">
        <f t="shared" ca="1" si="2365"/>
        <v>#VALUE!</v>
      </c>
      <c r="BR240" s="42" t="e">
        <f t="shared" ca="1" si="2366"/>
        <v>#VALUE!</v>
      </c>
      <c r="BS240" s="42">
        <f t="shared" si="2367"/>
        <v>0.98162450344672281</v>
      </c>
      <c r="BT240" s="42">
        <f t="shared" si="2368"/>
        <v>88.34620531020505</v>
      </c>
      <c r="BU240" s="42">
        <f t="shared" si="2369"/>
        <v>0.98801719747153338</v>
      </c>
      <c r="BV240" s="42" t="e">
        <f t="shared" ca="1" si="2370"/>
        <v>#VALUE!</v>
      </c>
      <c r="BW240" s="42" t="e">
        <f t="shared" ca="1" si="2371"/>
        <v>#VALUE!</v>
      </c>
      <c r="BX240" s="42" t="e">
        <f t="shared" ca="1" si="2372"/>
        <v>#VALUE!</v>
      </c>
      <c r="BY240" s="42" t="e">
        <f t="shared" ca="1" si="2373"/>
        <v>#VALUE!</v>
      </c>
      <c r="BZ240" s="42" t="e">
        <f t="shared" ca="1" si="2374"/>
        <v>#VALUE!</v>
      </c>
      <c r="CA240" s="42" t="e">
        <f t="shared" ca="1" si="2261"/>
        <v>#VALUE!</v>
      </c>
      <c r="CB240" s="42" t="e">
        <f t="shared" ca="1" si="2375"/>
        <v>#VALUE!</v>
      </c>
      <c r="CC240" s="42" t="e">
        <f t="shared" ca="1" si="2376"/>
        <v>#VALUE!</v>
      </c>
      <c r="CD240" s="42" t="e">
        <f t="shared" ca="1" si="2377"/>
        <v>#VALUE!</v>
      </c>
      <c r="CE240" s="40"/>
      <c r="CF240" s="36">
        <f t="shared" si="2265"/>
        <v>95</v>
      </c>
      <c r="CG240" s="35">
        <f t="shared" si="2266"/>
        <v>0.28399999999999997</v>
      </c>
      <c r="CH240" s="197">
        <f t="shared" si="2267"/>
        <v>169.23611111111677</v>
      </c>
      <c r="CI240" s="41">
        <f t="shared" si="2268"/>
        <v>0.46366057838662128</v>
      </c>
      <c r="CJ240" s="40" t="e">
        <f t="shared" ca="1" si="2378"/>
        <v>#VALUE!</v>
      </c>
      <c r="CK240" s="40">
        <f t="shared" si="2379"/>
        <v>2.5189751902588361E-2</v>
      </c>
      <c r="CL240" s="40">
        <f t="shared" si="2380"/>
        <v>0.19338305926412305</v>
      </c>
      <c r="CM240" s="42" t="e">
        <f t="shared" ca="1" si="2381"/>
        <v>#VALUE!</v>
      </c>
      <c r="CN240" s="42" t="e">
        <f t="shared" ca="1" si="2382"/>
        <v>#VALUE!</v>
      </c>
      <c r="CO240" s="42" t="e">
        <f t="shared" ca="1" si="2383"/>
        <v>#VALUE!</v>
      </c>
      <c r="CP240" s="42" t="e">
        <f t="shared" ca="1" si="2384"/>
        <v>#VALUE!</v>
      </c>
      <c r="CQ240" s="42" t="e">
        <f t="shared" ca="1" si="2385"/>
        <v>#VALUE!</v>
      </c>
      <c r="CR240" s="42" t="e">
        <f t="shared" ca="1" si="2386"/>
        <v>#VALUE!</v>
      </c>
      <c r="CS240" s="42">
        <f t="shared" si="2387"/>
        <v>0.98162450344672281</v>
      </c>
      <c r="CT240" s="42">
        <f t="shared" si="2388"/>
        <v>93.254327827438672</v>
      </c>
      <c r="CU240" s="42">
        <f t="shared" si="2389"/>
        <v>0.98801719747153338</v>
      </c>
      <c r="CV240" s="42" t="e">
        <f t="shared" ca="1" si="2390"/>
        <v>#VALUE!</v>
      </c>
      <c r="CW240" s="42" t="e">
        <f t="shared" ca="1" si="2391"/>
        <v>#VALUE!</v>
      </c>
      <c r="CX240" s="42" t="e">
        <f t="shared" ca="1" si="2392"/>
        <v>#VALUE!</v>
      </c>
      <c r="CY240" s="42" t="e">
        <f t="shared" ca="1" si="2393"/>
        <v>#VALUE!</v>
      </c>
      <c r="CZ240" s="42" t="e">
        <f t="shared" ca="1" si="2394"/>
        <v>#VALUE!</v>
      </c>
      <c r="DA240" s="42" t="e">
        <f t="shared" ca="1" si="2286"/>
        <v>#VALUE!</v>
      </c>
      <c r="DB240" s="42" t="e">
        <f t="shared" ca="1" si="2395"/>
        <v>#VALUE!</v>
      </c>
      <c r="DC240" s="42" t="e">
        <f t="shared" ca="1" si="2396"/>
        <v>#VALUE!</v>
      </c>
      <c r="DD240" s="42" t="e">
        <f t="shared" ca="1" si="2397"/>
        <v>#VALUE!</v>
      </c>
      <c r="DE240" s="40"/>
      <c r="DF240" s="36">
        <f t="shared" si="2290"/>
        <v>200</v>
      </c>
      <c r="DG240" s="35">
        <f t="shared" si="2291"/>
        <v>0.28399999999999997</v>
      </c>
      <c r="DH240" s="197">
        <f t="shared" si="2292"/>
        <v>169.23611111111677</v>
      </c>
      <c r="DI240" s="41">
        <f t="shared" si="2293"/>
        <v>0.46366057838662128</v>
      </c>
      <c r="DJ240" s="40" t="e">
        <f t="shared" ca="1" si="2398"/>
        <v>#VALUE!</v>
      </c>
      <c r="DK240" s="40">
        <f t="shared" si="2399"/>
        <v>2.5189751902588361E-2</v>
      </c>
      <c r="DL240" s="40">
        <f t="shared" si="2400"/>
        <v>0.19338305926412305</v>
      </c>
      <c r="DM240" s="42" t="e">
        <f t="shared" ca="1" si="2401"/>
        <v>#VALUE!</v>
      </c>
      <c r="DN240" s="42" t="e">
        <f t="shared" ca="1" si="2402"/>
        <v>#VALUE!</v>
      </c>
      <c r="DO240" s="42" t="e">
        <f t="shared" ca="1" si="2403"/>
        <v>#VALUE!</v>
      </c>
      <c r="DP240" s="42" t="e">
        <f t="shared" ca="1" si="2404"/>
        <v>#VALUE!</v>
      </c>
      <c r="DQ240" s="42" t="e">
        <f t="shared" ca="1" si="2405"/>
        <v>#VALUE!</v>
      </c>
      <c r="DR240" s="42" t="e">
        <f t="shared" ca="1" si="2406"/>
        <v>#VALUE!</v>
      </c>
      <c r="DS240" s="42">
        <f t="shared" si="2407"/>
        <v>0.98162450344672281</v>
      </c>
      <c r="DT240" s="42">
        <f t="shared" si="2408"/>
        <v>196.32490068934456</v>
      </c>
      <c r="DU240" s="42">
        <f t="shared" si="2409"/>
        <v>0.98801719747153338</v>
      </c>
      <c r="DV240" s="42" t="e">
        <f t="shared" ca="1" si="2410"/>
        <v>#VALUE!</v>
      </c>
      <c r="DW240" s="42" t="e">
        <f t="shared" ca="1" si="2411"/>
        <v>#VALUE!</v>
      </c>
      <c r="DX240" s="42">
        <f t="shared" si="2412"/>
        <v>0</v>
      </c>
      <c r="DY240" s="92">
        <f t="shared" si="2413"/>
        <v>0</v>
      </c>
      <c r="DZ240" s="42">
        <f t="shared" si="2414"/>
        <v>0</v>
      </c>
      <c r="EA240" s="42">
        <f t="shared" si="2311"/>
        <v>0</v>
      </c>
      <c r="EB240" s="42">
        <f t="shared" si="2415"/>
        <v>0</v>
      </c>
      <c r="EC240" s="42">
        <f t="shared" si="2416"/>
        <v>0</v>
      </c>
      <c r="ED240" s="42">
        <f t="shared" ca="1" si="2417"/>
        <v>0</v>
      </c>
      <c r="EE240" s="40"/>
      <c r="EF240" s="120" t="str">
        <f t="shared" ca="1" si="2315"/>
        <v/>
      </c>
      <c r="EG240" s="42" t="e">
        <f t="shared" ca="1" si="2418"/>
        <v>#VALUE!</v>
      </c>
      <c r="EH240" s="36" t="e">
        <f t="shared" ca="1" si="2419"/>
        <v>#VALUE!</v>
      </c>
      <c r="EI240" s="143" t="e">
        <f t="shared" ca="1" si="2420"/>
        <v>#VALUE!</v>
      </c>
    </row>
    <row r="241" spans="1:139" x14ac:dyDescent="0.3">
      <c r="A241" s="151" t="str">
        <f ca="1">IF($M$22=1,$V$208,A$48)</f>
        <v/>
      </c>
      <c r="B241" s="164">
        <f>IF($M$22=2,$V$208,B$48)</f>
        <v>0.28399999999999997</v>
      </c>
      <c r="C241" s="165">
        <f>IF($M$22=3,$V$208,C$48)</f>
        <v>45295.440972222219</v>
      </c>
      <c r="D241" s="164">
        <f>IF($M$22=4,$V$208,D$48)</f>
        <v>2.5999999999999999E-2</v>
      </c>
      <c r="E241" s="164">
        <f>IF($M$22=5,$V$208,E$48)</f>
        <v>0.04</v>
      </c>
      <c r="F241" s="36">
        <f t="shared" si="2190"/>
        <v>75</v>
      </c>
      <c r="G241" s="35">
        <f t="shared" si="2191"/>
        <v>0.28399999999999997</v>
      </c>
      <c r="H241" s="197">
        <f t="shared" si="2192"/>
        <v>169.23611111111677</v>
      </c>
      <c r="I241" s="41">
        <f t="shared" si="2193"/>
        <v>0.46366057838662128</v>
      </c>
      <c r="J241" s="40" t="e">
        <f t="shared" ca="1" si="2318"/>
        <v>#VALUE!</v>
      </c>
      <c r="K241" s="40">
        <f t="shared" si="2319"/>
        <v>2.5189751902588361E-2</v>
      </c>
      <c r="L241" s="40">
        <f t="shared" si="2320"/>
        <v>0.19338305926412305</v>
      </c>
      <c r="M241" s="42" t="e">
        <f t="shared" ca="1" si="2321"/>
        <v>#VALUE!</v>
      </c>
      <c r="N241" s="42" t="e">
        <f t="shared" ca="1" si="2322"/>
        <v>#VALUE!</v>
      </c>
      <c r="O241" s="42" t="e">
        <f t="shared" ca="1" si="2323"/>
        <v>#VALUE!</v>
      </c>
      <c r="P241" s="42" t="e">
        <f t="shared" ca="1" si="2324"/>
        <v>#VALUE!</v>
      </c>
      <c r="Q241" s="42" t="e">
        <f t="shared" ca="1" si="2325"/>
        <v>#VALUE!</v>
      </c>
      <c r="R241" s="42" t="e">
        <f t="shared" ca="1" si="2326"/>
        <v>#VALUE!</v>
      </c>
      <c r="S241" s="42">
        <f t="shared" si="2327"/>
        <v>0.98162450344672281</v>
      </c>
      <c r="T241" s="42">
        <f t="shared" si="2328"/>
        <v>73.621837758504213</v>
      </c>
      <c r="U241" s="42">
        <f t="shared" si="2329"/>
        <v>0.98801719747153338</v>
      </c>
      <c r="V241" s="42" t="e">
        <f t="shared" ca="1" si="2330"/>
        <v>#VALUE!</v>
      </c>
      <c r="W241" s="42" t="e">
        <f t="shared" ca="1" si="2331"/>
        <v>#VALUE!</v>
      </c>
      <c r="X241" s="42" t="e">
        <f t="shared" ca="1" si="2332"/>
        <v>#VALUE!</v>
      </c>
      <c r="Y241" s="42" t="e">
        <f t="shared" ca="1" si="2333"/>
        <v>#VALUE!</v>
      </c>
      <c r="Z241" s="42" t="e">
        <f t="shared" ca="1" si="2334"/>
        <v>#VALUE!</v>
      </c>
      <c r="AA241" s="42" t="e">
        <f t="shared" ca="1" si="2211"/>
        <v>#VALUE!</v>
      </c>
      <c r="AB241" s="42" t="e">
        <f t="shared" ca="1" si="2335"/>
        <v>#VALUE!</v>
      </c>
      <c r="AC241" s="42" t="e">
        <f t="shared" ca="1" si="2336"/>
        <v>#VALUE!</v>
      </c>
      <c r="AD241" s="42" t="e">
        <f t="shared" ca="1" si="2337"/>
        <v>#VALUE!</v>
      </c>
      <c r="AF241" s="36">
        <f t="shared" si="2215"/>
        <v>80</v>
      </c>
      <c r="AG241" s="35">
        <f t="shared" si="2216"/>
        <v>0.28399999999999997</v>
      </c>
      <c r="AH241" s="197">
        <f t="shared" si="2217"/>
        <v>169.23611111111677</v>
      </c>
      <c r="AI241" s="41">
        <f t="shared" si="2218"/>
        <v>0.46366057838662128</v>
      </c>
      <c r="AJ241" s="40" t="e">
        <f t="shared" ca="1" si="2338"/>
        <v>#VALUE!</v>
      </c>
      <c r="AK241" s="40">
        <f t="shared" si="2339"/>
        <v>2.5189751902588361E-2</v>
      </c>
      <c r="AL241" s="40">
        <f t="shared" si="2340"/>
        <v>0.19338305926412305</v>
      </c>
      <c r="AM241" s="42" t="e">
        <f t="shared" ca="1" si="2341"/>
        <v>#VALUE!</v>
      </c>
      <c r="AN241" s="42" t="e">
        <f t="shared" ca="1" si="2342"/>
        <v>#VALUE!</v>
      </c>
      <c r="AO241" s="42" t="e">
        <f t="shared" ca="1" si="2343"/>
        <v>#VALUE!</v>
      </c>
      <c r="AP241" s="42" t="e">
        <f t="shared" ca="1" si="2344"/>
        <v>#VALUE!</v>
      </c>
      <c r="AQ241" s="42" t="e">
        <f t="shared" ca="1" si="2345"/>
        <v>#VALUE!</v>
      </c>
      <c r="AR241" s="42" t="e">
        <f t="shared" ca="1" si="2346"/>
        <v>#VALUE!</v>
      </c>
      <c r="AS241" s="42">
        <f t="shared" si="2347"/>
        <v>0.98162450344672281</v>
      </c>
      <c r="AT241" s="42">
        <f t="shared" si="2348"/>
        <v>78.529960275737821</v>
      </c>
      <c r="AU241" s="42">
        <f t="shared" si="2349"/>
        <v>0.98801719747153338</v>
      </c>
      <c r="AV241" s="42" t="e">
        <f t="shared" ca="1" si="2350"/>
        <v>#VALUE!</v>
      </c>
      <c r="AW241" s="42" t="e">
        <f t="shared" ca="1" si="2351"/>
        <v>#VALUE!</v>
      </c>
      <c r="AX241" s="42" t="e">
        <f t="shared" ca="1" si="2352"/>
        <v>#VALUE!</v>
      </c>
      <c r="AY241" s="42" t="e">
        <f t="shared" ca="1" si="2353"/>
        <v>#VALUE!</v>
      </c>
      <c r="AZ241" s="42" t="e">
        <f t="shared" ca="1" si="2354"/>
        <v>#VALUE!</v>
      </c>
      <c r="BA241" s="42" t="e">
        <f t="shared" ca="1" si="2236"/>
        <v>#VALUE!</v>
      </c>
      <c r="BB241" s="42" t="e">
        <f t="shared" ca="1" si="2355"/>
        <v>#VALUE!</v>
      </c>
      <c r="BC241" s="42" t="e">
        <f t="shared" ca="1" si="2356"/>
        <v>#VALUE!</v>
      </c>
      <c r="BD241" s="42" t="e">
        <f t="shared" ca="1" si="2357"/>
        <v>#VALUE!</v>
      </c>
      <c r="BE241" s="40"/>
      <c r="BF241" s="36">
        <f t="shared" si="2240"/>
        <v>90</v>
      </c>
      <c r="BG241" s="35">
        <f t="shared" si="2241"/>
        <v>0.28399999999999997</v>
      </c>
      <c r="BH241" s="197">
        <f t="shared" si="2242"/>
        <v>169.23611111111677</v>
      </c>
      <c r="BI241" s="41">
        <f t="shared" si="2243"/>
        <v>0.46366057838662128</v>
      </c>
      <c r="BJ241" s="40" t="e">
        <f t="shared" ca="1" si="2358"/>
        <v>#VALUE!</v>
      </c>
      <c r="BK241" s="40">
        <f t="shared" si="2359"/>
        <v>2.5189751902588361E-2</v>
      </c>
      <c r="BL241" s="40">
        <f t="shared" si="2360"/>
        <v>0.19338305926412305</v>
      </c>
      <c r="BM241" s="42" t="e">
        <f t="shared" ca="1" si="2361"/>
        <v>#VALUE!</v>
      </c>
      <c r="BN241" s="42" t="e">
        <f t="shared" ca="1" si="2362"/>
        <v>#VALUE!</v>
      </c>
      <c r="BO241" s="42" t="e">
        <f t="shared" ca="1" si="2363"/>
        <v>#VALUE!</v>
      </c>
      <c r="BP241" s="42" t="e">
        <f t="shared" ca="1" si="2364"/>
        <v>#VALUE!</v>
      </c>
      <c r="BQ241" s="42" t="e">
        <f t="shared" ca="1" si="2365"/>
        <v>#VALUE!</v>
      </c>
      <c r="BR241" s="42" t="e">
        <f t="shared" ca="1" si="2366"/>
        <v>#VALUE!</v>
      </c>
      <c r="BS241" s="42">
        <f t="shared" si="2367"/>
        <v>0.98162450344672281</v>
      </c>
      <c r="BT241" s="42">
        <f t="shared" si="2368"/>
        <v>88.34620531020505</v>
      </c>
      <c r="BU241" s="42">
        <f t="shared" si="2369"/>
        <v>0.98801719747153338</v>
      </c>
      <c r="BV241" s="42" t="e">
        <f t="shared" ca="1" si="2370"/>
        <v>#VALUE!</v>
      </c>
      <c r="BW241" s="42" t="e">
        <f t="shared" ca="1" si="2371"/>
        <v>#VALUE!</v>
      </c>
      <c r="BX241" s="42" t="e">
        <f t="shared" ca="1" si="2372"/>
        <v>#VALUE!</v>
      </c>
      <c r="BY241" s="42" t="e">
        <f t="shared" ca="1" si="2373"/>
        <v>#VALUE!</v>
      </c>
      <c r="BZ241" s="42" t="e">
        <f t="shared" ca="1" si="2374"/>
        <v>#VALUE!</v>
      </c>
      <c r="CA241" s="42" t="e">
        <f t="shared" ca="1" si="2261"/>
        <v>#VALUE!</v>
      </c>
      <c r="CB241" s="42" t="e">
        <f t="shared" ca="1" si="2375"/>
        <v>#VALUE!</v>
      </c>
      <c r="CC241" s="42" t="e">
        <f t="shared" ca="1" si="2376"/>
        <v>#VALUE!</v>
      </c>
      <c r="CD241" s="42" t="e">
        <f t="shared" ca="1" si="2377"/>
        <v>#VALUE!</v>
      </c>
      <c r="CE241" s="40"/>
      <c r="CF241" s="36">
        <f t="shared" si="2265"/>
        <v>95</v>
      </c>
      <c r="CG241" s="35">
        <f t="shared" si="2266"/>
        <v>0.28399999999999997</v>
      </c>
      <c r="CH241" s="197">
        <f t="shared" si="2267"/>
        <v>169.23611111111677</v>
      </c>
      <c r="CI241" s="41">
        <f t="shared" si="2268"/>
        <v>0.46366057838662128</v>
      </c>
      <c r="CJ241" s="40" t="e">
        <f t="shared" ca="1" si="2378"/>
        <v>#VALUE!</v>
      </c>
      <c r="CK241" s="40">
        <f t="shared" si="2379"/>
        <v>2.5189751902588361E-2</v>
      </c>
      <c r="CL241" s="40">
        <f t="shared" si="2380"/>
        <v>0.19338305926412305</v>
      </c>
      <c r="CM241" s="42" t="e">
        <f t="shared" ca="1" si="2381"/>
        <v>#VALUE!</v>
      </c>
      <c r="CN241" s="42" t="e">
        <f t="shared" ca="1" si="2382"/>
        <v>#VALUE!</v>
      </c>
      <c r="CO241" s="42" t="e">
        <f t="shared" ca="1" si="2383"/>
        <v>#VALUE!</v>
      </c>
      <c r="CP241" s="42" t="e">
        <f t="shared" ca="1" si="2384"/>
        <v>#VALUE!</v>
      </c>
      <c r="CQ241" s="42" t="e">
        <f t="shared" ca="1" si="2385"/>
        <v>#VALUE!</v>
      </c>
      <c r="CR241" s="42" t="e">
        <f t="shared" ca="1" si="2386"/>
        <v>#VALUE!</v>
      </c>
      <c r="CS241" s="42">
        <f t="shared" si="2387"/>
        <v>0.98162450344672281</v>
      </c>
      <c r="CT241" s="42">
        <f t="shared" si="2388"/>
        <v>93.254327827438672</v>
      </c>
      <c r="CU241" s="42">
        <f t="shared" si="2389"/>
        <v>0.98801719747153338</v>
      </c>
      <c r="CV241" s="42" t="e">
        <f t="shared" ca="1" si="2390"/>
        <v>#VALUE!</v>
      </c>
      <c r="CW241" s="42" t="e">
        <f t="shared" ca="1" si="2391"/>
        <v>#VALUE!</v>
      </c>
      <c r="CX241" s="42" t="e">
        <f t="shared" ca="1" si="2392"/>
        <v>#VALUE!</v>
      </c>
      <c r="CY241" s="42" t="e">
        <f t="shared" ca="1" si="2393"/>
        <v>#VALUE!</v>
      </c>
      <c r="CZ241" s="42" t="e">
        <f t="shared" ca="1" si="2394"/>
        <v>#VALUE!</v>
      </c>
      <c r="DA241" s="42" t="e">
        <f t="shared" ca="1" si="2286"/>
        <v>#VALUE!</v>
      </c>
      <c r="DB241" s="42" t="e">
        <f t="shared" ca="1" si="2395"/>
        <v>#VALUE!</v>
      </c>
      <c r="DC241" s="42" t="e">
        <f t="shared" ca="1" si="2396"/>
        <v>#VALUE!</v>
      </c>
      <c r="DD241" s="42" t="e">
        <f t="shared" ca="1" si="2397"/>
        <v>#VALUE!</v>
      </c>
      <c r="DE241" s="40"/>
      <c r="DF241" s="36">
        <f t="shared" si="2290"/>
        <v>200</v>
      </c>
      <c r="DG241" s="35">
        <f t="shared" si="2291"/>
        <v>0.28399999999999997</v>
      </c>
      <c r="DH241" s="197">
        <f t="shared" si="2292"/>
        <v>169.23611111111677</v>
      </c>
      <c r="DI241" s="41">
        <f t="shared" si="2293"/>
        <v>0.46366057838662128</v>
      </c>
      <c r="DJ241" s="40" t="e">
        <f t="shared" ca="1" si="2398"/>
        <v>#VALUE!</v>
      </c>
      <c r="DK241" s="40">
        <f t="shared" si="2399"/>
        <v>2.5189751902588361E-2</v>
      </c>
      <c r="DL241" s="40">
        <f t="shared" si="2400"/>
        <v>0.19338305926412305</v>
      </c>
      <c r="DM241" s="42" t="e">
        <f t="shared" ca="1" si="2401"/>
        <v>#VALUE!</v>
      </c>
      <c r="DN241" s="42" t="e">
        <f t="shared" ca="1" si="2402"/>
        <v>#VALUE!</v>
      </c>
      <c r="DO241" s="42" t="e">
        <f t="shared" ca="1" si="2403"/>
        <v>#VALUE!</v>
      </c>
      <c r="DP241" s="42" t="e">
        <f t="shared" ca="1" si="2404"/>
        <v>#VALUE!</v>
      </c>
      <c r="DQ241" s="42" t="e">
        <f t="shared" ca="1" si="2405"/>
        <v>#VALUE!</v>
      </c>
      <c r="DR241" s="42" t="e">
        <f t="shared" ca="1" si="2406"/>
        <v>#VALUE!</v>
      </c>
      <c r="DS241" s="42">
        <f t="shared" si="2407"/>
        <v>0.98162450344672281</v>
      </c>
      <c r="DT241" s="42">
        <f t="shared" si="2408"/>
        <v>196.32490068934456</v>
      </c>
      <c r="DU241" s="42">
        <f t="shared" si="2409"/>
        <v>0.98801719747153338</v>
      </c>
      <c r="DV241" s="42" t="e">
        <f t="shared" ca="1" si="2410"/>
        <v>#VALUE!</v>
      </c>
      <c r="DW241" s="42" t="e">
        <f t="shared" ca="1" si="2411"/>
        <v>#VALUE!</v>
      </c>
      <c r="DX241" s="42">
        <f t="shared" si="2412"/>
        <v>0</v>
      </c>
      <c r="DY241" s="92">
        <f t="shared" si="2413"/>
        <v>0</v>
      </c>
      <c r="DZ241" s="42">
        <f t="shared" si="2414"/>
        <v>0</v>
      </c>
      <c r="EA241" s="42">
        <f t="shared" si="2311"/>
        <v>0</v>
      </c>
      <c r="EB241" s="42">
        <f t="shared" si="2415"/>
        <v>0</v>
      </c>
      <c r="EC241" s="42">
        <f t="shared" si="2416"/>
        <v>0</v>
      </c>
      <c r="ED241" s="42">
        <f t="shared" ca="1" si="2417"/>
        <v>0</v>
      </c>
      <c r="EE241" s="40"/>
      <c r="EF241" s="120" t="str">
        <f t="shared" ca="1" si="2315"/>
        <v/>
      </c>
      <c r="EG241" s="42" t="e">
        <f t="shared" ca="1" si="2418"/>
        <v>#VALUE!</v>
      </c>
      <c r="EH241" s="36" t="e">
        <f t="shared" ca="1" si="2419"/>
        <v>#VALUE!</v>
      </c>
      <c r="EI241" s="143" t="e">
        <f t="shared" ca="1" si="2420"/>
        <v>#VALUE!</v>
      </c>
    </row>
    <row r="242" spans="1:139" x14ac:dyDescent="0.3">
      <c r="A242" s="151" t="str">
        <f ca="1">IF($M$22=1,$V$222,A$48)</f>
        <v/>
      </c>
      <c r="B242" s="164">
        <f>IF($M$22=2,$V$222,B$48)</f>
        <v>0.28399999999999997</v>
      </c>
      <c r="C242" s="165">
        <f>IF($M$22=3,$V$222,C$48)</f>
        <v>45295.440972222219</v>
      </c>
      <c r="D242" s="164">
        <f>IF($M$22=4,$V$222,D$48)</f>
        <v>2.5999999999999999E-2</v>
      </c>
      <c r="E242" s="164">
        <f>IF($M$22=5,$V$222,E$48)</f>
        <v>0.04</v>
      </c>
      <c r="F242" s="36">
        <f t="shared" si="2190"/>
        <v>75</v>
      </c>
      <c r="G242" s="35">
        <f t="shared" si="2191"/>
        <v>0.28399999999999997</v>
      </c>
      <c r="H242" s="197">
        <f t="shared" si="2192"/>
        <v>169.23611111111677</v>
      </c>
      <c r="I242" s="41">
        <f t="shared" si="2193"/>
        <v>0.46366057838662128</v>
      </c>
      <c r="J242" s="40" t="e">
        <f t="shared" ca="1" si="2318"/>
        <v>#VALUE!</v>
      </c>
      <c r="K242" s="40">
        <f t="shared" si="2319"/>
        <v>2.5189751902588361E-2</v>
      </c>
      <c r="L242" s="40">
        <f t="shared" si="2320"/>
        <v>0.19338305926412305</v>
      </c>
      <c r="M242" s="42" t="e">
        <f t="shared" ca="1" si="2321"/>
        <v>#VALUE!</v>
      </c>
      <c r="N242" s="42" t="e">
        <f t="shared" ca="1" si="2322"/>
        <v>#VALUE!</v>
      </c>
      <c r="O242" s="42" t="e">
        <f t="shared" ca="1" si="2323"/>
        <v>#VALUE!</v>
      </c>
      <c r="P242" s="42" t="e">
        <f t="shared" ca="1" si="2324"/>
        <v>#VALUE!</v>
      </c>
      <c r="Q242" s="42" t="e">
        <f t="shared" ca="1" si="2325"/>
        <v>#VALUE!</v>
      </c>
      <c r="R242" s="42" t="e">
        <f t="shared" ca="1" si="2326"/>
        <v>#VALUE!</v>
      </c>
      <c r="S242" s="42">
        <f t="shared" si="2327"/>
        <v>0.98162450344672281</v>
      </c>
      <c r="T242" s="42">
        <f t="shared" si="2328"/>
        <v>73.621837758504213</v>
      </c>
      <c r="U242" s="42">
        <f t="shared" si="2329"/>
        <v>0.98801719747153338</v>
      </c>
      <c r="V242" s="42" t="e">
        <f t="shared" ca="1" si="2330"/>
        <v>#VALUE!</v>
      </c>
      <c r="W242" s="42" t="e">
        <f t="shared" ca="1" si="2331"/>
        <v>#VALUE!</v>
      </c>
      <c r="X242" s="42" t="e">
        <f t="shared" ca="1" si="2332"/>
        <v>#VALUE!</v>
      </c>
      <c r="Y242" s="42" t="e">
        <f t="shared" ca="1" si="2333"/>
        <v>#VALUE!</v>
      </c>
      <c r="Z242" s="42" t="e">
        <f t="shared" ca="1" si="2334"/>
        <v>#VALUE!</v>
      </c>
      <c r="AA242" s="42" t="e">
        <f t="shared" ca="1" si="2211"/>
        <v>#VALUE!</v>
      </c>
      <c r="AB242" s="42" t="e">
        <f t="shared" ca="1" si="2335"/>
        <v>#VALUE!</v>
      </c>
      <c r="AC242" s="42" t="e">
        <f t="shared" ca="1" si="2336"/>
        <v>#VALUE!</v>
      </c>
      <c r="AD242" s="42" t="e">
        <f t="shared" ca="1" si="2337"/>
        <v>#VALUE!</v>
      </c>
      <c r="AF242" s="36">
        <f t="shared" si="2215"/>
        <v>80</v>
      </c>
      <c r="AG242" s="35">
        <f t="shared" si="2216"/>
        <v>0.28399999999999997</v>
      </c>
      <c r="AH242" s="197">
        <f t="shared" si="2217"/>
        <v>169.23611111111677</v>
      </c>
      <c r="AI242" s="41">
        <f t="shared" si="2218"/>
        <v>0.46366057838662128</v>
      </c>
      <c r="AJ242" s="40" t="e">
        <f t="shared" ca="1" si="2338"/>
        <v>#VALUE!</v>
      </c>
      <c r="AK242" s="40">
        <f t="shared" si="2339"/>
        <v>2.5189751902588361E-2</v>
      </c>
      <c r="AL242" s="40">
        <f t="shared" si="2340"/>
        <v>0.19338305926412305</v>
      </c>
      <c r="AM242" s="42" t="e">
        <f t="shared" ca="1" si="2341"/>
        <v>#VALUE!</v>
      </c>
      <c r="AN242" s="42" t="e">
        <f t="shared" ca="1" si="2342"/>
        <v>#VALUE!</v>
      </c>
      <c r="AO242" s="42" t="e">
        <f t="shared" ca="1" si="2343"/>
        <v>#VALUE!</v>
      </c>
      <c r="AP242" s="42" t="e">
        <f t="shared" ca="1" si="2344"/>
        <v>#VALUE!</v>
      </c>
      <c r="AQ242" s="42" t="e">
        <f t="shared" ca="1" si="2345"/>
        <v>#VALUE!</v>
      </c>
      <c r="AR242" s="42" t="e">
        <f t="shared" ca="1" si="2346"/>
        <v>#VALUE!</v>
      </c>
      <c r="AS242" s="42">
        <f t="shared" si="2347"/>
        <v>0.98162450344672281</v>
      </c>
      <c r="AT242" s="42">
        <f t="shared" si="2348"/>
        <v>78.529960275737821</v>
      </c>
      <c r="AU242" s="42">
        <f t="shared" si="2349"/>
        <v>0.98801719747153338</v>
      </c>
      <c r="AV242" s="42" t="e">
        <f t="shared" ca="1" si="2350"/>
        <v>#VALUE!</v>
      </c>
      <c r="AW242" s="42" t="e">
        <f t="shared" ca="1" si="2351"/>
        <v>#VALUE!</v>
      </c>
      <c r="AX242" s="42" t="e">
        <f t="shared" ca="1" si="2352"/>
        <v>#VALUE!</v>
      </c>
      <c r="AY242" s="42" t="e">
        <f t="shared" ca="1" si="2353"/>
        <v>#VALUE!</v>
      </c>
      <c r="AZ242" s="42" t="e">
        <f t="shared" ca="1" si="2354"/>
        <v>#VALUE!</v>
      </c>
      <c r="BA242" s="42" t="e">
        <f t="shared" ca="1" si="2236"/>
        <v>#VALUE!</v>
      </c>
      <c r="BB242" s="42" t="e">
        <f t="shared" ca="1" si="2355"/>
        <v>#VALUE!</v>
      </c>
      <c r="BC242" s="42" t="e">
        <f t="shared" ca="1" si="2356"/>
        <v>#VALUE!</v>
      </c>
      <c r="BD242" s="42" t="e">
        <f t="shared" ca="1" si="2357"/>
        <v>#VALUE!</v>
      </c>
      <c r="BE242" s="40"/>
      <c r="BF242" s="36">
        <f t="shared" si="2240"/>
        <v>90</v>
      </c>
      <c r="BG242" s="35">
        <f t="shared" si="2241"/>
        <v>0.28399999999999997</v>
      </c>
      <c r="BH242" s="197">
        <f t="shared" si="2242"/>
        <v>169.23611111111677</v>
      </c>
      <c r="BI242" s="41">
        <f t="shared" si="2243"/>
        <v>0.46366057838662128</v>
      </c>
      <c r="BJ242" s="40" t="e">
        <f t="shared" ca="1" si="2358"/>
        <v>#VALUE!</v>
      </c>
      <c r="BK242" s="40">
        <f t="shared" si="2359"/>
        <v>2.5189751902588361E-2</v>
      </c>
      <c r="BL242" s="40">
        <f t="shared" si="2360"/>
        <v>0.19338305926412305</v>
      </c>
      <c r="BM242" s="42" t="e">
        <f t="shared" ca="1" si="2361"/>
        <v>#VALUE!</v>
      </c>
      <c r="BN242" s="42" t="e">
        <f t="shared" ca="1" si="2362"/>
        <v>#VALUE!</v>
      </c>
      <c r="BO242" s="42" t="e">
        <f t="shared" ca="1" si="2363"/>
        <v>#VALUE!</v>
      </c>
      <c r="BP242" s="42" t="e">
        <f t="shared" ca="1" si="2364"/>
        <v>#VALUE!</v>
      </c>
      <c r="BQ242" s="42" t="e">
        <f t="shared" ca="1" si="2365"/>
        <v>#VALUE!</v>
      </c>
      <c r="BR242" s="42" t="e">
        <f t="shared" ca="1" si="2366"/>
        <v>#VALUE!</v>
      </c>
      <c r="BS242" s="42">
        <f t="shared" si="2367"/>
        <v>0.98162450344672281</v>
      </c>
      <c r="BT242" s="42">
        <f t="shared" si="2368"/>
        <v>88.34620531020505</v>
      </c>
      <c r="BU242" s="42">
        <f t="shared" si="2369"/>
        <v>0.98801719747153338</v>
      </c>
      <c r="BV242" s="42" t="e">
        <f t="shared" ca="1" si="2370"/>
        <v>#VALUE!</v>
      </c>
      <c r="BW242" s="42" t="e">
        <f t="shared" ca="1" si="2371"/>
        <v>#VALUE!</v>
      </c>
      <c r="BX242" s="42" t="e">
        <f t="shared" ca="1" si="2372"/>
        <v>#VALUE!</v>
      </c>
      <c r="BY242" s="42" t="e">
        <f t="shared" ca="1" si="2373"/>
        <v>#VALUE!</v>
      </c>
      <c r="BZ242" s="42" t="e">
        <f t="shared" ca="1" si="2374"/>
        <v>#VALUE!</v>
      </c>
      <c r="CA242" s="42" t="e">
        <f t="shared" ca="1" si="2261"/>
        <v>#VALUE!</v>
      </c>
      <c r="CB242" s="42" t="e">
        <f t="shared" ca="1" si="2375"/>
        <v>#VALUE!</v>
      </c>
      <c r="CC242" s="42" t="e">
        <f t="shared" ca="1" si="2376"/>
        <v>#VALUE!</v>
      </c>
      <c r="CD242" s="42" t="e">
        <f t="shared" ca="1" si="2377"/>
        <v>#VALUE!</v>
      </c>
      <c r="CE242" s="40"/>
      <c r="CF242" s="36">
        <f t="shared" si="2265"/>
        <v>95</v>
      </c>
      <c r="CG242" s="35">
        <f t="shared" si="2266"/>
        <v>0.28399999999999997</v>
      </c>
      <c r="CH242" s="197">
        <f t="shared" si="2267"/>
        <v>169.23611111111677</v>
      </c>
      <c r="CI242" s="41">
        <f t="shared" si="2268"/>
        <v>0.46366057838662128</v>
      </c>
      <c r="CJ242" s="40" t="e">
        <f t="shared" ca="1" si="2378"/>
        <v>#VALUE!</v>
      </c>
      <c r="CK242" s="40">
        <f t="shared" si="2379"/>
        <v>2.5189751902588361E-2</v>
      </c>
      <c r="CL242" s="40">
        <f t="shared" si="2380"/>
        <v>0.19338305926412305</v>
      </c>
      <c r="CM242" s="42" t="e">
        <f t="shared" ca="1" si="2381"/>
        <v>#VALUE!</v>
      </c>
      <c r="CN242" s="42" t="e">
        <f t="shared" ca="1" si="2382"/>
        <v>#VALUE!</v>
      </c>
      <c r="CO242" s="42" t="e">
        <f t="shared" ca="1" si="2383"/>
        <v>#VALUE!</v>
      </c>
      <c r="CP242" s="42" t="e">
        <f t="shared" ca="1" si="2384"/>
        <v>#VALUE!</v>
      </c>
      <c r="CQ242" s="42" t="e">
        <f t="shared" ca="1" si="2385"/>
        <v>#VALUE!</v>
      </c>
      <c r="CR242" s="42" t="e">
        <f t="shared" ca="1" si="2386"/>
        <v>#VALUE!</v>
      </c>
      <c r="CS242" s="42">
        <f t="shared" si="2387"/>
        <v>0.98162450344672281</v>
      </c>
      <c r="CT242" s="42">
        <f t="shared" si="2388"/>
        <v>93.254327827438672</v>
      </c>
      <c r="CU242" s="42">
        <f t="shared" si="2389"/>
        <v>0.98801719747153338</v>
      </c>
      <c r="CV242" s="42" t="e">
        <f t="shared" ca="1" si="2390"/>
        <v>#VALUE!</v>
      </c>
      <c r="CW242" s="42" t="e">
        <f t="shared" ca="1" si="2391"/>
        <v>#VALUE!</v>
      </c>
      <c r="CX242" s="42" t="e">
        <f t="shared" ca="1" si="2392"/>
        <v>#VALUE!</v>
      </c>
      <c r="CY242" s="42" t="e">
        <f t="shared" ca="1" si="2393"/>
        <v>#VALUE!</v>
      </c>
      <c r="CZ242" s="42" t="e">
        <f t="shared" ca="1" si="2394"/>
        <v>#VALUE!</v>
      </c>
      <c r="DA242" s="42" t="e">
        <f t="shared" ca="1" si="2286"/>
        <v>#VALUE!</v>
      </c>
      <c r="DB242" s="42" t="e">
        <f t="shared" ca="1" si="2395"/>
        <v>#VALUE!</v>
      </c>
      <c r="DC242" s="42" t="e">
        <f t="shared" ca="1" si="2396"/>
        <v>#VALUE!</v>
      </c>
      <c r="DD242" s="42" t="e">
        <f t="shared" ca="1" si="2397"/>
        <v>#VALUE!</v>
      </c>
      <c r="DE242" s="40"/>
      <c r="DF242" s="36">
        <f t="shared" si="2290"/>
        <v>200</v>
      </c>
      <c r="DG242" s="35">
        <f t="shared" si="2291"/>
        <v>0.28399999999999997</v>
      </c>
      <c r="DH242" s="197">
        <f t="shared" si="2292"/>
        <v>169.23611111111677</v>
      </c>
      <c r="DI242" s="41">
        <f t="shared" si="2293"/>
        <v>0.46366057838662128</v>
      </c>
      <c r="DJ242" s="40" t="e">
        <f t="shared" ca="1" si="2398"/>
        <v>#VALUE!</v>
      </c>
      <c r="DK242" s="40">
        <f t="shared" si="2399"/>
        <v>2.5189751902588361E-2</v>
      </c>
      <c r="DL242" s="40">
        <f t="shared" si="2400"/>
        <v>0.19338305926412305</v>
      </c>
      <c r="DM242" s="42" t="e">
        <f t="shared" ca="1" si="2401"/>
        <v>#VALUE!</v>
      </c>
      <c r="DN242" s="42" t="e">
        <f t="shared" ca="1" si="2402"/>
        <v>#VALUE!</v>
      </c>
      <c r="DO242" s="42" t="e">
        <f t="shared" ca="1" si="2403"/>
        <v>#VALUE!</v>
      </c>
      <c r="DP242" s="42" t="e">
        <f t="shared" ca="1" si="2404"/>
        <v>#VALUE!</v>
      </c>
      <c r="DQ242" s="42" t="e">
        <f t="shared" ca="1" si="2405"/>
        <v>#VALUE!</v>
      </c>
      <c r="DR242" s="42" t="e">
        <f t="shared" ca="1" si="2406"/>
        <v>#VALUE!</v>
      </c>
      <c r="DS242" s="42">
        <f t="shared" si="2407"/>
        <v>0.98162450344672281</v>
      </c>
      <c r="DT242" s="42">
        <f t="shared" si="2408"/>
        <v>196.32490068934456</v>
      </c>
      <c r="DU242" s="42">
        <f t="shared" si="2409"/>
        <v>0.98801719747153338</v>
      </c>
      <c r="DV242" s="42" t="e">
        <f t="shared" ca="1" si="2410"/>
        <v>#VALUE!</v>
      </c>
      <c r="DW242" s="42" t="e">
        <f t="shared" ca="1" si="2411"/>
        <v>#VALUE!</v>
      </c>
      <c r="DX242" s="42">
        <f t="shared" si="2412"/>
        <v>0</v>
      </c>
      <c r="DY242" s="92">
        <f t="shared" si="2413"/>
        <v>0</v>
      </c>
      <c r="DZ242" s="42">
        <f t="shared" si="2414"/>
        <v>0</v>
      </c>
      <c r="EA242" s="42">
        <f t="shared" si="2311"/>
        <v>0</v>
      </c>
      <c r="EB242" s="42">
        <f t="shared" si="2415"/>
        <v>0</v>
      </c>
      <c r="EC242" s="42">
        <f t="shared" si="2416"/>
        <v>0</v>
      </c>
      <c r="ED242" s="42">
        <f t="shared" ca="1" si="2417"/>
        <v>0</v>
      </c>
      <c r="EE242" s="40"/>
      <c r="EF242" s="120" t="str">
        <f t="shared" ca="1" si="2315"/>
        <v/>
      </c>
      <c r="EG242" s="42" t="e">
        <f t="shared" ca="1" si="2418"/>
        <v>#VALUE!</v>
      </c>
      <c r="EH242" s="36" t="e">
        <f t="shared" ca="1" si="2419"/>
        <v>#VALUE!</v>
      </c>
      <c r="EI242" s="143" t="e">
        <f t="shared" ca="1" si="2420"/>
        <v>#VALUE!</v>
      </c>
    </row>
  </sheetData>
  <mergeCells count="20">
    <mergeCell ref="R42:U42"/>
    <mergeCell ref="R44:U44"/>
    <mergeCell ref="Q1:S1"/>
    <mergeCell ref="U1:V1"/>
    <mergeCell ref="L1:P1"/>
    <mergeCell ref="L24:M24"/>
    <mergeCell ref="L40:M40"/>
    <mergeCell ref="N22:P22"/>
    <mergeCell ref="N24:P24"/>
    <mergeCell ref="N26:P26"/>
    <mergeCell ref="N28:P28"/>
    <mergeCell ref="N30:P30"/>
    <mergeCell ref="R40:U40"/>
    <mergeCell ref="A1:E1"/>
    <mergeCell ref="R6:S6"/>
    <mergeCell ref="L20:M20"/>
    <mergeCell ref="F1:K1"/>
    <mergeCell ref="EL6:EN6"/>
    <mergeCell ref="EL8:EN8"/>
    <mergeCell ref="EL10:EN10"/>
  </mergeCells>
  <conditionalFormatting sqref="H18 J18:K18 J8:K8 J10:K10 J12:K12 J14:K14 J16:K16">
    <cfRule type="expression" dxfId="48" priority="462">
      <formula>$EK$6</formula>
    </cfRule>
  </conditionalFormatting>
  <conditionalFormatting sqref="D8:E8 M8:Q8 U8">
    <cfRule type="expression" dxfId="47" priority="149" stopIfTrue="1">
      <formula>$F8=2</formula>
    </cfRule>
  </conditionalFormatting>
  <conditionalFormatting sqref="H8">
    <cfRule type="expression" dxfId="46" priority="323">
      <formula>$EK$6</formula>
    </cfRule>
  </conditionalFormatting>
  <conditionalFormatting sqref="B8:V8">
    <cfRule type="expression" dxfId="45" priority="28" stopIfTrue="1">
      <formula>$F8=1</formula>
    </cfRule>
  </conditionalFormatting>
  <conditionalFormatting sqref="L8:Q8">
    <cfRule type="expression" dxfId="44" priority="386">
      <formula>AND($F8&gt;2,$D8&lt;=0)</formula>
    </cfRule>
  </conditionalFormatting>
  <conditionalFormatting sqref="Q8">
    <cfRule type="expression" dxfId="43" priority="439">
      <formula>$Q$3=TRUE</formula>
    </cfRule>
  </conditionalFormatting>
  <conditionalFormatting sqref="O4">
    <cfRule type="expression" dxfId="42" priority="302">
      <formula>$Q$3=FALSE</formula>
    </cfRule>
  </conditionalFormatting>
  <conditionalFormatting sqref="L18:P18">
    <cfRule type="expression" dxfId="41" priority="148">
      <formula>$L$4=1</formula>
    </cfRule>
  </conditionalFormatting>
  <conditionalFormatting sqref="S18:U18">
    <cfRule type="expression" dxfId="40" priority="115">
      <formula>$U$18=0</formula>
    </cfRule>
  </conditionalFormatting>
  <conditionalFormatting sqref="N34:P34">
    <cfRule type="expression" dxfId="39" priority="112">
      <formula>$N34=""</formula>
    </cfRule>
  </conditionalFormatting>
  <conditionalFormatting sqref="N38:O38">
    <cfRule type="expression" dxfId="38" priority="85">
      <formula>$N38=""</formula>
    </cfRule>
  </conditionalFormatting>
  <conditionalFormatting sqref="N40:O40">
    <cfRule type="expression" dxfId="37" priority="84">
      <formula>$N40=""</formula>
    </cfRule>
  </conditionalFormatting>
  <conditionalFormatting sqref="N42:O42">
    <cfRule type="expression" dxfId="36" priority="83">
      <formula>$N42=""</formula>
    </cfRule>
  </conditionalFormatting>
  <conditionalFormatting sqref="N44:O44">
    <cfRule type="expression" dxfId="35" priority="82">
      <formula>$N44=""</formula>
    </cfRule>
  </conditionalFormatting>
  <conditionalFormatting sqref="P44">
    <cfRule type="expression" dxfId="34" priority="77">
      <formula>$N44=""</formula>
    </cfRule>
  </conditionalFormatting>
  <conditionalFormatting sqref="N36:O36">
    <cfRule type="expression" dxfId="33" priority="86">
      <formula>$N36=""</formula>
    </cfRule>
  </conditionalFormatting>
  <conditionalFormatting sqref="P36">
    <cfRule type="expression" dxfId="32" priority="81">
      <formula>$N36=""</formula>
    </cfRule>
  </conditionalFormatting>
  <conditionalFormatting sqref="P38">
    <cfRule type="expression" dxfId="31" priority="80">
      <formula>$N38=""</formula>
    </cfRule>
  </conditionalFormatting>
  <conditionalFormatting sqref="P40">
    <cfRule type="expression" dxfId="30" priority="79">
      <formula>$N40=""</formula>
    </cfRule>
  </conditionalFormatting>
  <conditionalFormatting sqref="P42">
    <cfRule type="expression" dxfId="29" priority="78">
      <formula>$N42=""</formula>
    </cfRule>
  </conditionalFormatting>
  <conditionalFormatting sqref="D10:E10 M10:Q10 U10">
    <cfRule type="expression" dxfId="28" priority="23" stopIfTrue="1">
      <formula>$F10=2</formula>
    </cfRule>
  </conditionalFormatting>
  <conditionalFormatting sqref="H10">
    <cfRule type="expression" dxfId="27" priority="24">
      <formula>$EK$6</formula>
    </cfRule>
  </conditionalFormatting>
  <conditionalFormatting sqref="B10:V10">
    <cfRule type="expression" dxfId="26" priority="22" stopIfTrue="1">
      <formula>$F10=1</formula>
    </cfRule>
  </conditionalFormatting>
  <conditionalFormatting sqref="L10:Q10">
    <cfRule type="expression" dxfId="25" priority="27">
      <formula>AND($F10&gt;2,$D10&lt;=0)</formula>
    </cfRule>
  </conditionalFormatting>
  <conditionalFormatting sqref="Q10">
    <cfRule type="expression" dxfId="24" priority="26">
      <formula>$Q$3=TRUE</formula>
    </cfRule>
  </conditionalFormatting>
  <conditionalFormatting sqref="L10:P10">
    <cfRule type="expression" dxfId="23" priority="25">
      <formula>$L$4=1</formula>
    </cfRule>
  </conditionalFormatting>
  <conditionalFormatting sqref="D12:E12 M12:Q12 U12">
    <cfRule type="expression" dxfId="22" priority="17" stopIfTrue="1">
      <formula>$F12=2</formula>
    </cfRule>
  </conditionalFormatting>
  <conditionalFormatting sqref="H12">
    <cfRule type="expression" dxfId="21" priority="18">
      <formula>$EK$6</formula>
    </cfRule>
  </conditionalFormatting>
  <conditionalFormatting sqref="B12:V12">
    <cfRule type="expression" dxfId="20" priority="16" stopIfTrue="1">
      <formula>$F12=1</formula>
    </cfRule>
  </conditionalFormatting>
  <conditionalFormatting sqref="L12:Q12">
    <cfRule type="expression" dxfId="19" priority="21">
      <formula>AND($F12&gt;2,$D12&lt;=0)</formula>
    </cfRule>
  </conditionalFormatting>
  <conditionalFormatting sqref="Q12">
    <cfRule type="expression" dxfId="18" priority="20">
      <formula>$Q$3=TRUE</formula>
    </cfRule>
  </conditionalFormatting>
  <conditionalFormatting sqref="L12:P12">
    <cfRule type="expression" dxfId="17" priority="19">
      <formula>$L$4=1</formula>
    </cfRule>
  </conditionalFormatting>
  <conditionalFormatting sqref="D14:E14 M14:Q14 U14">
    <cfRule type="expression" dxfId="16" priority="11" stopIfTrue="1">
      <formula>$F14=2</formula>
    </cfRule>
  </conditionalFormatting>
  <conditionalFormatting sqref="H14">
    <cfRule type="expression" dxfId="15" priority="12">
      <formula>$EK$6</formula>
    </cfRule>
  </conditionalFormatting>
  <conditionalFormatting sqref="B14:V14">
    <cfRule type="expression" dxfId="14" priority="10" stopIfTrue="1">
      <formula>$F14=1</formula>
    </cfRule>
  </conditionalFormatting>
  <conditionalFormatting sqref="L14:Q14">
    <cfRule type="expression" dxfId="13" priority="15">
      <formula>AND($F14&gt;2,$D14&lt;=0)</formula>
    </cfRule>
  </conditionalFormatting>
  <conditionalFormatting sqref="Q14">
    <cfRule type="expression" dxfId="12" priority="14">
      <formula>$Q$3=TRUE</formula>
    </cfRule>
  </conditionalFormatting>
  <conditionalFormatting sqref="L14:P14">
    <cfRule type="expression" dxfId="11" priority="13">
      <formula>$L$4=1</formula>
    </cfRule>
  </conditionalFormatting>
  <conditionalFormatting sqref="D16:E16 M16:Q16">
    <cfRule type="expression" dxfId="10" priority="5" stopIfTrue="1">
      <formula>$F16=2</formula>
    </cfRule>
  </conditionalFormatting>
  <conditionalFormatting sqref="H16">
    <cfRule type="expression" dxfId="9" priority="6">
      <formula>$EK$6</formula>
    </cfRule>
  </conditionalFormatting>
  <conditionalFormatting sqref="B16:T16 V16">
    <cfRule type="expression" dxfId="8" priority="4" stopIfTrue="1">
      <formula>$F16=1</formula>
    </cfRule>
  </conditionalFormatting>
  <conditionalFormatting sqref="L16:Q16">
    <cfRule type="expression" dxfId="7" priority="9">
      <formula>AND($F16&gt;2,$D16&lt;=0)</formula>
    </cfRule>
  </conditionalFormatting>
  <conditionalFormatting sqref="Q16">
    <cfRule type="expression" dxfId="6" priority="8">
      <formula>$Q$3=TRUE</formula>
    </cfRule>
  </conditionalFormatting>
  <conditionalFormatting sqref="L16:P16">
    <cfRule type="expression" dxfId="5" priority="7">
      <formula>$L$4=1</formula>
    </cfRule>
  </conditionalFormatting>
  <conditionalFormatting sqref="L8:P8 L10:P10 L12:P12 L14:P14 L16:P16 L18:P18">
    <cfRule type="expression" dxfId="4" priority="457">
      <formula>$L$4=1</formula>
    </cfRule>
    <cfRule type="expression" dxfId="3" priority="458">
      <formula>$EK$8</formula>
    </cfRule>
  </conditionalFormatting>
  <conditionalFormatting sqref="P34 P36 P38 P40 P42 P44">
    <cfRule type="expression" dxfId="2" priority="3">
      <formula>$EK$10</formula>
    </cfRule>
  </conditionalFormatting>
  <conditionalFormatting sqref="U16">
    <cfRule type="expression" dxfId="1" priority="2" stopIfTrue="1">
      <formula>$F16=2</formula>
    </cfRule>
  </conditionalFormatting>
  <conditionalFormatting sqref="U16">
    <cfRule type="expression" dxfId="0" priority="1" stopIfTrue="1">
      <formula>$F16=1</formula>
    </cfRule>
  </conditionalFormatting>
  <hyperlinks>
    <hyperlink ref="Q1:S1" r:id="rId1" display="www.macroption.com" xr:uid="{00000000-0004-0000-0000-000000000000}"/>
    <hyperlink ref="R42:U42" r:id="rId2" display="www.macroption.com/terms" xr:uid="{00000000-0004-0000-0000-000001000000}"/>
  </hyperlinks>
  <pageMargins left="0.7" right="0.7" top="0.75" bottom="0.75" header="0.3" footer="0.3"/>
  <pageSetup paperSize="9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6" name="Drop Down 8">
              <controlPr defaultSize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5</xdr:col>
                    <xdr:colOff>601980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Drop Down 10">
              <controlPr defaultSize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601980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Drop Down 12">
              <controlPr defaultSize="0" autoLine="0" autoPict="0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5</xdr:col>
                    <xdr:colOff>601980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Drop Down 14">
              <controlPr defaultSize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5</xdr:col>
                    <xdr:colOff>601980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Drop Down 16">
              <controlPr defaultSize="0" autoLine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5</xdr:col>
                    <xdr:colOff>601980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1" name="Drop Down 25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769620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2" name="Drop Down 26">
              <controlPr defaultSize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769620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3" name="Drop Down 27">
              <controlPr defaultSize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769620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4" name="Drop Down 28">
              <controlPr defaultSize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769620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5" name="Drop Down 29">
              <controlPr defaultSize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6" name="Drop Down 31">
              <controlPr defaultSize="0" autoLine="0" autoPict="0" macro="[0]!ChartReset">
                <anchor moveWithCells="1">
                  <from>
                    <xdr:col>11</xdr:col>
                    <xdr:colOff>22860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7" name="Drop Down 32">
              <controlPr defaultSize="0" autoLine="0" autoPict="0" macro="[0]!ChartSelect">
                <anchor moveWithCells="1">
                  <from>
                    <xdr:col>11</xdr:col>
                    <xdr:colOff>22860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8" name="Drop Down 33">
              <controlPr defaultSize="0" autoLine="0" autoPict="0" macro="[0]!ChartReset">
                <anchor moveWithCells="1">
                  <from>
                    <xdr:col>11</xdr:col>
                    <xdr:colOff>22860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9" name="Button 34">
              <controlPr defaultSize="0" print="0" autoFill="0" autoPict="0" macro="[0]!DatePlus1D">
                <anchor moveWithCells="1" siz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3</xdr:col>
                    <xdr:colOff>297180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0" name="Button 35">
              <controlPr defaultSize="0" print="0" autoFill="0" autoPict="0" macro="[0]!DatePlus1W">
                <anchor moveWithCells="1" sizeWithCells="1">
                  <from>
                    <xdr:col>3</xdr:col>
                    <xdr:colOff>312420</xdr:colOff>
                    <xdr:row>2</xdr:row>
                    <xdr:rowOff>0</xdr:rowOff>
                  </from>
                  <to>
                    <xdr:col>4</xdr:col>
                    <xdr:colOff>7620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1" name="Button 36">
              <controlPr defaultSize="0" print="0" autoFill="0" autoPict="0" macro="[0]!DateExp">
                <anchor moveWithCells="1" sizeWithCells="1">
                  <from>
                    <xdr:col>3</xdr:col>
                    <xdr:colOff>7620</xdr:colOff>
                    <xdr:row>3</xdr:row>
                    <xdr:rowOff>7620</xdr:rowOff>
                  </from>
                  <to>
                    <xdr:col>4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2" name="Button 37">
              <controlPr defaultSize="0" print="0" autoFill="0" autoPict="0" macro="[0]!DateMinus1D">
                <anchor moveWithCells="1" sizeWithCells="1">
                  <from>
                    <xdr:col>1</xdr:col>
                    <xdr:colOff>289560</xdr:colOff>
                    <xdr:row>2</xdr:row>
                    <xdr:rowOff>0</xdr:rowOff>
                  </from>
                  <to>
                    <xdr:col>1</xdr:col>
                    <xdr:colOff>579120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3" name="Button 38">
              <controlPr defaultSize="0" print="0" autoFill="0" autoPict="0" macro="[0]!DateMinus1W">
                <anchor moveWithCells="1" sizeWithCells="1">
                  <from>
                    <xdr:col>0</xdr:col>
                    <xdr:colOff>312420</xdr:colOff>
                    <xdr:row>1</xdr:row>
                    <xdr:rowOff>38100</xdr:rowOff>
                  </from>
                  <to>
                    <xdr:col>1</xdr:col>
                    <xdr:colOff>281940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4" name="Button 39">
              <controlPr defaultSize="0" print="0" autoFill="0" autoPict="0" macro="[0]!PricePlus01">
                <anchor moveWithCells="1" sizeWithCells="1">
                  <from>
                    <xdr:col>7</xdr:col>
                    <xdr:colOff>7620</xdr:colOff>
                    <xdr:row>3</xdr:row>
                    <xdr:rowOff>0</xdr:rowOff>
                  </from>
                  <to>
                    <xdr:col>7</xdr:col>
                    <xdr:colOff>297180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5" name="Button 40">
              <controlPr defaultSize="0" print="0" autoFill="0" autoPict="0" macro="[0]!PricePlus1">
                <anchor moveWithCells="1" sizeWithCells="1">
                  <from>
                    <xdr:col>7</xdr:col>
                    <xdr:colOff>312420</xdr:colOff>
                    <xdr:row>3</xdr:row>
                    <xdr:rowOff>0</xdr:rowOff>
                  </from>
                  <to>
                    <xdr:col>7</xdr:col>
                    <xdr:colOff>601980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26" name="Button 41">
              <controlPr defaultSize="0" print="0" autoFill="0" autoPict="0" macro="[0]!PriceMinus01">
                <anchor moveWithCells="1" sizeWithCells="1">
                  <from>
                    <xdr:col>5</xdr:col>
                    <xdr:colOff>312420</xdr:colOff>
                    <xdr:row>3</xdr:row>
                    <xdr:rowOff>0</xdr:rowOff>
                  </from>
                  <to>
                    <xdr:col>5</xdr:col>
                    <xdr:colOff>601980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7" name="Button 42">
              <controlPr defaultSize="0" print="0" autoFill="0" autoPict="0" macro="[0]!PriceMinus1">
                <anchor moveWithCells="1" sizeWithCells="1">
                  <from>
                    <xdr:col>5</xdr:col>
                    <xdr:colOff>7620</xdr:colOff>
                    <xdr:row>3</xdr:row>
                    <xdr:rowOff>0</xdr:rowOff>
                  </from>
                  <to>
                    <xdr:col>5</xdr:col>
                    <xdr:colOff>297180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8" name="Button 43">
              <controlPr defaultSize="0" print="0" autoFill="0" autoPict="0" macro="[0]!PricePlus1pct">
                <anchor moveWithCells="1" sizeWithCells="1">
                  <from>
                    <xdr:col>7</xdr:col>
                    <xdr:colOff>7620</xdr:colOff>
                    <xdr:row>2</xdr:row>
                    <xdr:rowOff>0</xdr:rowOff>
                  </from>
                  <to>
                    <xdr:col>7</xdr:col>
                    <xdr:colOff>297180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9" name="Button 44">
              <controlPr defaultSize="0" print="0" autoFill="0" autoPict="0" macro="[0]!PricePlus5pct">
                <anchor moveWithCells="1" sizeWithCells="1">
                  <from>
                    <xdr:col>7</xdr:col>
                    <xdr:colOff>312420</xdr:colOff>
                    <xdr:row>2</xdr:row>
                    <xdr:rowOff>0</xdr:rowOff>
                  </from>
                  <to>
                    <xdr:col>7</xdr:col>
                    <xdr:colOff>601980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0" name="Button 45">
              <controlPr defaultSize="0" print="0" autoFill="0" autoPict="0" macro="[0]!PriceMinus1pct">
                <anchor moveWithCells="1" sizeWithCells="1">
                  <from>
                    <xdr:col>5</xdr:col>
                    <xdr:colOff>312420</xdr:colOff>
                    <xdr:row>2</xdr:row>
                    <xdr:rowOff>0</xdr:rowOff>
                  </from>
                  <to>
                    <xdr:col>5</xdr:col>
                    <xdr:colOff>601980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1" name="Button 46">
              <controlPr defaultSize="0" print="0" autoFill="0" autoPict="0" macro="[0]!PriceMinus5pct">
                <anchor moveWithCells="1" sizeWithCells="1">
                  <from>
                    <xdr:col>5</xdr:col>
                    <xdr:colOff>7620</xdr:colOff>
                    <xdr:row>2</xdr:row>
                    <xdr:rowOff>0</xdr:rowOff>
                  </from>
                  <to>
                    <xdr:col>5</xdr:col>
                    <xdr:colOff>297180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2" name="Drop Down 47">
              <controlPr defaultSize="0" autoLine="0" autoPict="0">
                <anchor moveWithCells="1">
                  <from>
                    <xdr:col>10</xdr:col>
                    <xdr:colOff>495300</xdr:colOff>
                    <xdr:row>3</xdr:row>
                    <xdr:rowOff>0</xdr:rowOff>
                  </from>
                  <to>
                    <xdr:col>12</xdr:col>
                    <xdr:colOff>121920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3" name="Check Box 48">
              <controlPr defaultSize="0" autoFill="0" autoLine="0" autoPict="0" macro="[0]!VolFlat">
                <anchor moveWithCells="1">
                  <from>
                    <xdr:col>16</xdr:col>
                    <xdr:colOff>114300</xdr:colOff>
                    <xdr:row>2</xdr:row>
                    <xdr:rowOff>0</xdr:rowOff>
                  </from>
                  <to>
                    <xdr:col>17</xdr:col>
                    <xdr:colOff>381000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4" name="Button 49">
              <controlPr defaultSize="0" print="0" autoFill="0" autoPict="0" macro="[0]!VolPlus1pct">
                <anchor moveWithCells="1" sizeWithCells="1">
                  <from>
                    <xdr:col>15</xdr:col>
                    <xdr:colOff>7620</xdr:colOff>
                    <xdr:row>2</xdr:row>
                    <xdr:rowOff>0</xdr:rowOff>
                  </from>
                  <to>
                    <xdr:col>15</xdr:col>
                    <xdr:colOff>297180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5" name="Button 50">
              <controlPr defaultSize="0" print="0" autoFill="0" autoPict="0" macro="[0]!VolPlus5pct">
                <anchor moveWithCells="1" sizeWithCells="1">
                  <from>
                    <xdr:col>15</xdr:col>
                    <xdr:colOff>312420</xdr:colOff>
                    <xdr:row>2</xdr:row>
                    <xdr:rowOff>0</xdr:rowOff>
                  </from>
                  <to>
                    <xdr:col>15</xdr:col>
                    <xdr:colOff>601980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36" name="Button 51">
              <controlPr defaultSize="0" print="0" autoFill="0" autoPict="0" macro="[0]!VolPlus01">
                <anchor moveWithCells="1" sizeWithCells="1">
                  <from>
                    <xdr:col>15</xdr:col>
                    <xdr:colOff>7620</xdr:colOff>
                    <xdr:row>3</xdr:row>
                    <xdr:rowOff>7620</xdr:rowOff>
                  </from>
                  <to>
                    <xdr:col>15</xdr:col>
                    <xdr:colOff>297180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37" name="Button 52">
              <controlPr defaultSize="0" print="0" autoFill="0" autoPict="0" macro="[0]!VolPlus1">
                <anchor moveWithCells="1" sizeWithCells="1">
                  <from>
                    <xdr:col>15</xdr:col>
                    <xdr:colOff>312420</xdr:colOff>
                    <xdr:row>3</xdr:row>
                    <xdr:rowOff>7620</xdr:rowOff>
                  </from>
                  <to>
                    <xdr:col>15</xdr:col>
                    <xdr:colOff>601980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38" name="Button 53">
              <controlPr defaultSize="0" print="0" autoFill="0" autoPict="0" macro="[0]!VolMinus1pct">
                <anchor moveWithCells="1" sizeWithCells="1">
                  <from>
                    <xdr:col>13</xdr:col>
                    <xdr:colOff>335280</xdr:colOff>
                    <xdr:row>2</xdr:row>
                    <xdr:rowOff>0</xdr:rowOff>
                  </from>
                  <to>
                    <xdr:col>13</xdr:col>
                    <xdr:colOff>617220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39" name="Button 54">
              <controlPr defaultSize="0" print="0" autoFill="0" autoPict="0" macro="[0]!VolMinus5pct">
                <anchor moveWithCells="1" sizeWithCells="1">
                  <from>
                    <xdr:col>13</xdr:col>
                    <xdr:colOff>38100</xdr:colOff>
                    <xdr:row>2</xdr:row>
                    <xdr:rowOff>0</xdr:rowOff>
                  </from>
                  <to>
                    <xdr:col>13</xdr:col>
                    <xdr:colOff>327660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" name="Button 55">
              <controlPr defaultSize="0" print="0" autoFill="0" autoPict="0" macro="[0]!VolMinus01">
                <anchor moveWithCells="1" sizeWithCells="1">
                  <from>
                    <xdr:col>13</xdr:col>
                    <xdr:colOff>335280</xdr:colOff>
                    <xdr:row>3</xdr:row>
                    <xdr:rowOff>7620</xdr:rowOff>
                  </from>
                  <to>
                    <xdr:col>13</xdr:col>
                    <xdr:colOff>617220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1" name="Button 56">
              <controlPr defaultSize="0" print="0" autoFill="0" autoPict="0" macro="[0]!VolMinus1">
                <anchor moveWithCells="1" sizeWithCells="1">
                  <from>
                    <xdr:col>13</xdr:col>
                    <xdr:colOff>38100</xdr:colOff>
                    <xdr:row>3</xdr:row>
                    <xdr:rowOff>7620</xdr:rowOff>
                  </from>
                  <to>
                    <xdr:col>13</xdr:col>
                    <xdr:colOff>327660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2" name="Drop Down 57">
              <controlPr defaultSize="0" autoLine="0" autoPict="0" macro="[0]!ChartReset">
                <anchor moveWithCells="1">
                  <from>
                    <xdr:col>11</xdr:col>
                    <xdr:colOff>22860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3" name="Button 64">
              <controlPr defaultSize="0" print="0" autoFill="0" autoPict="0" macro="[0]!ChartReset">
                <anchor moveWithCells="1" sizeWithCells="1">
                  <from>
                    <xdr:col>11</xdr:col>
                    <xdr:colOff>350520</xdr:colOff>
                    <xdr:row>43</xdr:row>
                    <xdr:rowOff>0</xdr:rowOff>
                  </from>
                  <to>
                    <xdr:col>12</xdr:col>
                    <xdr:colOff>266700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4" name="Button 65">
              <controlPr defaultSize="0" print="0" autoFill="0" autoPict="0" macro="[0]!ChartZoomOut">
                <anchor moveWithCells="1" sizeWithCells="1">
                  <from>
                    <xdr:col>12</xdr:col>
                    <xdr:colOff>22860</xdr:colOff>
                    <xdr:row>41</xdr:row>
                    <xdr:rowOff>7620</xdr:rowOff>
                  </from>
                  <to>
                    <xdr:col>12</xdr:col>
                    <xdr:colOff>594360</xdr:colOff>
                    <xdr:row>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5" name="Button 66">
              <controlPr defaultSize="0" print="0" autoFill="0" autoPict="0" macro="[0]!ChartZoomIn">
                <anchor moveWithCells="1" sizeWithCells="1">
                  <from>
                    <xdr:col>11</xdr:col>
                    <xdr:colOff>30480</xdr:colOff>
                    <xdr:row>41</xdr:row>
                    <xdr:rowOff>7620</xdr:rowOff>
                  </from>
                  <to>
                    <xdr:col>12</xdr:col>
                    <xdr:colOff>0</xdr:colOff>
                    <xdr:row>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6" name="Button 67">
              <controlPr defaultSize="0" print="0" autoFill="0" autoPict="0" macro="[0]!ChartMoveDown">
                <anchor moveWithCells="1" sizeWithCells="1">
                  <from>
                    <xdr:col>11</xdr:col>
                    <xdr:colOff>30480</xdr:colOff>
                    <xdr:row>43</xdr:row>
                    <xdr:rowOff>0</xdr:rowOff>
                  </from>
                  <to>
                    <xdr:col>11</xdr:col>
                    <xdr:colOff>312420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7" name="Button 68">
              <controlPr defaultSize="0" print="0" autoFill="0" autoPict="0" macro="[0]!ChartMoveUp">
                <anchor moveWithCells="1" sizeWithCells="1">
                  <from>
                    <xdr:col>12</xdr:col>
                    <xdr:colOff>304800</xdr:colOff>
                    <xdr:row>43</xdr:row>
                    <xdr:rowOff>0</xdr:rowOff>
                  </from>
                  <to>
                    <xdr:col>12</xdr:col>
                    <xdr:colOff>594360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8" name="Button 71">
              <controlPr defaultSize="0" print="0" autoFill="0" autoPict="0" macro="[0]!DateNow">
                <anchor moveWithCells="1" sizeWithCells="1">
                  <from>
                    <xdr:col>0</xdr:col>
                    <xdr:colOff>312420</xdr:colOff>
                    <xdr:row>3</xdr:row>
                    <xdr:rowOff>7620</xdr:rowOff>
                  </from>
                  <to>
                    <xdr:col>1</xdr:col>
                    <xdr:colOff>579120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K28"/>
  <sheetViews>
    <sheetView showGridLines="0" workbookViewId="0">
      <selection activeCell="J21" sqref="J21"/>
    </sheetView>
  </sheetViews>
  <sheetFormatPr defaultRowHeight="14.4" x14ac:dyDescent="0.3"/>
  <cols>
    <col min="3" max="3" width="20.88671875" customWidth="1"/>
    <col min="4" max="7" width="15.44140625" customWidth="1"/>
    <col min="10" max="11" width="15.44140625" customWidth="1"/>
  </cols>
  <sheetData>
    <row r="2" spans="2:11" x14ac:dyDescent="0.3">
      <c r="B2" s="99" t="s">
        <v>23</v>
      </c>
      <c r="C2" s="100"/>
      <c r="D2" s="207">
        <v>2</v>
      </c>
      <c r="E2" s="206"/>
      <c r="F2" s="207">
        <v>9</v>
      </c>
      <c r="G2" s="101"/>
    </row>
    <row r="4" spans="2:11" x14ac:dyDescent="0.3">
      <c r="B4" s="112" t="s">
        <v>22</v>
      </c>
      <c r="C4" s="100" t="s">
        <v>154</v>
      </c>
      <c r="D4" s="100" t="s">
        <v>87</v>
      </c>
      <c r="E4" s="100" t="s">
        <v>88</v>
      </c>
      <c r="F4" s="100" t="s">
        <v>89</v>
      </c>
      <c r="G4" s="101" t="s">
        <v>90</v>
      </c>
      <c r="I4" s="99" t="s">
        <v>24</v>
      </c>
      <c r="J4" s="100"/>
      <c r="K4" s="101" t="s">
        <v>28</v>
      </c>
    </row>
    <row r="5" spans="2:11" x14ac:dyDescent="0.3">
      <c r="B5" s="108">
        <v>1</v>
      </c>
      <c r="C5" s="202">
        <v>45310.677083333336</v>
      </c>
      <c r="D5" s="109" t="str">
        <f t="shared" ref="D5:D18" si="0">IF(E5="",IF($C5="","",TEXT($C5,INDEX($J$5:$J$14,$D$2))),E5)</f>
        <v>Jan 2024</v>
      </c>
      <c r="E5" s="110"/>
      <c r="F5" s="109" t="str">
        <f t="shared" ref="F5:F18" si="1">IF(G5="",IF($C5="","",TEXT($C5,INDEX($J$5:$J$14,$F$2))),G5)</f>
        <v>19Jan</v>
      </c>
      <c r="G5" s="111"/>
      <c r="I5" s="102">
        <v>1</v>
      </c>
      <c r="J5" s="25" t="s">
        <v>25</v>
      </c>
      <c r="K5" s="113" t="str">
        <f ca="1">TEXT(TODAY(),J5)</f>
        <v>Dec 23</v>
      </c>
    </row>
    <row r="6" spans="2:11" x14ac:dyDescent="0.3">
      <c r="B6" s="102">
        <v>2</v>
      </c>
      <c r="C6" s="202">
        <v>45338.677083333336</v>
      </c>
      <c r="D6" s="27" t="str">
        <f t="shared" si="0"/>
        <v>Feb 2024</v>
      </c>
      <c r="E6" s="25"/>
      <c r="F6" s="27" t="str">
        <f t="shared" si="1"/>
        <v>16Feb</v>
      </c>
      <c r="G6" s="103"/>
      <c r="I6" s="102">
        <v>2</v>
      </c>
      <c r="J6" s="25" t="s">
        <v>29</v>
      </c>
      <c r="K6" s="113" t="str">
        <f t="shared" ref="K6:K9" ca="1" si="2">TEXT(TODAY(),J6)</f>
        <v>Dec 2023</v>
      </c>
    </row>
    <row r="7" spans="2:11" x14ac:dyDescent="0.3">
      <c r="B7" s="102">
        <v>3</v>
      </c>
      <c r="C7" s="202">
        <v>45366.677083333336</v>
      </c>
      <c r="D7" s="27" t="str">
        <f t="shared" si="0"/>
        <v>Mar 2024</v>
      </c>
      <c r="E7" s="25"/>
      <c r="F7" s="27" t="str">
        <f t="shared" si="1"/>
        <v>15Mar</v>
      </c>
      <c r="G7" s="103"/>
      <c r="I7" s="102">
        <v>3</v>
      </c>
      <c r="J7" s="25" t="s">
        <v>30</v>
      </c>
      <c r="K7" s="113" t="str">
        <f t="shared" ca="1" si="2"/>
        <v>12/30/23</v>
      </c>
    </row>
    <row r="8" spans="2:11" x14ac:dyDescent="0.3">
      <c r="B8" s="102">
        <v>4</v>
      </c>
      <c r="C8" s="202">
        <v>45401.677083333336</v>
      </c>
      <c r="D8" s="27" t="str">
        <f t="shared" si="0"/>
        <v>Apr 2024</v>
      </c>
      <c r="E8" s="25"/>
      <c r="F8" s="27" t="str">
        <f t="shared" si="1"/>
        <v>19Apr</v>
      </c>
      <c r="G8" s="103"/>
      <c r="I8" s="102">
        <v>4</v>
      </c>
      <c r="J8" s="25" t="s">
        <v>133</v>
      </c>
      <c r="K8" s="113" t="str">
        <f t="shared" ca="1" si="2"/>
        <v>30/12/23</v>
      </c>
    </row>
    <row r="9" spans="2:11" x14ac:dyDescent="0.3">
      <c r="B9" s="102">
        <v>5</v>
      </c>
      <c r="C9" s="202">
        <v>45429.677083333336</v>
      </c>
      <c r="D9" s="27" t="str">
        <f t="shared" si="0"/>
        <v>May 2024</v>
      </c>
      <c r="E9" s="25"/>
      <c r="F9" s="27" t="str">
        <f t="shared" si="1"/>
        <v>17May</v>
      </c>
      <c r="G9" s="103"/>
      <c r="I9" s="102">
        <v>5</v>
      </c>
      <c r="J9" s="25" t="s">
        <v>27</v>
      </c>
      <c r="K9" s="113" t="str">
        <f t="shared" ca="1" si="2"/>
        <v>12/30/23</v>
      </c>
    </row>
    <row r="10" spans="2:11" x14ac:dyDescent="0.3">
      <c r="B10" s="102">
        <v>6</v>
      </c>
      <c r="C10" s="202">
        <v>45464.677083333336</v>
      </c>
      <c r="D10" s="27" t="str">
        <f t="shared" si="0"/>
        <v>Jun 2024</v>
      </c>
      <c r="E10" s="25"/>
      <c r="F10" s="27" t="str">
        <f t="shared" si="1"/>
        <v>21Jun</v>
      </c>
      <c r="G10" s="103"/>
      <c r="I10" s="102">
        <v>6</v>
      </c>
      <c r="J10" s="25" t="s">
        <v>26</v>
      </c>
      <c r="K10" s="113" t="str">
        <f t="shared" ref="K10:K14" ca="1" si="3">TEXT(TODAY(),J10)</f>
        <v>30/12/23</v>
      </c>
    </row>
    <row r="11" spans="2:11" x14ac:dyDescent="0.3">
      <c r="B11" s="102">
        <v>7</v>
      </c>
      <c r="C11" s="202">
        <v>45492.677083333336</v>
      </c>
      <c r="D11" s="27" t="str">
        <f t="shared" si="0"/>
        <v>Jul 2024</v>
      </c>
      <c r="E11" s="25"/>
      <c r="F11" s="27" t="str">
        <f t="shared" si="1"/>
        <v>19Jul</v>
      </c>
      <c r="G11" s="103"/>
      <c r="I11" s="102">
        <v>7</v>
      </c>
      <c r="J11" s="25" t="s">
        <v>91</v>
      </c>
      <c r="K11" s="113" t="str">
        <f t="shared" ca="1" si="3"/>
        <v>12/30</v>
      </c>
    </row>
    <row r="12" spans="2:11" x14ac:dyDescent="0.3">
      <c r="B12" s="102">
        <v>8</v>
      </c>
      <c r="C12" s="202">
        <v>45520.677083333336</v>
      </c>
      <c r="D12" s="27" t="str">
        <f t="shared" si="0"/>
        <v>Aug 2024</v>
      </c>
      <c r="E12" s="25"/>
      <c r="F12" s="27" t="str">
        <f t="shared" si="1"/>
        <v>16Aug</v>
      </c>
      <c r="G12" s="103"/>
      <c r="I12" s="102">
        <v>8</v>
      </c>
      <c r="J12" s="25" t="s">
        <v>92</v>
      </c>
      <c r="K12" s="113" t="str">
        <f t="shared" ca="1" si="3"/>
        <v>30/12</v>
      </c>
    </row>
    <row r="13" spans="2:11" x14ac:dyDescent="0.3">
      <c r="B13" s="102">
        <v>9</v>
      </c>
      <c r="C13" s="202">
        <v>45555.677083333336</v>
      </c>
      <c r="D13" s="27" t="str">
        <f t="shared" si="0"/>
        <v>Sep 2024</v>
      </c>
      <c r="E13" s="25"/>
      <c r="F13" s="27" t="str">
        <f t="shared" si="1"/>
        <v>20Sep</v>
      </c>
      <c r="G13" s="103"/>
      <c r="I13" s="102">
        <v>9</v>
      </c>
      <c r="J13" s="25" t="s">
        <v>93</v>
      </c>
      <c r="K13" s="113" t="str">
        <f t="shared" ca="1" si="3"/>
        <v>30Dec</v>
      </c>
    </row>
    <row r="14" spans="2:11" x14ac:dyDescent="0.3">
      <c r="B14" s="102">
        <v>10</v>
      </c>
      <c r="C14" s="202">
        <v>45583.677083333336</v>
      </c>
      <c r="D14" s="27" t="str">
        <f t="shared" si="0"/>
        <v>Oct 2024</v>
      </c>
      <c r="E14" s="25"/>
      <c r="F14" s="27" t="str">
        <f t="shared" si="1"/>
        <v>18Oct</v>
      </c>
      <c r="G14" s="103"/>
      <c r="I14" s="104">
        <v>10</v>
      </c>
      <c r="J14" s="106"/>
      <c r="K14" s="114" t="str">
        <f t="shared" ca="1" si="3"/>
        <v/>
      </c>
    </row>
    <row r="15" spans="2:11" x14ac:dyDescent="0.3">
      <c r="B15" s="102">
        <v>11</v>
      </c>
      <c r="C15" s="202">
        <v>45611.677083333336</v>
      </c>
      <c r="D15" s="27" t="str">
        <f t="shared" si="0"/>
        <v>Nov 2024</v>
      </c>
      <c r="E15" s="25"/>
      <c r="F15" s="27" t="str">
        <f t="shared" si="1"/>
        <v>15Nov</v>
      </c>
      <c r="G15" s="103"/>
    </row>
    <row r="16" spans="2:11" x14ac:dyDescent="0.3">
      <c r="B16" s="102">
        <v>12</v>
      </c>
      <c r="C16" s="202">
        <v>45646.677083333336</v>
      </c>
      <c r="D16" s="27" t="str">
        <f t="shared" si="0"/>
        <v>Dec 2024</v>
      </c>
      <c r="E16" s="25"/>
      <c r="F16" s="27" t="str">
        <f t="shared" si="1"/>
        <v>20Dec</v>
      </c>
      <c r="G16" s="103"/>
    </row>
    <row r="17" spans="2:7" x14ac:dyDescent="0.3">
      <c r="B17" s="102">
        <v>13</v>
      </c>
      <c r="C17" s="202">
        <v>45674.677083333336</v>
      </c>
      <c r="D17" s="27" t="str">
        <f t="shared" si="0"/>
        <v>Jan 2025</v>
      </c>
      <c r="E17" s="25"/>
      <c r="F17" s="27" t="str">
        <f t="shared" si="1"/>
        <v>17Jan</v>
      </c>
      <c r="G17" s="103"/>
    </row>
    <row r="18" spans="2:7" x14ac:dyDescent="0.3">
      <c r="B18" s="102">
        <v>14</v>
      </c>
      <c r="C18" s="202">
        <v>45709.677083333336</v>
      </c>
      <c r="D18" s="27" t="str">
        <f t="shared" si="0"/>
        <v>Feb 2025</v>
      </c>
      <c r="E18" s="25"/>
      <c r="F18" s="27" t="str">
        <f t="shared" si="1"/>
        <v>21Feb</v>
      </c>
      <c r="G18" s="103"/>
    </row>
    <row r="19" spans="2:7" x14ac:dyDescent="0.3">
      <c r="B19" s="102">
        <v>15</v>
      </c>
      <c r="C19" s="202">
        <v>45737.677083333336</v>
      </c>
      <c r="D19" s="27" t="str">
        <f t="shared" ref="D19:D23" si="4">IF(E19="",IF($C19="","",TEXT($C19,INDEX($J$5:$J$14,$D$2))),E19)</f>
        <v>Mar 2025</v>
      </c>
      <c r="E19" s="25"/>
      <c r="F19" s="27" t="str">
        <f t="shared" ref="F19:F23" si="5">IF(G19="",IF($C19="","",TEXT($C19,INDEX($J$5:$J$14,$F$2))),G19)</f>
        <v>21Mar</v>
      </c>
      <c r="G19" s="103"/>
    </row>
    <row r="20" spans="2:7" x14ac:dyDescent="0.3">
      <c r="B20" s="102">
        <v>16</v>
      </c>
      <c r="C20" s="202">
        <v>45764.677083333336</v>
      </c>
      <c r="D20" s="27" t="str">
        <f t="shared" si="4"/>
        <v>Apr 2025</v>
      </c>
      <c r="E20" s="25"/>
      <c r="F20" s="27" t="str">
        <f t="shared" si="5"/>
        <v>17Apr</v>
      </c>
      <c r="G20" s="103"/>
    </row>
    <row r="21" spans="2:7" x14ac:dyDescent="0.3">
      <c r="B21" s="102">
        <v>17</v>
      </c>
      <c r="C21" s="202">
        <v>45793.677083333336</v>
      </c>
      <c r="D21" s="27" t="str">
        <f t="shared" si="4"/>
        <v>May 2025</v>
      </c>
      <c r="E21" s="25"/>
      <c r="F21" s="27" t="str">
        <f t="shared" si="5"/>
        <v>16May</v>
      </c>
      <c r="G21" s="103"/>
    </row>
    <row r="22" spans="2:7" x14ac:dyDescent="0.3">
      <c r="B22" s="102">
        <v>18</v>
      </c>
      <c r="C22" s="202">
        <v>45828.677083333336</v>
      </c>
      <c r="D22" s="27" t="str">
        <f t="shared" si="4"/>
        <v>Jun 2025</v>
      </c>
      <c r="E22" s="25"/>
      <c r="F22" s="27" t="str">
        <f t="shared" si="5"/>
        <v>20Jun</v>
      </c>
      <c r="G22" s="103"/>
    </row>
    <row r="23" spans="2:7" x14ac:dyDescent="0.3">
      <c r="B23" s="102">
        <v>19</v>
      </c>
      <c r="C23" s="202">
        <v>45856.677083333336</v>
      </c>
      <c r="D23" s="27" t="str">
        <f t="shared" si="4"/>
        <v>Jul 2025</v>
      </c>
      <c r="E23" s="25"/>
      <c r="F23" s="27" t="str">
        <f t="shared" si="5"/>
        <v>18Jul</v>
      </c>
      <c r="G23" s="103"/>
    </row>
    <row r="24" spans="2:7" x14ac:dyDescent="0.3">
      <c r="B24" s="102">
        <v>20</v>
      </c>
      <c r="C24" s="202">
        <v>45884.677083333336</v>
      </c>
      <c r="D24" s="27" t="str">
        <f t="shared" ref="D24:D28" si="6">IF(E24="",IF($C24="","",TEXT($C24,INDEX($J$5:$J$14,$D$2))),E24)</f>
        <v>Aug 2025</v>
      </c>
      <c r="E24" s="25"/>
      <c r="F24" s="27" t="str">
        <f t="shared" ref="F24:F28" si="7">IF(G24="",IF($C24="","",TEXT($C24,INDEX($J$5:$J$14,$F$2))),G24)</f>
        <v>15Aug</v>
      </c>
      <c r="G24" s="103"/>
    </row>
    <row r="25" spans="2:7" x14ac:dyDescent="0.3">
      <c r="B25" s="102">
        <v>21</v>
      </c>
      <c r="C25" s="202">
        <v>45919.677083333336</v>
      </c>
      <c r="D25" s="27" t="str">
        <f t="shared" si="6"/>
        <v>Sep 2025</v>
      </c>
      <c r="E25" s="25"/>
      <c r="F25" s="27" t="str">
        <f t="shared" si="7"/>
        <v>19Sep</v>
      </c>
      <c r="G25" s="103"/>
    </row>
    <row r="26" spans="2:7" x14ac:dyDescent="0.3">
      <c r="B26" s="102">
        <v>22</v>
      </c>
      <c r="C26" s="202">
        <v>45947.677083333336</v>
      </c>
      <c r="D26" s="27" t="str">
        <f t="shared" si="6"/>
        <v>Oct 2025</v>
      </c>
      <c r="E26" s="25"/>
      <c r="F26" s="27" t="str">
        <f t="shared" si="7"/>
        <v>17Oct</v>
      </c>
      <c r="G26" s="103"/>
    </row>
    <row r="27" spans="2:7" x14ac:dyDescent="0.3">
      <c r="B27" s="102">
        <v>23</v>
      </c>
      <c r="C27" s="202">
        <v>45982.677083333336</v>
      </c>
      <c r="D27" s="27" t="str">
        <f t="shared" si="6"/>
        <v>Nov 2025</v>
      </c>
      <c r="E27" s="25"/>
      <c r="F27" s="27" t="str">
        <f t="shared" si="7"/>
        <v>21Nov</v>
      </c>
      <c r="G27" s="103"/>
    </row>
    <row r="28" spans="2:7" x14ac:dyDescent="0.3">
      <c r="B28" s="104">
        <v>24</v>
      </c>
      <c r="C28" s="272">
        <v>46010.677083333336</v>
      </c>
      <c r="D28" s="105" t="str">
        <f t="shared" si="6"/>
        <v>Dec 2025</v>
      </c>
      <c r="E28" s="106"/>
      <c r="F28" s="105" t="str">
        <f t="shared" si="7"/>
        <v>19Dec</v>
      </c>
      <c r="G28" s="10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7620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 Down 3">
              <controlPr defaultSize="0" autoLine="0" autoPict="0">
                <anchor moveWithCells="1">
                  <from>
                    <xdr:col>4</xdr:col>
                    <xdr:colOff>1021080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D34"/>
  <sheetViews>
    <sheetView showGridLines="0" workbookViewId="0">
      <selection activeCell="G15" sqref="G15"/>
    </sheetView>
  </sheetViews>
  <sheetFormatPr defaultRowHeight="14.4" x14ac:dyDescent="0.3"/>
  <cols>
    <col min="3" max="3" width="19.44140625" customWidth="1"/>
  </cols>
  <sheetData>
    <row r="3" spans="2:4" x14ac:dyDescent="0.3">
      <c r="B3" s="15">
        <v>1</v>
      </c>
      <c r="C3" s="16" t="s">
        <v>58</v>
      </c>
      <c r="D3" s="17">
        <v>0</v>
      </c>
    </row>
    <row r="4" spans="2:4" x14ac:dyDescent="0.3">
      <c r="B4" s="18">
        <v>2</v>
      </c>
      <c r="C4" s="14" t="s">
        <v>17</v>
      </c>
      <c r="D4" s="19">
        <f>OSS!$Y$10</f>
        <v>1</v>
      </c>
    </row>
    <row r="5" spans="2:4" x14ac:dyDescent="0.3">
      <c r="B5" s="18">
        <v>3</v>
      </c>
      <c r="C5" s="14" t="s">
        <v>9</v>
      </c>
      <c r="D5" s="19">
        <f>OSS!$Y$8</f>
        <v>100</v>
      </c>
    </row>
    <row r="6" spans="2:4" x14ac:dyDescent="0.3">
      <c r="B6" s="20">
        <v>4</v>
      </c>
      <c r="C6" s="21" t="s">
        <v>10</v>
      </c>
      <c r="D6" s="22">
        <f>OSS!$Y$8</f>
        <v>100</v>
      </c>
    </row>
    <row r="9" spans="2:4" x14ac:dyDescent="0.3">
      <c r="B9" s="15">
        <v>1</v>
      </c>
      <c r="C9" s="16" t="s">
        <v>35</v>
      </c>
      <c r="D9" s="17">
        <v>1</v>
      </c>
    </row>
    <row r="10" spans="2:4" x14ac:dyDescent="0.3">
      <c r="B10" s="20">
        <v>2</v>
      </c>
      <c r="C10" s="21" t="s">
        <v>36</v>
      </c>
      <c r="D10" s="22">
        <v>2</v>
      </c>
    </row>
    <row r="13" spans="2:4" x14ac:dyDescent="0.3">
      <c r="B13" s="15">
        <v>1</v>
      </c>
      <c r="C13" s="16" t="s">
        <v>8</v>
      </c>
      <c r="D13" s="17" t="s">
        <v>5</v>
      </c>
    </row>
    <row r="14" spans="2:4" x14ac:dyDescent="0.3">
      <c r="B14" s="18">
        <v>2</v>
      </c>
      <c r="C14" s="14" t="s">
        <v>11</v>
      </c>
      <c r="D14" s="19" t="s">
        <v>105</v>
      </c>
    </row>
    <row r="15" spans="2:4" x14ac:dyDescent="0.3">
      <c r="B15" s="18">
        <v>3</v>
      </c>
      <c r="C15" s="14" t="s">
        <v>37</v>
      </c>
      <c r="D15" s="19" t="s">
        <v>20</v>
      </c>
    </row>
    <row r="16" spans="2:4" x14ac:dyDescent="0.3">
      <c r="B16" s="18">
        <v>4</v>
      </c>
      <c r="C16" s="14" t="s">
        <v>13</v>
      </c>
      <c r="D16" s="19" t="s">
        <v>104</v>
      </c>
    </row>
    <row r="17" spans="2:4" x14ac:dyDescent="0.3">
      <c r="B17" s="20">
        <v>5</v>
      </c>
      <c r="C17" s="21" t="s">
        <v>12</v>
      </c>
      <c r="D17" s="22" t="s">
        <v>60</v>
      </c>
    </row>
    <row r="18" spans="2:4" x14ac:dyDescent="0.3">
      <c r="C18" s="13"/>
      <c r="D18" s="13"/>
    </row>
    <row r="19" spans="2:4" x14ac:dyDescent="0.3">
      <c r="C19" s="13"/>
      <c r="D19" s="13"/>
    </row>
    <row r="20" spans="2:4" x14ac:dyDescent="0.3">
      <c r="B20" s="15">
        <v>1</v>
      </c>
      <c r="C20" s="16" t="s">
        <v>33</v>
      </c>
      <c r="D20" s="17">
        <v>1</v>
      </c>
    </row>
    <row r="21" spans="2:4" x14ac:dyDescent="0.3">
      <c r="B21" s="18">
        <v>2</v>
      </c>
      <c r="C21" s="14" t="s">
        <v>32</v>
      </c>
      <c r="D21" s="19">
        <v>2</v>
      </c>
    </row>
    <row r="22" spans="2:4" x14ac:dyDescent="0.3">
      <c r="B22" s="18">
        <v>3</v>
      </c>
      <c r="C22" s="14" t="s">
        <v>0</v>
      </c>
      <c r="D22" s="19">
        <v>3</v>
      </c>
    </row>
    <row r="23" spans="2:4" x14ac:dyDescent="0.3">
      <c r="B23" s="18">
        <v>4</v>
      </c>
      <c r="C23" s="14" t="s">
        <v>1</v>
      </c>
      <c r="D23" s="19">
        <v>4</v>
      </c>
    </row>
    <row r="24" spans="2:4" x14ac:dyDescent="0.3">
      <c r="B24" s="18">
        <v>5</v>
      </c>
      <c r="C24" s="14" t="s">
        <v>2</v>
      </c>
      <c r="D24" s="19">
        <v>5</v>
      </c>
    </row>
    <row r="25" spans="2:4" x14ac:dyDescent="0.3">
      <c r="B25" s="18">
        <v>6</v>
      </c>
      <c r="C25" s="14" t="s">
        <v>3</v>
      </c>
      <c r="D25" s="19">
        <v>6</v>
      </c>
    </row>
    <row r="26" spans="2:4" x14ac:dyDescent="0.3">
      <c r="B26" s="20">
        <v>7</v>
      </c>
      <c r="C26" s="21" t="s">
        <v>4</v>
      </c>
      <c r="D26" s="22">
        <v>7</v>
      </c>
    </row>
    <row r="29" spans="2:4" x14ac:dyDescent="0.3">
      <c r="B29" s="15">
        <v>1</v>
      </c>
      <c r="C29" s="16" t="s">
        <v>62</v>
      </c>
      <c r="D29" s="17">
        <v>1</v>
      </c>
    </row>
    <row r="30" spans="2:4" x14ac:dyDescent="0.3">
      <c r="B30" s="18">
        <v>2</v>
      </c>
      <c r="C30" s="14" t="str">
        <f ca="1">OSS!$V$8</f>
        <v>+5 21Jun 75P</v>
      </c>
      <c r="D30" s="19">
        <v>3</v>
      </c>
    </row>
    <row r="31" spans="2:4" x14ac:dyDescent="0.3">
      <c r="B31" s="18">
        <v>3</v>
      </c>
      <c r="C31" s="14" t="str">
        <f ca="1">OSS!$V$10</f>
        <v>-5 21Jun 80P</v>
      </c>
      <c r="D31" s="19">
        <v>4</v>
      </c>
    </row>
    <row r="32" spans="2:4" x14ac:dyDescent="0.3">
      <c r="B32" s="18">
        <v>4</v>
      </c>
      <c r="C32" s="14" t="str">
        <f ca="1">OSS!$V$12</f>
        <v>-5 21Jun 90C</v>
      </c>
      <c r="D32" s="19">
        <v>5</v>
      </c>
    </row>
    <row r="33" spans="2:4" x14ac:dyDescent="0.3">
      <c r="B33" s="18">
        <v>5</v>
      </c>
      <c r="C33" s="14" t="str">
        <f ca="1">OSS!$V$14</f>
        <v>+5 21Jun 95C</v>
      </c>
      <c r="D33" s="19">
        <v>6</v>
      </c>
    </row>
    <row r="34" spans="2:4" x14ac:dyDescent="0.3">
      <c r="B34" s="20">
        <v>6</v>
      </c>
      <c r="C34" s="21" t="str">
        <f ca="1">OSS!$V$16</f>
        <v/>
      </c>
      <c r="D34" s="22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2:F64"/>
  <sheetViews>
    <sheetView showGridLines="0" zoomScaleNormal="100" workbookViewId="0">
      <selection activeCell="J6" sqref="J6"/>
    </sheetView>
  </sheetViews>
  <sheetFormatPr defaultRowHeight="14.4" x14ac:dyDescent="0.3"/>
  <cols>
    <col min="1" max="1" width="9.109375" customWidth="1"/>
    <col min="2" max="6" width="14.5546875" customWidth="1"/>
  </cols>
  <sheetData>
    <row r="2" spans="2:6" x14ac:dyDescent="0.3">
      <c r="B2" s="23" t="s">
        <v>67</v>
      </c>
      <c r="C2" s="64"/>
      <c r="D2" s="64"/>
      <c r="E2" s="65"/>
      <c r="F2" s="66"/>
    </row>
    <row r="3" spans="2:6" x14ac:dyDescent="0.3">
      <c r="B3" s="70" t="s">
        <v>70</v>
      </c>
      <c r="C3" s="67"/>
      <c r="D3" s="67"/>
      <c r="E3" s="67"/>
      <c r="F3" s="184">
        <v>100</v>
      </c>
    </row>
    <row r="4" spans="2:6" x14ac:dyDescent="0.3">
      <c r="B4" s="76"/>
      <c r="C4" s="64"/>
      <c r="D4" s="65" t="s">
        <v>43</v>
      </c>
      <c r="E4" s="65" t="s">
        <v>68</v>
      </c>
      <c r="F4" s="66" t="s">
        <v>69</v>
      </c>
    </row>
    <row r="5" spans="2:6" x14ac:dyDescent="0.3">
      <c r="B5" s="77" t="s">
        <v>44</v>
      </c>
      <c r="C5" s="78"/>
      <c r="D5" s="185"/>
      <c r="E5" s="185"/>
      <c r="F5" s="117"/>
    </row>
    <row r="6" spans="2:6" x14ac:dyDescent="0.3">
      <c r="B6" s="94" t="s">
        <v>84</v>
      </c>
      <c r="C6" s="95"/>
      <c r="D6" s="72">
        <f ca="1">$F$63</f>
        <v>60</v>
      </c>
      <c r="E6" s="72">
        <f ca="1">F$45</f>
        <v>0.5</v>
      </c>
      <c r="F6" s="69">
        <f ca="1">D6+$F$3*E6</f>
        <v>110</v>
      </c>
    </row>
    <row r="7" spans="2:6" x14ac:dyDescent="0.3">
      <c r="B7" s="94" t="s">
        <v>85</v>
      </c>
      <c r="C7" s="95"/>
      <c r="D7" s="72">
        <f ca="1">$D$6+10*$E$6</f>
        <v>65</v>
      </c>
      <c r="E7" s="72">
        <f ca="1">IF(OSS!$M$22=3,1,OFFSET($E$34,$F$44,0)*POWER(10,F$32))</f>
        <v>1</v>
      </c>
      <c r="F7" s="118"/>
    </row>
    <row r="8" spans="2:6" x14ac:dyDescent="0.3">
      <c r="B8" s="96" t="s">
        <v>86</v>
      </c>
      <c r="C8" s="97"/>
      <c r="D8" s="98">
        <f ca="1">MAX($D$6-10*$E$6,0)</f>
        <v>55</v>
      </c>
      <c r="E8" s="98">
        <f ca="1">IF(OSS!$M$22=3,1,OFFSET($E$34,$F$44-2,0)*POWER(10,F$32))</f>
        <v>0.25</v>
      </c>
      <c r="F8" s="119"/>
    </row>
    <row r="11" spans="2:6" x14ac:dyDescent="0.3">
      <c r="B11" s="23"/>
      <c r="C11" s="75"/>
      <c r="D11" s="64"/>
      <c r="E11" s="64"/>
      <c r="F11" s="68"/>
    </row>
    <row r="12" spans="2:6" x14ac:dyDescent="0.3">
      <c r="B12" s="171" t="s">
        <v>62</v>
      </c>
      <c r="C12" s="172"/>
      <c r="D12" s="80"/>
      <c r="E12" s="80"/>
      <c r="F12" s="173">
        <f ca="1">OFFSET(OSS!$A$48,0,OSS!$M$22-1)</f>
        <v>85.4</v>
      </c>
    </row>
    <row r="13" spans="2:6" x14ac:dyDescent="0.3">
      <c r="B13" s="174" t="s">
        <v>96</v>
      </c>
      <c r="C13" s="166"/>
      <c r="D13" s="73">
        <v>1</v>
      </c>
      <c r="E13" s="73">
        <v>2</v>
      </c>
      <c r="F13" s="69">
        <f>IF(AND(OSS!$F8&gt;2,ISNUMBER(MATCH(OSS!$M$26,D13:E13,0))),IF(OSS!$M$22=1,OSS!$E8,IF(OSS!$M$22=2,OSS!$Q8,IF(OSS!$M$22=3,OSS!$C$4+OSS!$D8,""))),"")</f>
        <v>75</v>
      </c>
    </row>
    <row r="14" spans="2:6" hidden="1" x14ac:dyDescent="0.3">
      <c r="B14" s="175"/>
      <c r="C14" s="167"/>
      <c r="F14" s="176"/>
    </row>
    <row r="15" spans="2:6" x14ac:dyDescent="0.3">
      <c r="B15" s="175" t="s">
        <v>97</v>
      </c>
      <c r="C15" s="167"/>
      <c r="D15" s="73">
        <v>1</v>
      </c>
      <c r="E15" s="73">
        <v>3</v>
      </c>
      <c r="F15" s="69">
        <f>IF(AND(OSS!$F10&gt;2,ISNUMBER(MATCH(OSS!$M$26,D15:E15,0))),IF(OSS!$M$22=1,OSS!$E10,IF(OSS!$M$22=2,OSS!$Q10,IF(OSS!$M$22=3,OSS!$C$4+OSS!$D10,""))),"")</f>
        <v>80</v>
      </c>
    </row>
    <row r="16" spans="2:6" hidden="1" x14ac:dyDescent="0.3">
      <c r="B16" s="175"/>
      <c r="C16" s="167"/>
      <c r="F16" s="176"/>
    </row>
    <row r="17" spans="2:6" x14ac:dyDescent="0.3">
      <c r="B17" s="175" t="s">
        <v>98</v>
      </c>
      <c r="C17" s="167"/>
      <c r="D17" s="73">
        <v>1</v>
      </c>
      <c r="E17" s="73">
        <v>4</v>
      </c>
      <c r="F17" s="69">
        <f>IF(AND(OSS!$F12&gt;2,ISNUMBER(MATCH(OSS!$M$26,D17:E17,0))),IF(OSS!$M$22=1,OSS!$E12,IF(OSS!$M$22=2,OSS!$Q12,IF(OSS!$M$22=3,OSS!$C$4+OSS!$D12,""))),"")</f>
        <v>90</v>
      </c>
    </row>
    <row r="18" spans="2:6" hidden="1" x14ac:dyDescent="0.3">
      <c r="B18" s="175"/>
      <c r="C18" s="167"/>
      <c r="F18" s="176"/>
    </row>
    <row r="19" spans="2:6" x14ac:dyDescent="0.3">
      <c r="B19" s="175" t="s">
        <v>99</v>
      </c>
      <c r="C19" s="167"/>
      <c r="D19" s="73">
        <v>1</v>
      </c>
      <c r="E19" s="73">
        <v>5</v>
      </c>
      <c r="F19" s="69">
        <f>IF(AND(OSS!$F14&gt;2,ISNUMBER(MATCH(OSS!$M$26,D19:E19,0))),IF(OSS!$M$22=1,OSS!$E14,IF(OSS!$M$22=2,OSS!$Q14,IF(OSS!$M$22=3,OSS!$C$4+OSS!$D14,""))),"")</f>
        <v>95</v>
      </c>
    </row>
    <row r="20" spans="2:6" hidden="1" x14ac:dyDescent="0.3">
      <c r="B20" s="175"/>
      <c r="C20" s="167"/>
      <c r="F20" s="176"/>
    </row>
    <row r="21" spans="2:6" x14ac:dyDescent="0.3">
      <c r="B21" s="175" t="s">
        <v>100</v>
      </c>
      <c r="C21" s="167"/>
      <c r="D21" s="73">
        <v>1</v>
      </c>
      <c r="E21" s="73">
        <v>6</v>
      </c>
      <c r="F21" s="69" t="str">
        <f>IF(AND(OSS!$F16&gt;2,ISNUMBER(MATCH(OSS!$M$26,D21:E21,0))),IF(OSS!$M$22=1,OSS!$E16,IF(OSS!$M$22=2,OSS!$Q16,IF(OSS!$M$22=3,OSS!$C$4+OSS!$D16,""))),"")</f>
        <v/>
      </c>
    </row>
    <row r="22" spans="2:6" x14ac:dyDescent="0.3">
      <c r="B22" s="174" t="s">
        <v>71</v>
      </c>
      <c r="C22" s="166"/>
      <c r="D22" s="166"/>
      <c r="E22" s="166"/>
      <c r="F22" s="69">
        <f ca="1">MIN(F$12:F$21)</f>
        <v>75</v>
      </c>
    </row>
    <row r="23" spans="2:6" x14ac:dyDescent="0.3">
      <c r="B23" s="175" t="s">
        <v>73</v>
      </c>
      <c r="C23" s="167"/>
      <c r="D23" s="167"/>
      <c r="E23" s="167"/>
      <c r="F23" s="69">
        <f ca="1">(F24+F22)/2</f>
        <v>85</v>
      </c>
    </row>
    <row r="24" spans="2:6" x14ac:dyDescent="0.3">
      <c r="B24" s="175" t="s">
        <v>72</v>
      </c>
      <c r="C24" s="167"/>
      <c r="D24" s="167"/>
      <c r="E24" s="167"/>
      <c r="F24" s="69">
        <f ca="1">MAX(F$12:F$21,0.05)</f>
        <v>95</v>
      </c>
    </row>
    <row r="25" spans="2:6" x14ac:dyDescent="0.3">
      <c r="B25" s="175" t="s">
        <v>75</v>
      </c>
      <c r="C25" s="167"/>
      <c r="D25" s="167"/>
      <c r="E25" s="167"/>
      <c r="F25" s="69">
        <f ca="1">F24-F22</f>
        <v>20</v>
      </c>
    </row>
    <row r="26" spans="2:6" x14ac:dyDescent="0.3">
      <c r="B26" s="175" t="s">
        <v>74</v>
      </c>
      <c r="C26" s="167"/>
      <c r="D26" s="167"/>
      <c r="E26" s="167"/>
      <c r="F26" s="177">
        <f ca="1">F25/F23</f>
        <v>0.23529411764705882</v>
      </c>
    </row>
    <row r="27" spans="2:6" x14ac:dyDescent="0.3">
      <c r="B27" s="175" t="s">
        <v>76</v>
      </c>
      <c r="C27" s="167"/>
      <c r="D27" s="167"/>
      <c r="E27" s="167"/>
      <c r="F27" s="69">
        <f ca="1">IF(OSS!$M$22=1,MIN(F22-F$25/2,F22*0.8),IF(OSS!$M$22=3,F22-10,0))</f>
        <v>60</v>
      </c>
    </row>
    <row r="28" spans="2:6" x14ac:dyDescent="0.3">
      <c r="B28" s="175" t="s">
        <v>77</v>
      </c>
      <c r="C28" s="167"/>
      <c r="D28" s="167"/>
      <c r="E28" s="167"/>
      <c r="F28" s="69">
        <f ca="1">IF(OSS!$M$22=1,MIN(F24+F$25/2,F24*1.2),IF(OSS!$M$22=3,F24+10,F24*2))</f>
        <v>105</v>
      </c>
    </row>
    <row r="29" spans="2:6" x14ac:dyDescent="0.3">
      <c r="B29" s="175" t="s">
        <v>78</v>
      </c>
      <c r="C29" s="167"/>
      <c r="D29" s="167"/>
      <c r="E29" s="167"/>
      <c r="F29" s="69">
        <f ca="1">F28-F27</f>
        <v>45</v>
      </c>
    </row>
    <row r="30" spans="2:6" x14ac:dyDescent="0.3">
      <c r="B30" s="175" t="s">
        <v>79</v>
      </c>
      <c r="C30" s="167"/>
      <c r="D30" s="167"/>
      <c r="E30" s="167"/>
      <c r="F30" s="177">
        <f ca="1">F29/F23</f>
        <v>0.52941176470588236</v>
      </c>
    </row>
    <row r="31" spans="2:6" x14ac:dyDescent="0.3">
      <c r="B31" s="175" t="s">
        <v>7</v>
      </c>
      <c r="C31" s="167"/>
      <c r="D31" s="167"/>
      <c r="E31" s="167"/>
      <c r="F31" s="69">
        <f ca="1">IF(OSS!$M$22=3,1,IF($E$5="",F29/$F$3,$E$5))</f>
        <v>0.45</v>
      </c>
    </row>
    <row r="32" spans="2:6" x14ac:dyDescent="0.3">
      <c r="B32" s="175" t="s">
        <v>80</v>
      </c>
      <c r="C32" s="167"/>
      <c r="D32" s="167"/>
      <c r="E32" s="167"/>
      <c r="F32" s="69">
        <f ca="1">ROUND(LOG(F31),0)</f>
        <v>0</v>
      </c>
    </row>
    <row r="33" spans="2:6" x14ac:dyDescent="0.3">
      <c r="B33" s="178" t="s">
        <v>7</v>
      </c>
      <c r="C33" s="169"/>
      <c r="D33" s="168"/>
      <c r="E33" s="168"/>
      <c r="F33" s="69">
        <f ca="1">F31/POWER(10,F32)</f>
        <v>0.45</v>
      </c>
    </row>
    <row r="34" spans="2:6" x14ac:dyDescent="0.3">
      <c r="B34" s="174"/>
      <c r="C34" s="166"/>
      <c r="D34" s="71">
        <f t="shared" ref="D34:D42" ca="1" si="0">ABS(F$33/E34-1)</f>
        <v>3.5</v>
      </c>
      <c r="E34" s="73">
        <v>0.1</v>
      </c>
      <c r="F34" s="118">
        <v>10</v>
      </c>
    </row>
    <row r="35" spans="2:6" x14ac:dyDescent="0.3">
      <c r="B35" s="175"/>
      <c r="C35" s="167"/>
      <c r="D35" s="71">
        <f t="shared" ca="1" si="0"/>
        <v>1.25</v>
      </c>
      <c r="E35" s="73">
        <v>0.2</v>
      </c>
      <c r="F35" s="118">
        <v>20</v>
      </c>
    </row>
    <row r="36" spans="2:6" x14ac:dyDescent="0.3">
      <c r="B36" s="175"/>
      <c r="C36" s="167"/>
      <c r="D36" s="71">
        <f t="shared" ca="1" si="0"/>
        <v>0.8</v>
      </c>
      <c r="E36" s="73">
        <v>0.25</v>
      </c>
      <c r="F36" s="118">
        <v>25</v>
      </c>
    </row>
    <row r="37" spans="2:6" x14ac:dyDescent="0.3">
      <c r="B37" s="175"/>
      <c r="C37" s="167"/>
      <c r="D37" s="71">
        <f t="shared" ca="1" si="0"/>
        <v>9.9999999999999978E-2</v>
      </c>
      <c r="E37" s="73">
        <v>0.5</v>
      </c>
      <c r="F37" s="118">
        <v>50</v>
      </c>
    </row>
    <row r="38" spans="2:6" x14ac:dyDescent="0.3">
      <c r="B38" s="175"/>
      <c r="C38" s="167"/>
      <c r="D38" s="71">
        <f t="shared" ca="1" si="0"/>
        <v>0.55000000000000004</v>
      </c>
      <c r="E38" s="73">
        <v>1</v>
      </c>
      <c r="F38" s="118">
        <v>10</v>
      </c>
    </row>
    <row r="39" spans="2:6" x14ac:dyDescent="0.3">
      <c r="B39" s="175"/>
      <c r="C39" s="167"/>
      <c r="D39" s="71">
        <f t="shared" ca="1" si="0"/>
        <v>0.77500000000000002</v>
      </c>
      <c r="E39" s="73">
        <v>2</v>
      </c>
      <c r="F39" s="118">
        <v>20</v>
      </c>
    </row>
    <row r="40" spans="2:6" x14ac:dyDescent="0.3">
      <c r="B40" s="175"/>
      <c r="C40" s="167"/>
      <c r="D40" s="71">
        <f t="shared" ca="1" si="0"/>
        <v>0.82000000000000006</v>
      </c>
      <c r="E40" s="73">
        <v>2.5</v>
      </c>
      <c r="F40" s="118">
        <v>25</v>
      </c>
    </row>
    <row r="41" spans="2:6" x14ac:dyDescent="0.3">
      <c r="B41" s="175"/>
      <c r="C41" s="167"/>
      <c r="D41" s="71">
        <f t="shared" ca="1" si="0"/>
        <v>0.91</v>
      </c>
      <c r="E41" s="73">
        <v>5</v>
      </c>
      <c r="F41" s="118">
        <v>50</v>
      </c>
    </row>
    <row r="42" spans="2:6" x14ac:dyDescent="0.3">
      <c r="B42" s="178"/>
      <c r="C42" s="170"/>
      <c r="D42" s="71">
        <f t="shared" ca="1" si="0"/>
        <v>0.95499999999999996</v>
      </c>
      <c r="E42" s="73">
        <v>10</v>
      </c>
      <c r="F42" s="118">
        <v>10</v>
      </c>
    </row>
    <row r="43" spans="2:6" x14ac:dyDescent="0.3">
      <c r="B43" s="174" t="s">
        <v>81</v>
      </c>
      <c r="C43" s="166"/>
      <c r="D43" s="166"/>
      <c r="E43" s="166"/>
      <c r="F43" s="69">
        <f ca="1">VLOOKUP(MIN(D$34:D$42),D$34:F$42,3,FALSE)</f>
        <v>50</v>
      </c>
    </row>
    <row r="44" spans="2:6" x14ac:dyDescent="0.3">
      <c r="B44" s="175" t="s">
        <v>7</v>
      </c>
      <c r="C44" s="167"/>
      <c r="D44" s="167"/>
      <c r="E44" s="167"/>
      <c r="F44" s="69">
        <f ca="1">MATCH(MIN(D$34:D$42),D$34:D$42,0)</f>
        <v>4</v>
      </c>
    </row>
    <row r="45" spans="2:6" x14ac:dyDescent="0.3">
      <c r="B45" s="175" t="s">
        <v>7</v>
      </c>
      <c r="C45" s="167"/>
      <c r="D45" s="167"/>
      <c r="E45" s="167"/>
      <c r="F45" s="69">
        <f ca="1">VLOOKUP(MIN(D$34:D$42),D$34:E$42,2,FALSE)*POWER(10,F$32)</f>
        <v>0.5</v>
      </c>
    </row>
    <row r="46" spans="2:6" x14ac:dyDescent="0.3">
      <c r="B46" s="175" t="s">
        <v>78</v>
      </c>
      <c r="C46" s="167"/>
      <c r="D46" s="167"/>
      <c r="E46" s="167"/>
      <c r="F46" s="69">
        <f ca="1">F45*100</f>
        <v>50</v>
      </c>
    </row>
    <row r="47" spans="2:6" x14ac:dyDescent="0.3">
      <c r="B47" s="175" t="s">
        <v>82</v>
      </c>
      <c r="C47" s="167"/>
      <c r="D47" s="167"/>
      <c r="E47" s="167"/>
      <c r="F47" s="69">
        <f ca="1">ROUND(F23/F45,0)*F45</f>
        <v>85</v>
      </c>
    </row>
    <row r="48" spans="2:6" x14ac:dyDescent="0.3">
      <c r="B48" s="178" t="s">
        <v>43</v>
      </c>
      <c r="C48" s="169"/>
      <c r="D48" s="169"/>
      <c r="E48" s="170"/>
      <c r="F48" s="69">
        <f ca="1">MAX(F47-F46/2,0)</f>
        <v>60</v>
      </c>
    </row>
    <row r="49" spans="2:6" x14ac:dyDescent="0.3">
      <c r="B49" s="174" t="s">
        <v>69</v>
      </c>
      <c r="C49" s="166"/>
      <c r="D49" s="166"/>
      <c r="E49" s="166"/>
      <c r="F49" s="69">
        <f ca="1">F23+F46/2</f>
        <v>110</v>
      </c>
    </row>
    <row r="50" spans="2:6" x14ac:dyDescent="0.3">
      <c r="B50" s="179" t="s">
        <v>83</v>
      </c>
      <c r="C50" s="168"/>
      <c r="D50" s="168"/>
      <c r="E50" s="168"/>
      <c r="F50" s="69">
        <f ca="1">ROUND(LOG(F48),0)+2</f>
        <v>4</v>
      </c>
    </row>
    <row r="51" spans="2:6" x14ac:dyDescent="0.3">
      <c r="B51" s="180">
        <f ca="1">F51/POWER(10,$F$50)</f>
        <v>5.7499999999999999E-3</v>
      </c>
      <c r="C51" s="74" t="str">
        <f ca="1">IF(ISERROR(FIND(".",B51)),B51,REPLACE(B51,FIND(".",B51),1,""))</f>
        <v>000575</v>
      </c>
      <c r="D51" s="72">
        <f ca="1">LEN(B51)</f>
        <v>7</v>
      </c>
      <c r="E51" s="72">
        <f ca="1">D51-IF(F$43=20,IF(ISNUMBER(FIND(MID(B51,D51,1),"2468")),0.5,0),IF(MID(B51,D51,1)="5",0.5,0))-IF(AND(D51&gt;1,F$43=25),IF(ISNUMBER(FIND(MID(B51,D51-1,2),"25x75")),0.75,0),0)</f>
        <v>6.5</v>
      </c>
      <c r="F51" s="69">
        <f ca="1">ROUND(F48-5*F45,10)</f>
        <v>57.5</v>
      </c>
    </row>
    <row r="52" spans="2:6" x14ac:dyDescent="0.3">
      <c r="B52" s="180">
        <f t="shared" ref="B52:B61" ca="1" si="1">F52/POWER(10,$F$50)</f>
        <v>5.7999999999999996E-3</v>
      </c>
      <c r="C52" s="74" t="str">
        <f t="shared" ref="C52:C61" ca="1" si="2">IF(ISERROR(FIND(".",B52)),B52,REPLACE(B52,FIND(".",B52),1,""))</f>
        <v>00058</v>
      </c>
      <c r="D52" s="72">
        <f t="shared" ref="D52:D61" ca="1" si="3">LEN(B52)</f>
        <v>6</v>
      </c>
      <c r="E52" s="72">
        <f t="shared" ref="E52:E61" ca="1" si="4">D52-IF(F$43=20,IF(ISNUMBER(FIND(MID(B52,D52,1),"2468")),0.5,0),IF(MID(B52,D52,1)="5",0.5,0))-IF(AND(D52&gt;1,F$43=25),IF(ISNUMBER(FIND(MID(B52,D52-1,2),"25x75")),0.75,0),0)</f>
        <v>6</v>
      </c>
      <c r="F52" s="69">
        <f t="shared" ref="F52:F61" ca="1" si="5">F51+F$45</f>
        <v>58</v>
      </c>
    </row>
    <row r="53" spans="2:6" x14ac:dyDescent="0.3">
      <c r="B53" s="180">
        <f t="shared" ca="1" si="1"/>
        <v>5.8500000000000002E-3</v>
      </c>
      <c r="C53" s="74" t="str">
        <f t="shared" ca="1" si="2"/>
        <v>000585</v>
      </c>
      <c r="D53" s="72">
        <f t="shared" ca="1" si="3"/>
        <v>7</v>
      </c>
      <c r="E53" s="72">
        <f t="shared" ca="1" si="4"/>
        <v>6.5</v>
      </c>
      <c r="F53" s="69">
        <f t="shared" ca="1" si="5"/>
        <v>58.5</v>
      </c>
    </row>
    <row r="54" spans="2:6" x14ac:dyDescent="0.3">
      <c r="B54" s="180">
        <f t="shared" ca="1" si="1"/>
        <v>5.8999999999999999E-3</v>
      </c>
      <c r="C54" s="74" t="str">
        <f t="shared" ca="1" si="2"/>
        <v>00059</v>
      </c>
      <c r="D54" s="72">
        <f t="shared" ca="1" si="3"/>
        <v>6</v>
      </c>
      <c r="E54" s="72">
        <f t="shared" ca="1" si="4"/>
        <v>6</v>
      </c>
      <c r="F54" s="69">
        <f t="shared" ca="1" si="5"/>
        <v>59</v>
      </c>
    </row>
    <row r="55" spans="2:6" x14ac:dyDescent="0.3">
      <c r="B55" s="180">
        <f t="shared" ca="1" si="1"/>
        <v>5.9500000000000004E-3</v>
      </c>
      <c r="C55" s="74" t="str">
        <f t="shared" ca="1" si="2"/>
        <v>000595</v>
      </c>
      <c r="D55" s="72">
        <f t="shared" ca="1" si="3"/>
        <v>7</v>
      </c>
      <c r="E55" s="72">
        <f t="shared" ca="1" si="4"/>
        <v>6.5</v>
      </c>
      <c r="F55" s="69">
        <f t="shared" ca="1" si="5"/>
        <v>59.5</v>
      </c>
    </row>
    <row r="56" spans="2:6" x14ac:dyDescent="0.3">
      <c r="B56" s="180">
        <f t="shared" ca="1" si="1"/>
        <v>6.0000000000000001E-3</v>
      </c>
      <c r="C56" s="74" t="str">
        <f t="shared" ca="1" si="2"/>
        <v>0006</v>
      </c>
      <c r="D56" s="72">
        <f t="shared" ca="1" si="3"/>
        <v>5</v>
      </c>
      <c r="E56" s="72">
        <f t="shared" ca="1" si="4"/>
        <v>5</v>
      </c>
      <c r="F56" s="69">
        <f t="shared" ca="1" si="5"/>
        <v>60</v>
      </c>
    </row>
    <row r="57" spans="2:6" x14ac:dyDescent="0.3">
      <c r="B57" s="180">
        <f t="shared" ca="1" si="1"/>
        <v>6.0499999999999998E-3</v>
      </c>
      <c r="C57" s="74" t="str">
        <f t="shared" ca="1" si="2"/>
        <v>000605</v>
      </c>
      <c r="D57" s="72">
        <f t="shared" ca="1" si="3"/>
        <v>7</v>
      </c>
      <c r="E57" s="72">
        <f t="shared" ca="1" si="4"/>
        <v>6.5</v>
      </c>
      <c r="F57" s="69">
        <f t="shared" ca="1" si="5"/>
        <v>60.5</v>
      </c>
    </row>
    <row r="58" spans="2:6" x14ac:dyDescent="0.3">
      <c r="B58" s="180">
        <f t="shared" ca="1" si="1"/>
        <v>6.1000000000000004E-3</v>
      </c>
      <c r="C58" s="74" t="str">
        <f t="shared" ca="1" si="2"/>
        <v>00061</v>
      </c>
      <c r="D58" s="72">
        <f t="shared" ca="1" si="3"/>
        <v>6</v>
      </c>
      <c r="E58" s="72">
        <f t="shared" ca="1" si="4"/>
        <v>6</v>
      </c>
      <c r="F58" s="69">
        <f t="shared" ca="1" si="5"/>
        <v>61</v>
      </c>
    </row>
    <row r="59" spans="2:6" x14ac:dyDescent="0.3">
      <c r="B59" s="180">
        <f t="shared" ca="1" si="1"/>
        <v>6.1500000000000001E-3</v>
      </c>
      <c r="C59" s="74" t="str">
        <f t="shared" ca="1" si="2"/>
        <v>000615</v>
      </c>
      <c r="D59" s="72">
        <f t="shared" ca="1" si="3"/>
        <v>7</v>
      </c>
      <c r="E59" s="72">
        <f t="shared" ca="1" si="4"/>
        <v>6.5</v>
      </c>
      <c r="F59" s="69">
        <f t="shared" ca="1" si="5"/>
        <v>61.5</v>
      </c>
    </row>
    <row r="60" spans="2:6" x14ac:dyDescent="0.3">
      <c r="B60" s="180">
        <f t="shared" ca="1" si="1"/>
        <v>6.1999999999999998E-3</v>
      </c>
      <c r="C60" s="74" t="str">
        <f t="shared" ca="1" si="2"/>
        <v>00062</v>
      </c>
      <c r="D60" s="72">
        <f t="shared" ca="1" si="3"/>
        <v>6</v>
      </c>
      <c r="E60" s="72">
        <f t="shared" ca="1" si="4"/>
        <v>6</v>
      </c>
      <c r="F60" s="69">
        <f t="shared" ca="1" si="5"/>
        <v>62</v>
      </c>
    </row>
    <row r="61" spans="2:6" x14ac:dyDescent="0.3">
      <c r="B61" s="180">
        <f t="shared" ca="1" si="1"/>
        <v>6.2500000000000003E-3</v>
      </c>
      <c r="C61" s="74" t="str">
        <f t="shared" ca="1" si="2"/>
        <v>000625</v>
      </c>
      <c r="D61" s="72">
        <f t="shared" ca="1" si="3"/>
        <v>7</v>
      </c>
      <c r="E61" s="72">
        <f t="shared" ca="1" si="4"/>
        <v>6.5</v>
      </c>
      <c r="F61" s="69">
        <f t="shared" ca="1" si="5"/>
        <v>62.5</v>
      </c>
    </row>
    <row r="62" spans="2:6" x14ac:dyDescent="0.3">
      <c r="B62" s="174" t="s">
        <v>43</v>
      </c>
      <c r="C62" s="166"/>
      <c r="D62" s="166"/>
      <c r="E62" s="166"/>
      <c r="F62" s="69">
        <f ca="1">VLOOKUP(MIN(E$51:E$61),E$51:F$61,2,FALSE)</f>
        <v>60</v>
      </c>
    </row>
    <row r="63" spans="2:6" x14ac:dyDescent="0.3">
      <c r="B63" s="175" t="s">
        <v>43</v>
      </c>
      <c r="C63" s="167"/>
      <c r="D63" s="167"/>
      <c r="E63" s="167"/>
      <c r="F63" s="69">
        <f ca="1">IF($D$5="",IF(ISERROR($F$62),0,$F$62),$D$5)</f>
        <v>60</v>
      </c>
    </row>
    <row r="64" spans="2:6" x14ac:dyDescent="0.3">
      <c r="B64" s="181" t="s">
        <v>69</v>
      </c>
      <c r="C64" s="182"/>
      <c r="D64" s="182"/>
      <c r="E64" s="182"/>
      <c r="F64" s="183">
        <f ca="1">F63+$F$3*F$45</f>
        <v>110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OSS</vt:lpstr>
      <vt:lpstr>Expirations</vt:lpstr>
      <vt:lpstr>Lists</vt:lpstr>
      <vt:lpstr>Auto X</vt:lpstr>
    </vt:vector>
  </TitlesOfParts>
  <Company>Macroption</Company>
  <LinksUpToDate>false</LinksUpToDate>
  <SharedDoc>false</SharedDoc>
  <HyperlinkBase>www.macroption.com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Black-Scholes Calculator &amp; Simulator</dc:title>
  <dc:creator>Petr Houstecky</dc:creator>
  <dc:description>If you have questions or suggestions, please contact research@macroption.com</dc:description>
  <cp:lastModifiedBy>Macroption</cp:lastModifiedBy>
  <cp:lastPrinted>2015-10-21T22:09:39Z</cp:lastPrinted>
  <dcterms:created xsi:type="dcterms:W3CDTF">2012-01-31T08:42:28Z</dcterms:created>
  <dcterms:modified xsi:type="dcterms:W3CDTF">2023-12-30T15:18:32Z</dcterms:modified>
</cp:coreProperties>
</file>